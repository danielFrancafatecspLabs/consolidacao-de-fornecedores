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09" codeName="{00000000-0000-0000-0000-000000000000}"/>
  <workbookPr codeName="EstaPasta_de_trabalho" hidePivotFieldList="1" defaultThemeVersion="124226"/>
  <mc:AlternateContent xmlns:mc="http://schemas.openxmlformats.org/markup-compatibility/2006">
    <mc:Choice Requires="x15">
      <x15ac:absPath xmlns:x15ac="http://schemas.microsoft.com/office/spreadsheetml/2010/11/ac" url="https://atos365-my.sharepoint.com/personal/eduardo_rochester_external_atos_net/Documents/Documents/Claro/Projetos CLARO/Solar/Onboarding Claro do Futuro - Confirmação Eletronica/05. Financeiro/"/>
    </mc:Choice>
  </mc:AlternateContent>
  <xr:revisionPtr revIDLastSave="1" documentId="8_{3F5A8816-474C-41FC-ADB5-680BA7C435F4}" xr6:coauthVersionLast="47" xr6:coauthVersionMax="47" xr10:uidLastSave="{7FCFD236-81E6-4671-9EC1-A564A7220873}"/>
  <bookViews>
    <workbookView xWindow="-110" yWindow="-110" windowWidth="19420" windowHeight="10420" tabRatio="859" firstSheet="3" activeTab="3" xr2:uid="{00000000-000D-0000-FFFF-FFFF00000000}"/>
  </bookViews>
  <sheets>
    <sheet name="APOIO" sheetId="15" state="hidden" r:id="rId1"/>
    <sheet name="Regras de Utilização" sheetId="20" state="hidden" r:id="rId2"/>
    <sheet name="RESUMO DEFESA" sheetId="17" r:id="rId3"/>
    <sheet name="ANEXO 1 - Detalhes Técnicos" sheetId="4" r:id="rId4"/>
    <sheet name="ANEXO 2 - Cronograma Desembolso" sheetId="12" r:id="rId5"/>
    <sheet name="ANEXO 4 - Proposta de Solução" sheetId="7" r:id="rId6"/>
    <sheet name="ANEXO 3 - FORNECEDOR ÚNICO" sheetId="18" r:id="rId7"/>
    <sheet name="ANEXO 5 - JUSTIF PERMANENCIA" sheetId="19" r:id="rId8"/>
    <sheet name="ISS" sheetId="8" r:id="rId9"/>
    <sheet name="ISS Licenças" sheetId="9" r:id="rId10"/>
    <sheet name="Class AMX" sheetId="13" r:id="rId11"/>
  </sheets>
  <definedNames>
    <definedName name="_xlnm._FilterDatabase" localSheetId="4" hidden="1">'ANEXO 2 - Cronograma Desembolso'!$B$17:$BG$40</definedName>
    <definedName name="_xlnm._FilterDatabase" localSheetId="0" hidden="1">APOIO!$B$1:$F$217</definedName>
    <definedName name="_xlnm._FilterDatabase" localSheetId="9" hidden="1">'ISS Licenças'!$A$7:$H$8484</definedName>
    <definedName name="_xlnm.Print_Area" localSheetId="3">'ANEXO 1 - Detalhes Técnicos'!$A$1:$P$85</definedName>
    <definedName name="_xlnm.Print_Area" localSheetId="4">'ANEXO 2 - Cronograma Desembolso'!$B$2:$AK$46</definedName>
    <definedName name="_xlnm.Print_Area" localSheetId="2">'RESUMO DEFESA'!$A$1:$S$49</definedName>
    <definedName name="Selecionar17" localSheetId="4">'ANEXO 2 - Cronograma Desembolso'!#REF!</definedName>
    <definedName name="Selecionar18" localSheetId="4">'ANEXO 2 - Cronograma Desembolso'!#REF!</definedName>
    <definedName name="Selecionar19" localSheetId="4">'ANEXO 2 - Cronograma Desembolso'!#REF!</definedName>
    <definedName name="Selecionar20" localSheetId="4">'ANEXO 2 - Cronograma Desembolso'!#REF!</definedName>
    <definedName name="Selecionar25" localSheetId="4">'ANEXO 2 - Cronograma Desembolso'!#REF!</definedName>
    <definedName name="_xlnm.Print_Titles" localSheetId="3">'ANEXO 1 - Detalhes Técnicos'!#REF!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202" i="4" l="1"/>
  <c r="O202" i="4"/>
  <c r="K202" i="4"/>
  <c r="AC201" i="4"/>
  <c r="AC200" i="4"/>
  <c r="AC199" i="4"/>
  <c r="O198" i="4"/>
  <c r="K198" i="4"/>
  <c r="W195" i="4"/>
  <c r="O195" i="4"/>
  <c r="K195" i="4"/>
  <c r="AC194" i="4"/>
  <c r="AC193" i="4"/>
  <c r="AC192" i="4"/>
  <c r="O191" i="4"/>
  <c r="K191" i="4"/>
  <c r="K177" i="4"/>
  <c r="W188" i="4"/>
  <c r="O188" i="4"/>
  <c r="K188" i="4"/>
  <c r="AC187" i="4"/>
  <c r="AC186" i="4"/>
  <c r="AC185" i="4"/>
  <c r="O184" i="4"/>
  <c r="K184" i="4"/>
  <c r="W181" i="4"/>
  <c r="O181" i="4"/>
  <c r="K181" i="4"/>
  <c r="AC180" i="4"/>
  <c r="AC179" i="4"/>
  <c r="AC178" i="4"/>
  <c r="O177" i="4"/>
  <c r="K68" i="4"/>
  <c r="K67" i="4"/>
  <c r="K66" i="4"/>
  <c r="W176" i="4"/>
  <c r="O176" i="4"/>
  <c r="K176" i="4"/>
  <c r="AC175" i="4"/>
  <c r="AC174" i="4"/>
  <c r="AC173" i="4"/>
  <c r="O172" i="4"/>
  <c r="AC172" i="4" s="1"/>
  <c r="K172" i="4"/>
  <c r="W169" i="4"/>
  <c r="O169" i="4"/>
  <c r="K169" i="4"/>
  <c r="AC168" i="4"/>
  <c r="AC167" i="4"/>
  <c r="AC166" i="4"/>
  <c r="O165" i="4"/>
  <c r="K165" i="4"/>
  <c r="W162" i="4"/>
  <c r="O162" i="4"/>
  <c r="K162" i="4"/>
  <c r="AC161" i="4"/>
  <c r="AC160" i="4"/>
  <c r="AC159" i="4"/>
  <c r="O158" i="4"/>
  <c r="K158" i="4"/>
  <c r="N155" i="4"/>
  <c r="I155" i="4"/>
  <c r="C155" i="4"/>
  <c r="B155" i="4"/>
  <c r="A155" i="4"/>
  <c r="W153" i="4"/>
  <c r="O153" i="4"/>
  <c r="K153" i="4"/>
  <c r="AC152" i="4"/>
  <c r="AC151" i="4"/>
  <c r="AC150" i="4"/>
  <c r="O149" i="4"/>
  <c r="K149" i="4"/>
  <c r="K155" i="4" s="1"/>
  <c r="N148" i="4"/>
  <c r="I148" i="4"/>
  <c r="C148" i="4"/>
  <c r="B148" i="4"/>
  <c r="A148" i="4"/>
  <c r="W146" i="4"/>
  <c r="O146" i="4"/>
  <c r="K146" i="4"/>
  <c r="AC145" i="4"/>
  <c r="AC144" i="4"/>
  <c r="AC143" i="4"/>
  <c r="O142" i="4"/>
  <c r="K142" i="4"/>
  <c r="K148" i="4" s="1"/>
  <c r="N141" i="4"/>
  <c r="I141" i="4"/>
  <c r="C141" i="4"/>
  <c r="B141" i="4"/>
  <c r="A141" i="4"/>
  <c r="W139" i="4"/>
  <c r="O139" i="4"/>
  <c r="K139" i="4"/>
  <c r="AC138" i="4"/>
  <c r="AC137" i="4"/>
  <c r="AC136" i="4"/>
  <c r="O135" i="4"/>
  <c r="K135" i="4"/>
  <c r="K141" i="4" s="1"/>
  <c r="N134" i="4"/>
  <c r="I134" i="4"/>
  <c r="C134" i="4"/>
  <c r="B134" i="4"/>
  <c r="A134" i="4"/>
  <c r="W132" i="4"/>
  <c r="O132" i="4"/>
  <c r="K132" i="4"/>
  <c r="AC131" i="4"/>
  <c r="AC130" i="4"/>
  <c r="AC129" i="4"/>
  <c r="O128" i="4"/>
  <c r="K128" i="4"/>
  <c r="K134" i="4" s="1"/>
  <c r="N127" i="4"/>
  <c r="I127" i="4"/>
  <c r="C127" i="4"/>
  <c r="B127" i="4"/>
  <c r="A127" i="4"/>
  <c r="W125" i="4"/>
  <c r="O125" i="4"/>
  <c r="K125" i="4"/>
  <c r="AC124" i="4"/>
  <c r="AC123" i="4"/>
  <c r="AC122" i="4"/>
  <c r="O121" i="4"/>
  <c r="K121" i="4"/>
  <c r="K127" i="4" s="1"/>
  <c r="N120" i="4"/>
  <c r="I120" i="4"/>
  <c r="C120" i="4"/>
  <c r="B120" i="4"/>
  <c r="A120" i="4"/>
  <c r="W118" i="4"/>
  <c r="O118" i="4"/>
  <c r="K118" i="4"/>
  <c r="AC117" i="4"/>
  <c r="AC116" i="4"/>
  <c r="AC115" i="4"/>
  <c r="O114" i="4"/>
  <c r="K114" i="4"/>
  <c r="K120" i="4" s="1"/>
  <c r="N113" i="4"/>
  <c r="I113" i="4"/>
  <c r="C113" i="4"/>
  <c r="B113" i="4"/>
  <c r="A113" i="4"/>
  <c r="W111" i="4"/>
  <c r="O111" i="4"/>
  <c r="K111" i="4"/>
  <c r="AC110" i="4"/>
  <c r="AC109" i="4"/>
  <c r="AC108" i="4"/>
  <c r="O107" i="4"/>
  <c r="K107" i="4"/>
  <c r="K113" i="4" s="1"/>
  <c r="N106" i="4"/>
  <c r="I106" i="4"/>
  <c r="C106" i="4"/>
  <c r="B106" i="4"/>
  <c r="A106" i="4"/>
  <c r="W104" i="4"/>
  <c r="O104" i="4"/>
  <c r="K104" i="4"/>
  <c r="AC103" i="4"/>
  <c r="AC102" i="4"/>
  <c r="AC101" i="4"/>
  <c r="O100" i="4"/>
  <c r="K100" i="4"/>
  <c r="K106" i="4" s="1"/>
  <c r="W97" i="4"/>
  <c r="O97" i="4"/>
  <c r="O96" i="4"/>
  <c r="O95" i="4"/>
  <c r="O94" i="4"/>
  <c r="W93" i="4"/>
  <c r="O93" i="4"/>
  <c r="K93" i="4"/>
  <c r="W90" i="4"/>
  <c r="O90" i="4"/>
  <c r="O89" i="4"/>
  <c r="O88" i="4"/>
  <c r="AC88" i="4" s="1"/>
  <c r="O87" i="4"/>
  <c r="AC87" i="4" s="1"/>
  <c r="W86" i="4"/>
  <c r="O86" i="4"/>
  <c r="K86" i="4"/>
  <c r="K79" i="4"/>
  <c r="K72" i="4"/>
  <c r="K65" i="4"/>
  <c r="K58" i="4"/>
  <c r="K53" i="4"/>
  <c r="K52" i="4"/>
  <c r="O53" i="4"/>
  <c r="O52" i="4"/>
  <c r="W48" i="4"/>
  <c r="O48" i="4"/>
  <c r="K48" i="4"/>
  <c r="AC47" i="4"/>
  <c r="AC46" i="4"/>
  <c r="O45" i="4"/>
  <c r="AC45" i="4" s="1"/>
  <c r="K45" i="4"/>
  <c r="O44" i="4"/>
  <c r="AC44" i="4" s="1"/>
  <c r="K44" i="4"/>
  <c r="K23" i="4"/>
  <c r="K2" i="4"/>
  <c r="O66" i="4"/>
  <c r="AC66" i="4" s="1"/>
  <c r="O69" i="4"/>
  <c r="O68" i="4"/>
  <c r="O67" i="4"/>
  <c r="O65" i="4"/>
  <c r="O62" i="4"/>
  <c r="O61" i="4"/>
  <c r="O60" i="4"/>
  <c r="O58" i="4"/>
  <c r="AC58" i="4" s="1"/>
  <c r="W55" i="4"/>
  <c r="O55" i="4"/>
  <c r="K55" i="4"/>
  <c r="O54" i="4"/>
  <c r="O51" i="4"/>
  <c r="AC51" i="4" s="1"/>
  <c r="K51" i="4"/>
  <c r="O81" i="4"/>
  <c r="AC81" i="4" s="1"/>
  <c r="W83" i="4"/>
  <c r="O83" i="4"/>
  <c r="O82" i="4"/>
  <c r="W79" i="4"/>
  <c r="O79" i="4"/>
  <c r="AC79" i="4" s="1"/>
  <c r="W76" i="4"/>
  <c r="O76" i="4"/>
  <c r="O75" i="4"/>
  <c r="O74" i="4"/>
  <c r="W72" i="4"/>
  <c r="O72" i="4"/>
  <c r="AC72" i="4" s="1"/>
  <c r="I57" i="4"/>
  <c r="N57" i="4"/>
  <c r="C57" i="4"/>
  <c r="B57" i="4"/>
  <c r="A57" i="4"/>
  <c r="N50" i="4"/>
  <c r="I50" i="4"/>
  <c r="C50" i="4"/>
  <c r="B50" i="4"/>
  <c r="A50" i="4"/>
  <c r="K38" i="4"/>
  <c r="O38" i="4"/>
  <c r="AC38" i="4" s="1"/>
  <c r="AC39" i="4"/>
  <c r="AC40" i="4"/>
  <c r="N43" i="4"/>
  <c r="I43" i="4"/>
  <c r="C43" i="4"/>
  <c r="B43" i="4"/>
  <c r="A43" i="4"/>
  <c r="W41" i="4"/>
  <c r="O41" i="4"/>
  <c r="K41" i="4"/>
  <c r="O37" i="4"/>
  <c r="AC37" i="4" s="1"/>
  <c r="K37" i="4"/>
  <c r="W24" i="4"/>
  <c r="W34" i="4"/>
  <c r="O34" i="4"/>
  <c r="K34" i="4"/>
  <c r="O33" i="4"/>
  <c r="O32" i="4"/>
  <c r="O30" i="4"/>
  <c r="AC30" i="4" s="1"/>
  <c r="K30" i="4"/>
  <c r="K24" i="4"/>
  <c r="O24" i="4"/>
  <c r="AC24" i="4" s="1"/>
  <c r="W27" i="4"/>
  <c r="O27" i="4"/>
  <c r="K27" i="4"/>
  <c r="O26" i="4"/>
  <c r="O25" i="4"/>
  <c r="W23" i="4"/>
  <c r="O23" i="4"/>
  <c r="AC23" i="4" s="1"/>
  <c r="W20" i="4"/>
  <c r="O20" i="4"/>
  <c r="K20" i="4"/>
  <c r="O19" i="4"/>
  <c r="O18" i="4"/>
  <c r="O16" i="4"/>
  <c r="AC16" i="4" s="1"/>
  <c r="K16" i="4"/>
  <c r="O197" i="4" l="1"/>
  <c r="AC191" i="4"/>
  <c r="O204" i="4"/>
  <c r="AC198" i="4"/>
  <c r="O190" i="4"/>
  <c r="AC184" i="4"/>
  <c r="O183" i="4"/>
  <c r="AC177" i="4"/>
  <c r="AC158" i="4"/>
  <c r="O164" i="4"/>
  <c r="AC165" i="4"/>
  <c r="O171" i="4"/>
  <c r="AC65" i="4"/>
  <c r="O71" i="4"/>
  <c r="O155" i="4"/>
  <c r="O157" i="4" s="1"/>
  <c r="AC149" i="4"/>
  <c r="O148" i="4"/>
  <c r="AC142" i="4"/>
  <c r="O141" i="4"/>
  <c r="AC135" i="4"/>
  <c r="O134" i="4"/>
  <c r="AC128" i="4"/>
  <c r="O127" i="4"/>
  <c r="AC121" i="4"/>
  <c r="O120" i="4"/>
  <c r="AC114" i="4"/>
  <c r="O113" i="4"/>
  <c r="AC107" i="4"/>
  <c r="O106" i="4"/>
  <c r="AC100" i="4"/>
  <c r="O99" i="4"/>
  <c r="AC93" i="4"/>
  <c r="O92" i="4"/>
  <c r="AC86" i="4"/>
  <c r="O80" i="4"/>
  <c r="AC80" i="4" s="1"/>
  <c r="O73" i="4"/>
  <c r="AC73" i="4" s="1"/>
  <c r="O50" i="4"/>
  <c r="O64" i="4"/>
  <c r="K57" i="4"/>
  <c r="O57" i="4"/>
  <c r="K50" i="4"/>
  <c r="K43" i="4"/>
  <c r="O43" i="4"/>
  <c r="W13" i="4"/>
  <c r="O13" i="4"/>
  <c r="K13" i="4"/>
  <c r="O12" i="4"/>
  <c r="O11" i="4"/>
  <c r="O9" i="4"/>
  <c r="AC9" i="4" s="1"/>
  <c r="K9" i="4"/>
  <c r="A8" i="4"/>
  <c r="B8" i="4"/>
  <c r="C8" i="4"/>
  <c r="I8" i="4"/>
  <c r="N8" i="4"/>
  <c r="O78" i="4" l="1"/>
  <c r="O85" i="4"/>
  <c r="W6" i="4"/>
  <c r="O6" i="4"/>
  <c r="K6" i="4"/>
  <c r="O5" i="4"/>
  <c r="O4" i="4"/>
  <c r="O2" i="4"/>
  <c r="K8" i="4" l="1"/>
  <c r="O8" i="4"/>
  <c r="AC2" i="4"/>
  <c r="N36" i="4" l="1"/>
  <c r="I36" i="4"/>
  <c r="C36" i="4"/>
  <c r="B36" i="4"/>
  <c r="A36" i="4"/>
  <c r="K36" i="4" l="1"/>
  <c r="O36" i="4"/>
  <c r="C15" i="4" l="1"/>
  <c r="C22" i="4"/>
  <c r="C29" i="4"/>
  <c r="N11" i="17"/>
  <c r="Q11" i="17"/>
  <c r="P11" i="17"/>
  <c r="O11" i="17"/>
  <c r="R9" i="17"/>
  <c r="R10" i="17"/>
  <c r="M11" i="17"/>
  <c r="N29" i="4"/>
  <c r="I29" i="4"/>
  <c r="B29" i="4"/>
  <c r="A29" i="4"/>
  <c r="N22" i="4"/>
  <c r="I22" i="4"/>
  <c r="B22" i="4"/>
  <c r="A22" i="4"/>
  <c r="N15" i="4"/>
  <c r="I15" i="4"/>
  <c r="B15" i="4"/>
  <c r="A15" i="4"/>
  <c r="AG16" i="12"/>
  <c r="AE16" i="12"/>
  <c r="AC16" i="12"/>
  <c r="AA16" i="12"/>
  <c r="Y16" i="12"/>
  <c r="W16" i="12"/>
  <c r="U16" i="12"/>
  <c r="S16" i="12"/>
  <c r="Q16" i="12"/>
  <c r="O16" i="12"/>
  <c r="M16" i="12"/>
  <c r="K16" i="12"/>
  <c r="AH16" i="12"/>
  <c r="AF16" i="12"/>
  <c r="AD16" i="12"/>
  <c r="AB16" i="12"/>
  <c r="Z16" i="12"/>
  <c r="X16" i="12"/>
  <c r="V16" i="12"/>
  <c r="T16" i="12"/>
  <c r="R16" i="12"/>
  <c r="P16" i="12"/>
  <c r="N16" i="12"/>
  <c r="L16" i="12"/>
  <c r="A26" i="8"/>
  <c r="A25" i="8"/>
  <c r="A23" i="8"/>
  <c r="A21" i="8"/>
  <c r="A19" i="8"/>
  <c r="A17" i="8"/>
  <c r="A15" i="8"/>
  <c r="A13" i="8"/>
  <c r="A11" i="8"/>
  <c r="A24" i="8"/>
  <c r="A22" i="8"/>
  <c r="A20" i="8"/>
  <c r="A18" i="8"/>
  <c r="A16" i="8"/>
  <c r="A14" i="8"/>
  <c r="A12" i="8"/>
  <c r="A10" i="8"/>
  <c r="A9" i="8"/>
  <c r="BF13" i="12"/>
  <c r="BD13" i="12"/>
  <c r="BB13" i="12"/>
  <c r="AZ13" i="12"/>
  <c r="AX13" i="12"/>
  <c r="AV13" i="12"/>
  <c r="AT13" i="12"/>
  <c r="AR13" i="12"/>
  <c r="AP13" i="12"/>
  <c r="AN13" i="12"/>
  <c r="AL13" i="12"/>
  <c r="AJ13" i="12"/>
  <c r="AG13" i="12"/>
  <c r="AE13" i="12"/>
  <c r="AC13" i="12"/>
  <c r="AA13" i="12"/>
  <c r="Y13" i="12"/>
  <c r="W13" i="12"/>
  <c r="U13" i="12"/>
  <c r="S13" i="12"/>
  <c r="Q13" i="12"/>
  <c r="O13" i="12"/>
  <c r="M13" i="12"/>
  <c r="K13" i="12"/>
  <c r="BF7" i="12"/>
  <c r="BD7" i="12"/>
  <c r="BB7" i="12"/>
  <c r="AZ7" i="12"/>
  <c r="AX7" i="12"/>
  <c r="AV7" i="12"/>
  <c r="AT7" i="12"/>
  <c r="AR7" i="12"/>
  <c r="AP7" i="12"/>
  <c r="AN7" i="12"/>
  <c r="AL7" i="12"/>
  <c r="AJ7" i="12"/>
  <c r="AG7" i="12"/>
  <c r="AE7" i="12"/>
  <c r="AC7" i="12"/>
  <c r="AA7" i="12"/>
  <c r="Y7" i="12"/>
  <c r="W7" i="12"/>
  <c r="U7" i="12"/>
  <c r="S7" i="12"/>
  <c r="Q7" i="12"/>
  <c r="O7" i="12"/>
  <c r="M7" i="12"/>
  <c r="K7" i="12"/>
  <c r="J19" i="12"/>
  <c r="H35" i="12"/>
  <c r="I35" i="12" s="1"/>
  <c r="H23" i="12"/>
  <c r="I23" i="12" s="1"/>
  <c r="J23" i="12"/>
  <c r="H22" i="12"/>
  <c r="I22" i="12" s="1"/>
  <c r="H21" i="12"/>
  <c r="I21" i="12" s="1"/>
  <c r="J21" i="12"/>
  <c r="H20" i="12"/>
  <c r="I20" i="12"/>
  <c r="H19" i="12"/>
  <c r="I19" i="12" s="1"/>
  <c r="J10" i="12"/>
  <c r="J4" i="12"/>
  <c r="BF78" i="12"/>
  <c r="BD78" i="12"/>
  <c r="BB78" i="12"/>
  <c r="AZ78" i="12"/>
  <c r="AX78" i="12"/>
  <c r="AV78" i="12"/>
  <c r="AT78" i="12"/>
  <c r="AR78" i="12"/>
  <c r="AP78" i="12"/>
  <c r="AN78" i="12"/>
  <c r="AL78" i="12"/>
  <c r="AJ78" i="12"/>
  <c r="AG78" i="12"/>
  <c r="AE78" i="12"/>
  <c r="AC78" i="12"/>
  <c r="AA78" i="12"/>
  <c r="Y78" i="12"/>
  <c r="W78" i="12"/>
  <c r="U78" i="12"/>
  <c r="S78" i="12"/>
  <c r="Q78" i="12"/>
  <c r="O78" i="12"/>
  <c r="M78" i="12"/>
  <c r="K78" i="12"/>
  <c r="G78" i="12"/>
  <c r="J76" i="12"/>
  <c r="H76" i="12"/>
  <c r="I76" i="12" s="1"/>
  <c r="J75" i="12"/>
  <c r="H75" i="12"/>
  <c r="I75" i="12" s="1"/>
  <c r="J74" i="12"/>
  <c r="H74" i="12"/>
  <c r="I74" i="12" s="1"/>
  <c r="J73" i="12"/>
  <c r="H73" i="12"/>
  <c r="I73" i="12" s="1"/>
  <c r="J72" i="12"/>
  <c r="H72" i="12"/>
  <c r="I72" i="12"/>
  <c r="J71" i="12"/>
  <c r="H71" i="12"/>
  <c r="I71" i="12" s="1"/>
  <c r="J70" i="12"/>
  <c r="H70" i="12"/>
  <c r="I70" i="12" s="1"/>
  <c r="J69" i="12"/>
  <c r="H69" i="12"/>
  <c r="I69" i="12" s="1"/>
  <c r="J68" i="12"/>
  <c r="H68" i="12"/>
  <c r="I68" i="12" s="1"/>
  <c r="J67" i="12"/>
  <c r="H67" i="12"/>
  <c r="I67" i="12" s="1"/>
  <c r="J66" i="12"/>
  <c r="H66" i="12"/>
  <c r="I66" i="12" s="1"/>
  <c r="J65" i="12"/>
  <c r="H65" i="12"/>
  <c r="I65" i="12" s="1"/>
  <c r="J64" i="12"/>
  <c r="H64" i="12"/>
  <c r="I64" i="12" s="1"/>
  <c r="J63" i="12"/>
  <c r="H63" i="12"/>
  <c r="I63" i="12" s="1"/>
  <c r="J62" i="12"/>
  <c r="H62" i="12"/>
  <c r="I62" i="12" s="1"/>
  <c r="J61" i="12"/>
  <c r="H61" i="12"/>
  <c r="I61" i="12"/>
  <c r="J60" i="12"/>
  <c r="H60" i="12"/>
  <c r="I60" i="12" s="1"/>
  <c r="J59" i="12"/>
  <c r="H59" i="12"/>
  <c r="I59" i="12" s="1"/>
  <c r="J58" i="12"/>
  <c r="H58" i="12"/>
  <c r="I58" i="12"/>
  <c r="J57" i="12"/>
  <c r="H57" i="12"/>
  <c r="I57" i="12" s="1"/>
  <c r="J56" i="12"/>
  <c r="H56" i="12"/>
  <c r="I56" i="12" s="1"/>
  <c r="J55" i="12"/>
  <c r="H55" i="12"/>
  <c r="I55" i="12" s="1"/>
  <c r="J54" i="12"/>
  <c r="H54" i="12"/>
  <c r="I54" i="12" s="1"/>
  <c r="J53" i="12"/>
  <c r="H53" i="12"/>
  <c r="I53" i="12"/>
  <c r="J52" i="12"/>
  <c r="H52" i="12"/>
  <c r="I52" i="12" s="1"/>
  <c r="J51" i="12"/>
  <c r="H51" i="12"/>
  <c r="I51" i="12" s="1"/>
  <c r="BG50" i="12"/>
  <c r="BG13" i="12" s="1"/>
  <c r="BG11" i="12" s="1"/>
  <c r="BF50" i="12"/>
  <c r="BF14" i="12" s="1"/>
  <c r="BF11" i="12" s="1"/>
  <c r="BE50" i="12"/>
  <c r="BD50" i="12"/>
  <c r="BD14" i="12" s="1"/>
  <c r="BD11" i="12" s="1"/>
  <c r="BC50" i="12"/>
  <c r="BC13" i="12" s="1"/>
  <c r="BC11" i="12" s="1"/>
  <c r="BB50" i="12"/>
  <c r="BB14" i="12" s="1"/>
  <c r="BA50" i="12"/>
  <c r="AZ50" i="12"/>
  <c r="AZ14" i="12" s="1"/>
  <c r="AY50" i="12"/>
  <c r="AY13" i="12" s="1"/>
  <c r="AY11" i="12" s="1"/>
  <c r="AX50" i="12"/>
  <c r="AX14" i="12" s="1"/>
  <c r="AW50" i="12"/>
  <c r="AW13" i="12" s="1"/>
  <c r="AW11" i="12" s="1"/>
  <c r="AV50" i="12"/>
  <c r="AV14" i="12" s="1"/>
  <c r="AU50" i="12"/>
  <c r="AU13" i="12"/>
  <c r="AU11" i="12" s="1"/>
  <c r="AT50" i="12"/>
  <c r="AT14" i="12" s="1"/>
  <c r="AT11" i="12" s="1"/>
  <c r="AS50" i="12"/>
  <c r="AS13" i="12" s="1"/>
  <c r="AS11" i="12" s="1"/>
  <c r="AR50" i="12"/>
  <c r="AR14" i="12" s="1"/>
  <c r="AQ50" i="12"/>
  <c r="AQ13" i="12"/>
  <c r="AQ11" i="12" s="1"/>
  <c r="AP50" i="12"/>
  <c r="AP14" i="12" s="1"/>
  <c r="AP11" i="12" s="1"/>
  <c r="AO50" i="12"/>
  <c r="AN50" i="12"/>
  <c r="AN14" i="12" s="1"/>
  <c r="AM50" i="12"/>
  <c r="AM13" i="12" s="1"/>
  <c r="AM11" i="12" s="1"/>
  <c r="AL50" i="12"/>
  <c r="AL14" i="12" s="1"/>
  <c r="AK50" i="12"/>
  <c r="AK13" i="12" s="1"/>
  <c r="AK11" i="12" s="1"/>
  <c r="AJ50" i="12"/>
  <c r="AJ14" i="12" s="1"/>
  <c r="AH50" i="12"/>
  <c r="AH13" i="12"/>
  <c r="AH11" i="12" s="1"/>
  <c r="AG50" i="12"/>
  <c r="AG14" i="12" s="1"/>
  <c r="AF50" i="12"/>
  <c r="AF13" i="12" s="1"/>
  <c r="AE50" i="12"/>
  <c r="AE14" i="12" s="1"/>
  <c r="AE11" i="12" s="1"/>
  <c r="AD50" i="12"/>
  <c r="AD13" i="12" s="1"/>
  <c r="AD11" i="12" s="1"/>
  <c r="AC50" i="12"/>
  <c r="AC14" i="12" s="1"/>
  <c r="AB50" i="12"/>
  <c r="AB13" i="12" s="1"/>
  <c r="AB11" i="12" s="1"/>
  <c r="AA50" i="12"/>
  <c r="AA14" i="12" s="1"/>
  <c r="Z50" i="12"/>
  <c r="Z13" i="12" s="1"/>
  <c r="Z11" i="12" s="1"/>
  <c r="Y50" i="12"/>
  <c r="Y14" i="12" s="1"/>
  <c r="X50" i="12"/>
  <c r="X13" i="12" s="1"/>
  <c r="X11" i="12" s="1"/>
  <c r="W50" i="12"/>
  <c r="W14" i="12" s="1"/>
  <c r="V50" i="12"/>
  <c r="V13" i="12"/>
  <c r="V11" i="12" s="1"/>
  <c r="U50" i="12"/>
  <c r="U14" i="12" s="1"/>
  <c r="U11" i="12" s="1"/>
  <c r="T50" i="12"/>
  <c r="T13" i="12" s="1"/>
  <c r="T11" i="12" s="1"/>
  <c r="S50" i="12"/>
  <c r="S14" i="12" s="1"/>
  <c r="R50" i="12"/>
  <c r="R13" i="12" s="1"/>
  <c r="R11" i="12" s="1"/>
  <c r="Q50" i="12"/>
  <c r="Q14" i="12" s="1"/>
  <c r="Q11" i="12" s="1"/>
  <c r="P50" i="12"/>
  <c r="P13" i="12" s="1"/>
  <c r="P11" i="12" s="1"/>
  <c r="O50" i="12"/>
  <c r="O14" i="12" s="1"/>
  <c r="N50" i="12"/>
  <c r="N13" i="12"/>
  <c r="N11" i="12"/>
  <c r="M50" i="12"/>
  <c r="M14" i="12" s="1"/>
  <c r="L50" i="12"/>
  <c r="K50" i="12"/>
  <c r="K14" i="12" s="1"/>
  <c r="G50" i="12"/>
  <c r="BF46" i="12"/>
  <c r="BD46" i="12"/>
  <c r="BB46" i="12"/>
  <c r="AZ46" i="12"/>
  <c r="AX46" i="12"/>
  <c r="AV46" i="12"/>
  <c r="AT46" i="12"/>
  <c r="AR46" i="12"/>
  <c r="AP46" i="12"/>
  <c r="AN46" i="12"/>
  <c r="AL46" i="12"/>
  <c r="AJ46" i="12"/>
  <c r="AG46" i="12"/>
  <c r="AE46" i="12"/>
  <c r="AC46" i="12"/>
  <c r="AA46" i="12"/>
  <c r="Y46" i="12"/>
  <c r="W46" i="12"/>
  <c r="U46" i="12"/>
  <c r="S46" i="12"/>
  <c r="Q46" i="12"/>
  <c r="O46" i="12"/>
  <c r="M46" i="12"/>
  <c r="K46" i="12"/>
  <c r="G46" i="12"/>
  <c r="J44" i="12"/>
  <c r="H44" i="12"/>
  <c r="I44" i="12" s="1"/>
  <c r="J43" i="12"/>
  <c r="H43" i="12"/>
  <c r="I43" i="12" s="1"/>
  <c r="J42" i="12"/>
  <c r="H42" i="12"/>
  <c r="I42" i="12" s="1"/>
  <c r="J41" i="12"/>
  <c r="H41" i="12"/>
  <c r="I41" i="12" s="1"/>
  <c r="J40" i="12"/>
  <c r="H40" i="12"/>
  <c r="I40" i="12" s="1"/>
  <c r="J39" i="12"/>
  <c r="H39" i="12"/>
  <c r="I39" i="12" s="1"/>
  <c r="J38" i="12"/>
  <c r="H38" i="12"/>
  <c r="I38" i="12" s="1"/>
  <c r="J37" i="12"/>
  <c r="H37" i="12"/>
  <c r="I37" i="12" s="1"/>
  <c r="J36" i="12"/>
  <c r="H36" i="12"/>
  <c r="I36" i="12" s="1"/>
  <c r="J35" i="12"/>
  <c r="J34" i="12"/>
  <c r="H34" i="12"/>
  <c r="I34" i="12" s="1"/>
  <c r="J33" i="12"/>
  <c r="H33" i="12"/>
  <c r="I33" i="12" s="1"/>
  <c r="J32" i="12"/>
  <c r="H32" i="12"/>
  <c r="I32" i="12" s="1"/>
  <c r="H31" i="12"/>
  <c r="I31" i="12" s="1"/>
  <c r="J31" i="12"/>
  <c r="H30" i="12"/>
  <c r="I30" i="12" s="1"/>
  <c r="J30" i="12"/>
  <c r="H29" i="12"/>
  <c r="I29" i="12" s="1"/>
  <c r="J29" i="12"/>
  <c r="H28" i="12"/>
  <c r="I28" i="12" s="1"/>
  <c r="J28" i="12"/>
  <c r="H27" i="12"/>
  <c r="I27" i="12" s="1"/>
  <c r="J27" i="12"/>
  <c r="H26" i="12"/>
  <c r="I26" i="12" s="1"/>
  <c r="J26" i="12"/>
  <c r="H25" i="12"/>
  <c r="I25" i="12" s="1"/>
  <c r="J25" i="12"/>
  <c r="H24" i="12"/>
  <c r="I24" i="12" s="1"/>
  <c r="J24" i="12"/>
  <c r="J22" i="12"/>
  <c r="BG18" i="12"/>
  <c r="BG7" i="12" s="1"/>
  <c r="BG5" i="12" s="1"/>
  <c r="BF18" i="12"/>
  <c r="BF8" i="12"/>
  <c r="BF5" i="12" s="1"/>
  <c r="BE18" i="12"/>
  <c r="BE7" i="12" s="1"/>
  <c r="BE5" i="12" s="1"/>
  <c r="BD18" i="12"/>
  <c r="BD8" i="12"/>
  <c r="BD5" i="12" s="1"/>
  <c r="BC18" i="12"/>
  <c r="BC7" i="12" s="1"/>
  <c r="BC5" i="12" s="1"/>
  <c r="BB18" i="12"/>
  <c r="BB8" i="12" s="1"/>
  <c r="BB5" i="12" s="1"/>
  <c r="BA18" i="12"/>
  <c r="BA7" i="12"/>
  <c r="BA5" i="12" s="1"/>
  <c r="AZ18" i="12"/>
  <c r="AZ8" i="12" s="1"/>
  <c r="AZ5" i="12" s="1"/>
  <c r="AY18" i="12"/>
  <c r="AY7" i="12" s="1"/>
  <c r="AY5" i="12" s="1"/>
  <c r="AX18" i="12"/>
  <c r="AX8" i="12" s="1"/>
  <c r="AX5" i="12" s="1"/>
  <c r="AW18" i="12"/>
  <c r="AW7" i="12" s="1"/>
  <c r="AW5" i="12" s="1"/>
  <c r="AV18" i="12"/>
  <c r="AV8" i="12" s="1"/>
  <c r="AV5" i="12" s="1"/>
  <c r="AU18" i="12"/>
  <c r="AU7" i="12" s="1"/>
  <c r="AT18" i="12"/>
  <c r="AT8" i="12" s="1"/>
  <c r="AT5" i="12"/>
  <c r="AS18" i="12"/>
  <c r="AS7" i="12" s="1"/>
  <c r="AS5" i="12" s="1"/>
  <c r="AR18" i="12"/>
  <c r="AR8" i="12" s="1"/>
  <c r="AQ18" i="12"/>
  <c r="AQ7" i="12"/>
  <c r="AQ5" i="12" s="1"/>
  <c r="AP18" i="12"/>
  <c r="AP8" i="12" s="1"/>
  <c r="AP5" i="12" s="1"/>
  <c r="AO18" i="12"/>
  <c r="AO7" i="12" s="1"/>
  <c r="AO5" i="12" s="1"/>
  <c r="AN18" i="12"/>
  <c r="AN8" i="12" s="1"/>
  <c r="AN5" i="12" s="1"/>
  <c r="AM18" i="12"/>
  <c r="AM7" i="12" s="1"/>
  <c r="AM5" i="12" s="1"/>
  <c r="AL18" i="12"/>
  <c r="AL8" i="12" s="1"/>
  <c r="AL5" i="12" s="1"/>
  <c r="AK18" i="12"/>
  <c r="AK7" i="12" s="1"/>
  <c r="AK5" i="12" s="1"/>
  <c r="AJ18" i="12"/>
  <c r="AJ8" i="12"/>
  <c r="AH18" i="12"/>
  <c r="AH7" i="12" s="1"/>
  <c r="AH5" i="12" s="1"/>
  <c r="AG18" i="12"/>
  <c r="AG8" i="12" s="1"/>
  <c r="AG5" i="12" s="1"/>
  <c r="AF18" i="12"/>
  <c r="AF7" i="12" s="1"/>
  <c r="AF5" i="12" s="1"/>
  <c r="AE18" i="12"/>
  <c r="AE8" i="12"/>
  <c r="AE5" i="12" s="1"/>
  <c r="AD18" i="12"/>
  <c r="AC18" i="12"/>
  <c r="AC8" i="12"/>
  <c r="AC5" i="12" s="1"/>
  <c r="AB18" i="12"/>
  <c r="AB7" i="12" s="1"/>
  <c r="AB5" i="12" s="1"/>
  <c r="AA18" i="12"/>
  <c r="AA8" i="12"/>
  <c r="AA5" i="12" s="1"/>
  <c r="Z18" i="12"/>
  <c r="Z7" i="12" s="1"/>
  <c r="Z5" i="12" s="1"/>
  <c r="Y18" i="12"/>
  <c r="Y8" i="12" s="1"/>
  <c r="X18" i="12"/>
  <c r="X7" i="12"/>
  <c r="X5" i="12" s="1"/>
  <c r="W18" i="12"/>
  <c r="W8" i="12" s="1"/>
  <c r="W5" i="12" s="1"/>
  <c r="V18" i="12"/>
  <c r="V7" i="12" s="1"/>
  <c r="V5" i="12" s="1"/>
  <c r="U18" i="12"/>
  <c r="U8" i="12" s="1"/>
  <c r="U5" i="12" s="1"/>
  <c r="T18" i="12"/>
  <c r="T7" i="12" s="1"/>
  <c r="T5" i="12" s="1"/>
  <c r="S18" i="12"/>
  <c r="S8" i="12" s="1"/>
  <c r="R18" i="12"/>
  <c r="R7" i="12" s="1"/>
  <c r="R5" i="12" s="1"/>
  <c r="Q18" i="12"/>
  <c r="Q8" i="12" s="1"/>
  <c r="Q5" i="12" s="1"/>
  <c r="P18" i="12"/>
  <c r="P7" i="12" s="1"/>
  <c r="P5" i="12"/>
  <c r="O18" i="12"/>
  <c r="O8" i="12" s="1"/>
  <c r="N18" i="12"/>
  <c r="N7" i="12" s="1"/>
  <c r="N5" i="12" s="1"/>
  <c r="M18" i="12"/>
  <c r="M8" i="12" s="1"/>
  <c r="L18" i="12"/>
  <c r="L7" i="12" s="1"/>
  <c r="L5" i="12" s="1"/>
  <c r="K18" i="12"/>
  <c r="K8" i="12" s="1"/>
  <c r="G18" i="12"/>
  <c r="BG16" i="12"/>
  <c r="BF16" i="12"/>
  <c r="BE16" i="12"/>
  <c r="BD16" i="12"/>
  <c r="BC16" i="12"/>
  <c r="BB16" i="12"/>
  <c r="BA16" i="12"/>
  <c r="AZ16" i="12"/>
  <c r="AY16" i="12"/>
  <c r="AX16" i="12"/>
  <c r="AW16" i="12"/>
  <c r="AV16" i="12"/>
  <c r="AU16" i="12"/>
  <c r="AT16" i="12"/>
  <c r="AS16" i="12"/>
  <c r="AR16" i="12"/>
  <c r="AQ16" i="12"/>
  <c r="AP16" i="12"/>
  <c r="AO16" i="12"/>
  <c r="AN16" i="12"/>
  <c r="AM16" i="12"/>
  <c r="AL16" i="12"/>
  <c r="AK16" i="12"/>
  <c r="AJ16" i="12"/>
  <c r="BE13" i="12"/>
  <c r="BE11" i="12" s="1"/>
  <c r="BA13" i="12"/>
  <c r="BA11" i="12" s="1"/>
  <c r="AO13" i="12"/>
  <c r="AO11" i="12" s="1"/>
  <c r="L13" i="12"/>
  <c r="L11" i="12" s="1"/>
  <c r="AF11" i="12"/>
  <c r="AD7" i="12"/>
  <c r="AD5" i="12" s="1"/>
  <c r="M5" i="12"/>
  <c r="AV11" i="12"/>
  <c r="AZ11" i="12"/>
  <c r="BH6" i="12"/>
  <c r="BH12" i="12"/>
  <c r="AL11" i="12"/>
  <c r="AX11" i="12"/>
  <c r="BB11" i="12"/>
  <c r="AI12" i="12"/>
  <c r="O11" i="12"/>
  <c r="W11" i="12"/>
  <c r="Y11" i="12"/>
  <c r="AC11" i="12"/>
  <c r="AG11" i="12"/>
  <c r="AI6" i="12"/>
  <c r="J20" i="12"/>
  <c r="L42" i="17" l="1"/>
  <c r="L43" i="17"/>
  <c r="L44" i="17"/>
  <c r="BH14" i="12"/>
  <c r="H18" i="12"/>
  <c r="AN11" i="12"/>
  <c r="K5" i="12"/>
  <c r="S5" i="12"/>
  <c r="AJ5" i="12"/>
  <c r="K11" i="12"/>
  <c r="S11" i="12"/>
  <c r="AA11" i="12"/>
  <c r="AJ11" i="12"/>
  <c r="AR11" i="12"/>
  <c r="AI14" i="12"/>
  <c r="K29" i="4"/>
  <c r="R11" i="17"/>
  <c r="K15" i="4"/>
  <c r="Q17" i="17"/>
  <c r="M29" i="17"/>
  <c r="P20" i="17"/>
  <c r="K22" i="4"/>
  <c r="N17" i="17"/>
  <c r="P17" i="17"/>
  <c r="P22" i="17"/>
  <c r="P34" i="17"/>
  <c r="N24" i="17"/>
  <c r="O18" i="17"/>
  <c r="O34" i="17"/>
  <c r="N32" i="17"/>
  <c r="Q21" i="17"/>
  <c r="P16" i="17"/>
  <c r="P25" i="17"/>
  <c r="M33" i="17"/>
  <c r="P35" i="17"/>
  <c r="P33" i="17"/>
  <c r="O27" i="17"/>
  <c r="M28" i="17"/>
  <c r="P31" i="17"/>
  <c r="Q23" i="17"/>
  <c r="O25" i="17"/>
  <c r="O19" i="17"/>
  <c r="M27" i="17"/>
  <c r="P30" i="17"/>
  <c r="AU5" i="12"/>
  <c r="BH7" i="12"/>
  <c r="I18" i="12"/>
  <c r="BH11" i="12"/>
  <c r="AI8" i="12"/>
  <c r="O5" i="12"/>
  <c r="AR5" i="12"/>
  <c r="AI7" i="12"/>
  <c r="M11" i="12"/>
  <c r="BH13" i="12"/>
  <c r="BH8" i="12"/>
  <c r="Y5" i="12"/>
  <c r="AI13" i="12"/>
  <c r="Q25" i="17"/>
  <c r="N16" i="17"/>
  <c r="Q19" i="17"/>
  <c r="Q20" i="17"/>
  <c r="Q22" i="17"/>
  <c r="O21" i="17"/>
  <c r="P18" i="17"/>
  <c r="O24" i="17"/>
  <c r="O17" i="17"/>
  <c r="M25" i="17"/>
  <c r="P23" i="17"/>
  <c r="N36" i="17"/>
  <c r="O28" i="17"/>
  <c r="P36" i="17"/>
  <c r="Q29" i="17"/>
  <c r="M36" i="17"/>
  <c r="O29" i="17"/>
  <c r="O31" i="17"/>
  <c r="Q32" i="17"/>
  <c r="N30" i="17"/>
  <c r="Q28" i="17"/>
  <c r="Q27" i="17"/>
  <c r="O29" i="4"/>
  <c r="Q24" i="17"/>
  <c r="N22" i="17"/>
  <c r="N20" i="17"/>
  <c r="N25" i="17"/>
  <c r="Q16" i="17"/>
  <c r="M22" i="17"/>
  <c r="O22" i="17"/>
  <c r="M16" i="17"/>
  <c r="M19" i="17"/>
  <c r="M21" i="17"/>
  <c r="P21" i="17"/>
  <c r="N27" i="17"/>
  <c r="P27" i="17"/>
  <c r="Q35" i="17"/>
  <c r="O30" i="17"/>
  <c r="O33" i="17"/>
  <c r="Q31" i="17"/>
  <c r="N34" i="17"/>
  <c r="O36" i="17"/>
  <c r="Q34" i="17"/>
  <c r="P32" i="17"/>
  <c r="N31" i="17"/>
  <c r="O32" i="17"/>
  <c r="Q30" i="17"/>
  <c r="O22" i="4"/>
  <c r="M31" i="17"/>
  <c r="N19" i="17"/>
  <c r="N18" i="17"/>
  <c r="N23" i="17"/>
  <c r="N21" i="17"/>
  <c r="O16" i="17"/>
  <c r="M18" i="17"/>
  <c r="O20" i="17"/>
  <c r="O23" i="17"/>
  <c r="P24" i="17"/>
  <c r="M17" i="17"/>
  <c r="P19" i="17"/>
  <c r="N33" i="17"/>
  <c r="P29" i="17"/>
  <c r="N35" i="17"/>
  <c r="Q36" i="17"/>
  <c r="O35" i="17"/>
  <c r="N28" i="17"/>
  <c r="M30" i="17"/>
  <c r="P28" i="17"/>
  <c r="M32" i="17"/>
  <c r="Q33" i="17"/>
  <c r="O15" i="4"/>
  <c r="M23" i="17" s="1"/>
  <c r="M34" i="17" l="1"/>
  <c r="M24" i="17"/>
  <c r="R24" i="17" s="1"/>
  <c r="L45" i="17"/>
  <c r="M35" i="17"/>
  <c r="R35" i="17" s="1"/>
  <c r="N29" i="17"/>
  <c r="R29" i="17" s="1"/>
  <c r="BH5" i="12"/>
  <c r="M20" i="17"/>
  <c r="R20" i="17" s="1"/>
  <c r="R33" i="17"/>
  <c r="Q26" i="17"/>
  <c r="R30" i="17"/>
  <c r="O37" i="17"/>
  <c r="R28" i="17"/>
  <c r="R17" i="17"/>
  <c r="R32" i="17"/>
  <c r="R31" i="17"/>
  <c r="O26" i="17"/>
  <c r="R19" i="17"/>
  <c r="R16" i="17"/>
  <c r="Q37" i="17"/>
  <c r="R27" i="17"/>
  <c r="R25" i="17"/>
  <c r="P26" i="17"/>
  <c r="R18" i="17"/>
  <c r="R21" i="17"/>
  <c r="R22" i="17"/>
  <c r="R36" i="17"/>
  <c r="N26" i="17"/>
  <c r="P37" i="17"/>
  <c r="R23" i="17"/>
  <c r="R34" i="17"/>
  <c r="M37" i="17" l="1"/>
  <c r="L46" i="17"/>
  <c r="M42" i="17" s="1"/>
  <c r="N37" i="17"/>
  <c r="N38" i="17" s="1"/>
  <c r="Q38" i="17"/>
  <c r="M26" i="17"/>
  <c r="O38" i="17"/>
  <c r="R26" i="17"/>
  <c r="R37" i="17"/>
  <c r="P38" i="17"/>
  <c r="M38" i="17" l="1"/>
  <c r="M45" i="17"/>
  <c r="M44" i="17"/>
  <c r="M43" i="17"/>
  <c r="L48" i="17"/>
  <c r="R38" i="17"/>
  <c r="M46"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Estephano Cosentino Neto</author>
  </authors>
  <commentList>
    <comment ref="L9" authorId="0" shapeId="0" xr:uid="{00000000-0006-0000-0000-000001000000}">
      <text>
        <r>
          <rPr>
            <b/>
            <sz val="8"/>
            <color indexed="81"/>
            <rFont val="Tahoma"/>
            <family val="2"/>
          </rPr>
          <t>Gestão da produção, gestão de incidentes, gerencia de mudança, certificação.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Ana Paula Morales Pereira - Claro Matriz -</author>
  </authors>
  <commentList>
    <comment ref="H1" authorId="0" shapeId="0" xr:uid="{00000000-0006-0000-0300-000002000000}">
      <text>
        <r>
          <rPr>
            <b/>
            <sz val="9"/>
            <color indexed="81"/>
            <rFont val="Tahoma"/>
            <family val="2"/>
          </rPr>
          <t>Garantir que a linha cinza seja o totalizador da Contratação (RC/QD/OR).</t>
        </r>
      </text>
    </comment>
  </commentList>
</comments>
</file>

<file path=xl/sharedStrings.xml><?xml version="1.0" encoding="utf-8"?>
<sst xmlns="http://schemas.openxmlformats.org/spreadsheetml/2006/main" count="18272" uniqueCount="9045">
  <si>
    <t>Sistema</t>
  </si>
  <si>
    <t>Sigla</t>
  </si>
  <si>
    <t>Diretor</t>
  </si>
  <si>
    <t>Área</t>
  </si>
  <si>
    <t>Comite</t>
  </si>
  <si>
    <t>Diretoria</t>
  </si>
  <si>
    <t>Un. de Mercado
(Negócio)</t>
  </si>
  <si>
    <t>EMPRESA</t>
  </si>
  <si>
    <t>AQUISIÇÃO.HARDWARE</t>
  </si>
  <si>
    <t>AQUISIÇÃO.SOFTWARE</t>
  </si>
  <si>
    <t>SERVIÇOS.TI</t>
  </si>
  <si>
    <t>Tipo 
Negociação</t>
  </si>
  <si>
    <t>Class AMX</t>
  </si>
  <si>
    <t>ACL</t>
  </si>
  <si>
    <t>VCO</t>
  </si>
  <si>
    <t>Jacinto Luis Miotto Neto</t>
  </si>
  <si>
    <t>Vendas Corporativas - VCO</t>
  </si>
  <si>
    <t>TI</t>
  </si>
  <si>
    <t>Projetos Estratégicos</t>
  </si>
  <si>
    <t>Empresarial</t>
  </si>
  <si>
    <t>CLARO</t>
  </si>
  <si>
    <t>Serv. Unix</t>
  </si>
  <si>
    <t>SW Básico</t>
  </si>
  <si>
    <t>Service Desk</t>
  </si>
  <si>
    <t>Fornecedor único/Fixo</t>
  </si>
  <si>
    <t>BILLING</t>
  </si>
  <si>
    <t>ACT/DEACT</t>
  </si>
  <si>
    <t>SVA</t>
  </si>
  <si>
    <t>Alexandre Olivari</t>
  </si>
  <si>
    <t>Serviços Valor Agregado - SVA</t>
  </si>
  <si>
    <t>MELHORIA</t>
  </si>
  <si>
    <t>Arq., Sist. Cabo/Fixo e BI</t>
  </si>
  <si>
    <t>Pessoal</t>
  </si>
  <si>
    <t>NET</t>
  </si>
  <si>
    <t>Serv. Windows</t>
  </si>
  <si>
    <t>SW Aplicações</t>
  </si>
  <si>
    <t>Field Services</t>
  </si>
  <si>
    <t>Fast Track</t>
  </si>
  <si>
    <t>APROVISIONAMIENTO</t>
  </si>
  <si>
    <t>Amdocs AMSS</t>
  </si>
  <si>
    <t>MKT</t>
  </si>
  <si>
    <t>Rodrigo Vidigal</t>
  </si>
  <si>
    <t>Marketing - MKT</t>
  </si>
  <si>
    <t>OPERACIONAL</t>
  </si>
  <si>
    <t>Sistemas NET.Uno</t>
  </si>
  <si>
    <t>Resid. &amp; Combos</t>
  </si>
  <si>
    <t>EBT</t>
  </si>
  <si>
    <t>Serv. Mainframe</t>
  </si>
  <si>
    <t>Middleware</t>
  </si>
  <si>
    <t>OGS</t>
  </si>
  <si>
    <t>RFP/RFI</t>
  </si>
  <si>
    <t xml:space="preserve">LICENCIAS DE SOFTWARE </t>
  </si>
  <si>
    <t>Amdocs CRM</t>
  </si>
  <si>
    <t>VCR</t>
  </si>
  <si>
    <t>Ricardo Cesar de Oliveira</t>
  </si>
  <si>
    <t>Vendas Consumo e Regionais - VCR</t>
  </si>
  <si>
    <t>REGULATORIO E FISCAL</t>
  </si>
  <si>
    <t>Sistemas Financeiros</t>
  </si>
  <si>
    <t>Áreas Corporativas</t>
  </si>
  <si>
    <t>DTH</t>
  </si>
  <si>
    <t>Notebooks</t>
  </si>
  <si>
    <t>Microinformática</t>
  </si>
  <si>
    <t>Melhoria Sistemas</t>
  </si>
  <si>
    <t>Recorrente</t>
  </si>
  <si>
    <t>ERP</t>
  </si>
  <si>
    <t>Amdocs EPC</t>
  </si>
  <si>
    <t>SCO</t>
  </si>
  <si>
    <t>Ricardo Floresta</t>
  </si>
  <si>
    <t>Serviços a Clientes e Operações - SCO</t>
  </si>
  <si>
    <t>PN 2014-2016</t>
  </si>
  <si>
    <t>Sistemas Tributários/RH</t>
  </si>
  <si>
    <t>NET.UNO</t>
  </si>
  <si>
    <t>Desktop</t>
  </si>
  <si>
    <t>Ferramentas de TI</t>
  </si>
  <si>
    <t>Serviços Data Center</t>
  </si>
  <si>
    <t>OSS</t>
  </si>
  <si>
    <t>Amdocs Mobile</t>
  </si>
  <si>
    <t>PLS</t>
  </si>
  <si>
    <t>Eduardo Barnetche Girard</t>
  </si>
  <si>
    <t>Planejamento e Sinergias - PLS</t>
  </si>
  <si>
    <t>GENESIS</t>
  </si>
  <si>
    <t>Sistemas DTH</t>
  </si>
  <si>
    <t>IAAS / Hosting</t>
  </si>
  <si>
    <t>CRM</t>
  </si>
  <si>
    <t>Amdocs Ordering</t>
  </si>
  <si>
    <t>ACO</t>
  </si>
  <si>
    <t>Ricardo Luis Barretto</t>
  </si>
  <si>
    <t>Auditoria e Controle de Operações - ACO</t>
  </si>
  <si>
    <t>Sistemas Móvel</t>
  </si>
  <si>
    <t>SAAS</t>
  </si>
  <si>
    <t>MEDIATION, INTERCONNECTION, COBILLING</t>
  </si>
  <si>
    <t>Amdocs Sales</t>
  </si>
  <si>
    <t>CPS</t>
  </si>
  <si>
    <t>Martín Buteler</t>
  </si>
  <si>
    <t>Compras e Logística - CPS</t>
  </si>
  <si>
    <t>Sistemas Empresarial</t>
  </si>
  <si>
    <t>Outros</t>
  </si>
  <si>
    <t>BI (BUSINESS INTELLIGENCE)</t>
  </si>
  <si>
    <t>Anatel 226</t>
  </si>
  <si>
    <t>DRH</t>
  </si>
  <si>
    <t>Renata Prudente</t>
  </si>
  <si>
    <t>Recursos Humanos - DRH</t>
  </si>
  <si>
    <t>Operação TI</t>
  </si>
  <si>
    <t xml:space="preserve">INFRAESTRUCTURA DE IT </t>
  </si>
  <si>
    <t>APRM</t>
  </si>
  <si>
    <t>DTI</t>
  </si>
  <si>
    <t>Luis Martin Sanchez Tahuilan</t>
  </si>
  <si>
    <t>Tecnologia da Informação - DTI</t>
  </si>
  <si>
    <t>Infraestrutura</t>
  </si>
  <si>
    <t>ASEG ING/FRAUDE</t>
  </si>
  <si>
    <t>Aprovisionador NPC</t>
  </si>
  <si>
    <t>ENG</t>
  </si>
  <si>
    <t>André Pádua Sarcinelli</t>
  </si>
  <si>
    <t>Engenharia - ENG</t>
  </si>
  <si>
    <t>COMISIONES</t>
  </si>
  <si>
    <t>Arbor Peakflow</t>
  </si>
  <si>
    <t>FIN</t>
  </si>
  <si>
    <t>Isaac Berensztejn</t>
  </si>
  <si>
    <t>Finanças - FIN</t>
  </si>
  <si>
    <t>ATCN A CLIENTES/ VENTAS  Y DISTRIBUIDORES</t>
  </si>
  <si>
    <t>Arbor TMS</t>
  </si>
  <si>
    <t>GAR</t>
  </si>
  <si>
    <t>Guido Fontgalland Junior</t>
  </si>
  <si>
    <t>Garantia de Receita - GAR</t>
  </si>
  <si>
    <t>SEGURIDAD Y CONTROL</t>
  </si>
  <si>
    <t>ASA M5510</t>
  </si>
  <si>
    <t>JUR</t>
  </si>
  <si>
    <t>Oscar Petersen</t>
  </si>
  <si>
    <t>Jurídico - JUR</t>
  </si>
  <si>
    <t xml:space="preserve">RENOVACION TECNOLOGICA </t>
  </si>
  <si>
    <t>ASA M5520</t>
  </si>
  <si>
    <t>RBS</t>
  </si>
  <si>
    <t>Dax Aniceto De Souza Filho</t>
  </si>
  <si>
    <t>Operações Regionais BA/SE  - RBS</t>
  </si>
  <si>
    <t>REGULATORIOS</t>
  </si>
  <si>
    <t>ASA M5540</t>
  </si>
  <si>
    <t>RCO</t>
  </si>
  <si>
    <t>Soraia Lapa Santos Tupinamba Gomes</t>
  </si>
  <si>
    <t>Operações Regionais CO - RCO</t>
  </si>
  <si>
    <t>OTROS IT</t>
  </si>
  <si>
    <t>ASA M5550</t>
  </si>
  <si>
    <t>RMG</t>
  </si>
  <si>
    <t>Erik Cordeiro Caldas Fernandes</t>
  </si>
  <si>
    <t>Operações Regionais MG - RMG</t>
  </si>
  <si>
    <t>CALL CENTER</t>
  </si>
  <si>
    <t>AuditPP</t>
  </si>
  <si>
    <t>RNO</t>
  </si>
  <si>
    <t>Marco Aurelio Neves Alves</t>
  </si>
  <si>
    <t>Operações Regionais NO - RNO</t>
  </si>
  <si>
    <t>Autenticador SSO (Externo)</t>
  </si>
  <si>
    <t>RNE</t>
  </si>
  <si>
    <t>Andre Barros Peixoto</t>
  </si>
  <si>
    <t>Operações Regionais NE - RNE</t>
  </si>
  <si>
    <t>Autenticador SSO (Interno)</t>
  </si>
  <si>
    <t>RPS</t>
  </si>
  <si>
    <t>Carlos Alexandre Cipriano</t>
  </si>
  <si>
    <t>Operações Regionais PR/SC - RPS</t>
  </si>
  <si>
    <t>Base de IMEI</t>
  </si>
  <si>
    <t>RRE</t>
  </si>
  <si>
    <t>Maria Gabriela Derenne Campos</t>
  </si>
  <si>
    <t>Operações Regionais RJ/ES - RRE</t>
  </si>
  <si>
    <t>Base Unificada</t>
  </si>
  <si>
    <t>RRS</t>
  </si>
  <si>
    <t>Anderson Carneiro</t>
  </si>
  <si>
    <t>Operações Regionais RS - RRS</t>
  </si>
  <si>
    <t>BI</t>
  </si>
  <si>
    <t>RSC</t>
  </si>
  <si>
    <t>Marcio Pinto Ramos</t>
  </si>
  <si>
    <t>Operações Regionais SP - RSC</t>
  </si>
  <si>
    <t>Boleto Avulso</t>
  </si>
  <si>
    <t>RSI</t>
  </si>
  <si>
    <t>Leandro De Mattos Bueno</t>
  </si>
  <si>
    <t>Operações Regionais Interior - RSI</t>
  </si>
  <si>
    <t>BOW</t>
  </si>
  <si>
    <t>BPEL</t>
  </si>
  <si>
    <t>BPM</t>
  </si>
  <si>
    <t>Brightmail Gateway</t>
  </si>
  <si>
    <t>BRScan</t>
  </si>
  <si>
    <t xml:space="preserve">CapSettle - Roaming </t>
  </si>
  <si>
    <t>Cargas Pré-Pago</t>
  </si>
  <si>
    <t>CDS OFICIOS</t>
  </si>
  <si>
    <t>CEMI</t>
  </si>
  <si>
    <t>Cisco Works</t>
  </si>
  <si>
    <t>Claro 21</t>
  </si>
  <si>
    <t>Claro Bônus</t>
  </si>
  <si>
    <t>Claro Broadcast</t>
  </si>
  <si>
    <t>Claro Clube</t>
  </si>
  <si>
    <t>Claro Cobrança</t>
  </si>
  <si>
    <t>Claro Controle</t>
  </si>
  <si>
    <t>Claro Ideias</t>
  </si>
  <si>
    <t>CMS</t>
  </si>
  <si>
    <t>CobilPP</t>
  </si>
  <si>
    <t>Consulta Faturas</t>
  </si>
  <si>
    <t>Contencioso Fiscal</t>
  </si>
  <si>
    <t>Control-M</t>
  </si>
  <si>
    <t>CRIVO</t>
  </si>
  <si>
    <t>CTF</t>
  </si>
  <si>
    <t>CTI</t>
  </si>
  <si>
    <t>CVB</t>
  </si>
  <si>
    <t>CVS</t>
  </si>
  <si>
    <t>DAC</t>
  </si>
  <si>
    <t>Data Loss Prevention</t>
  </si>
  <si>
    <t>Data Protector</t>
  </si>
  <si>
    <t>DIMEP</t>
  </si>
  <si>
    <t>Dínamo XP</t>
  </si>
  <si>
    <t>Discador</t>
  </si>
  <si>
    <t>EAI</t>
  </si>
  <si>
    <t>ECM</t>
  </si>
  <si>
    <t>e-Cob</t>
  </si>
  <si>
    <t>e-Learning</t>
  </si>
  <si>
    <t>e-procurement</t>
  </si>
  <si>
    <t>ERS</t>
  </si>
  <si>
    <t>ESB</t>
  </si>
  <si>
    <t>Estorno SMS</t>
  </si>
  <si>
    <t>Extranet Dealer</t>
  </si>
  <si>
    <t>Extrato GSM</t>
  </si>
  <si>
    <t>FEU</t>
  </si>
  <si>
    <t>Financial Planning</t>
  </si>
  <si>
    <t>FirstCall</t>
  </si>
  <si>
    <t>Folha Pagamento</t>
  </si>
  <si>
    <t>FWSM</t>
  </si>
  <si>
    <t>GAV</t>
  </si>
  <si>
    <t>GCS</t>
  </si>
  <si>
    <t>GED</t>
  </si>
  <si>
    <t>Gestor de Conteudo</t>
  </si>
  <si>
    <t>Gevenue</t>
  </si>
  <si>
    <t>GFI</t>
  </si>
  <si>
    <t>GFX</t>
  </si>
  <si>
    <t>GGD</t>
  </si>
  <si>
    <t>GIF</t>
  </si>
  <si>
    <t>GOL</t>
  </si>
  <si>
    <t>GUE</t>
  </si>
  <si>
    <t>HIPS</t>
  </si>
  <si>
    <t>HP Openview</t>
  </si>
  <si>
    <t>HP-C5200</t>
  </si>
  <si>
    <t>HP-E7200</t>
  </si>
  <si>
    <t>HP-E7400</t>
  </si>
  <si>
    <t>HP-L7200S</t>
  </si>
  <si>
    <t>HP-M7200XL</t>
  </si>
  <si>
    <t>IMM (Interconnect Management Module)</t>
  </si>
  <si>
    <t>InterconnecT</t>
  </si>
  <si>
    <t>Intermediate</t>
  </si>
  <si>
    <t>IntervieweR</t>
  </si>
  <si>
    <t>Intranet</t>
  </si>
  <si>
    <t>Intranet Atendimento</t>
  </si>
  <si>
    <t>IPCC</t>
  </si>
  <si>
    <t>Isodoc</t>
  </si>
  <si>
    <t>IW Comissionamento</t>
  </si>
  <si>
    <t>IW GD</t>
  </si>
  <si>
    <t>IW GeoMkt</t>
  </si>
  <si>
    <t>IW HotSite</t>
  </si>
  <si>
    <t>IW Relatórios</t>
  </si>
  <si>
    <t>IW Simulador</t>
  </si>
  <si>
    <t>IW SiteTracker</t>
  </si>
  <si>
    <t>Jasper</t>
  </si>
  <si>
    <t>Limite de Crédito</t>
  </si>
  <si>
    <t>Logistica</t>
  </si>
  <si>
    <t>Loja Online</t>
  </si>
  <si>
    <t>Manutenção Vouchers</t>
  </si>
  <si>
    <t>Máquina de Batimentos</t>
  </si>
  <si>
    <t>Maskara2</t>
  </si>
  <si>
    <t>Mastersaf</t>
  </si>
  <si>
    <t>Mediação</t>
  </si>
  <si>
    <t>Menu de Interatividade</t>
  </si>
  <si>
    <t>Micro Crédito</t>
  </si>
  <si>
    <t>Minha Claro</t>
  </si>
  <si>
    <t>MOBILEEXT</t>
  </si>
  <si>
    <t>Mobile Security</t>
  </si>
  <si>
    <t>MS Active Directory</t>
  </si>
  <si>
    <t>MS Communicator</t>
  </si>
  <si>
    <t>MS Digital Certificate Authority</t>
  </si>
  <si>
    <t>MS Exchange</t>
  </si>
  <si>
    <t>MS Office</t>
  </si>
  <si>
    <t>MS SCCM</t>
  </si>
  <si>
    <t>MS SharePoint</t>
  </si>
  <si>
    <t>MSE</t>
  </si>
  <si>
    <t>MTI</t>
  </si>
  <si>
    <t>NET SEC M-2950</t>
  </si>
  <si>
    <t>NET SEC M-8000</t>
  </si>
  <si>
    <t>NET SEC Manager</t>
  </si>
  <si>
    <t>NetLock</t>
  </si>
  <si>
    <t>NF Pré-Pago</t>
  </si>
  <si>
    <t>NGP</t>
  </si>
  <si>
    <t>Nikira</t>
  </si>
  <si>
    <t>NIM</t>
  </si>
  <si>
    <t>Nova Loja Online</t>
  </si>
  <si>
    <t>NRTRDE</t>
  </si>
  <si>
    <t>Oracle BIEE</t>
  </si>
  <si>
    <t>P2K</t>
  </si>
  <si>
    <t>PABX</t>
  </si>
  <si>
    <t>Paros</t>
  </si>
  <si>
    <t>Pesquisa Cobertura</t>
  </si>
  <si>
    <t>PIB</t>
  </si>
  <si>
    <t>PIT</t>
  </si>
  <si>
    <t>PIX M520</t>
  </si>
  <si>
    <t>PIX M525</t>
  </si>
  <si>
    <t>Portal Cautivo</t>
  </si>
  <si>
    <t>Portal RH</t>
  </si>
  <si>
    <t>Portal SAP</t>
  </si>
  <si>
    <t>PowerCenter</t>
  </si>
  <si>
    <t>Precificador</t>
  </si>
  <si>
    <t>PrintLaser</t>
  </si>
  <si>
    <t>PS8</t>
  </si>
  <si>
    <t>PVA</t>
  </si>
  <si>
    <t>QM</t>
  </si>
  <si>
    <t>Recon</t>
  </si>
  <si>
    <t>ReportServer</t>
  </si>
  <si>
    <t>ReprocPIT</t>
  </si>
  <si>
    <t>Retomada</t>
  </si>
  <si>
    <t>RH Express</t>
  </si>
  <si>
    <t>RH Ponto</t>
  </si>
  <si>
    <t>RSA</t>
  </si>
  <si>
    <t>SAP</t>
  </si>
  <si>
    <t>SarWeb</t>
  </si>
  <si>
    <t>SAS</t>
  </si>
  <si>
    <t>SATRE</t>
  </si>
  <si>
    <t>SCC</t>
  </si>
  <si>
    <t>Search</t>
  </si>
  <si>
    <t>Security Track</t>
  </si>
  <si>
    <t>ServCel</t>
  </si>
  <si>
    <t>Service Plataform</t>
  </si>
  <si>
    <t>Settler</t>
  </si>
  <si>
    <t>Short Calls</t>
  </si>
  <si>
    <t>SIAF</t>
  </si>
  <si>
    <t>Sigecon</t>
  </si>
  <si>
    <t>SIGEP</t>
  </si>
  <si>
    <t>Signus</t>
  </si>
  <si>
    <t>SimRav</t>
  </si>
  <si>
    <t>Simulador de Planos de Preços</t>
  </si>
  <si>
    <t>Simulador SobMedida</t>
  </si>
  <si>
    <t>Site Claro</t>
  </si>
  <si>
    <t>SiTef</t>
  </si>
  <si>
    <t>SMS Pacotes</t>
  </si>
  <si>
    <t>SoftPhone</t>
  </si>
  <si>
    <t>SPN</t>
  </si>
  <si>
    <t>SPS</t>
  </si>
  <si>
    <t>SPSS Statistics</t>
  </si>
  <si>
    <t>SRPO</t>
  </si>
  <si>
    <t>SSO</t>
  </si>
  <si>
    <t>SVN</t>
  </si>
  <si>
    <t>Tarifador Imago</t>
  </si>
  <si>
    <t>TaskCode</t>
  </si>
  <si>
    <t>TeamTrack</t>
  </si>
  <si>
    <t>Televendas</t>
  </si>
  <si>
    <t>Torpedo Equipe</t>
  </si>
  <si>
    <t>Torpedo Web</t>
  </si>
  <si>
    <t>Totem</t>
  </si>
  <si>
    <t>TrueComp</t>
  </si>
  <si>
    <t>Turbo Charging</t>
  </si>
  <si>
    <t>URA Claro</t>
  </si>
  <si>
    <t>URA Novitech</t>
  </si>
  <si>
    <t>VirusScan</t>
  </si>
  <si>
    <t>Vunerability Management</t>
  </si>
  <si>
    <t>VVS</t>
  </si>
  <si>
    <t>WA/WM</t>
  </si>
  <si>
    <t>WA-Corp</t>
  </si>
  <si>
    <t>Web Addon</t>
  </si>
  <si>
    <t>WebInspect</t>
  </si>
  <si>
    <t>WebSAN</t>
  </si>
  <si>
    <t xml:space="preserve">WebSense Enterprise </t>
  </si>
  <si>
    <t>WFM</t>
  </si>
  <si>
    <t>wIQ</t>
  </si>
  <si>
    <t>WPP NACIONAL</t>
  </si>
  <si>
    <t>WRUPP</t>
  </si>
  <si>
    <t>Olá,</t>
  </si>
  <si>
    <t>Esse é um documento para Defesa financeira dos Projetos de TI.</t>
  </si>
  <si>
    <r>
      <t xml:space="preserve">Para adicionar linhas no </t>
    </r>
    <r>
      <rPr>
        <b/>
        <u/>
        <sz val="11"/>
        <color theme="1"/>
        <rFont val="Calibri"/>
        <family val="2"/>
        <scheme val="minor"/>
      </rPr>
      <t>ANEXO 1:</t>
    </r>
  </si>
  <si>
    <t>- Cada "combo" (Ex: linha 7 a 13 )é uma Solicitação para Contratação. A linha em cinza é o totalizador da contratação.</t>
  </si>
  <si>
    <t>- Selecionar o combo (Ex: linha 7 a 13) por linhas e Copiar (Ctrl + C)</t>
  </si>
  <si>
    <t>- Colocar o cursor do mouse na proxima linha e selecionar "Inserir células copiadas", pois há formulas nas linhas de somatória (cinzas)</t>
  </si>
  <si>
    <t>Para Fornecedor único:</t>
  </si>
  <si>
    <t>- Preencher "ANEXO 3 - FORNECEDOR ÚNICO"</t>
  </si>
  <si>
    <t>- Esse é um formulário da área de Compras necessário para seguir com o fornecedor único</t>
  </si>
  <si>
    <t>Período maior que 36 meses:</t>
  </si>
  <si>
    <t>- Preencher "ANEXO 5 - JUSTIF PERMANENCIA"</t>
  </si>
  <si>
    <t>Conferir valores:</t>
  </si>
  <si>
    <t>- Sempre conferir se os valores que estão sendo solicitados, estão na capa para aprovação do diretor</t>
  </si>
  <si>
    <t xml:space="preserve"> - Solicitar rúbrica do diretor em cada página</t>
  </si>
  <si>
    <t>Nome Projeto</t>
  </si>
  <si>
    <t>120320 – RGC Ofertas: REQ 4.9 Relatório detalhado e REQ 5.1 Oferta de permanência</t>
  </si>
  <si>
    <t>BC/Sequencial</t>
  </si>
  <si>
    <t xml:space="preserve"> PPM</t>
  </si>
  <si>
    <t>Demandante</t>
  </si>
  <si>
    <t>Executor</t>
  </si>
  <si>
    <t>Dir. Executiva:</t>
  </si>
  <si>
    <t>Rodrigo Gomes</t>
  </si>
  <si>
    <t>Diretor TI</t>
  </si>
  <si>
    <t>Washington Almeida</t>
  </si>
  <si>
    <t>Diretor:</t>
  </si>
  <si>
    <t>Fabio Nahoum</t>
  </si>
  <si>
    <t>Gerente TI</t>
  </si>
  <si>
    <t>Aline Lopes</t>
  </si>
  <si>
    <t>Solicitante:</t>
  </si>
  <si>
    <t>Marcio Carvalho</t>
  </si>
  <si>
    <t>Solicitante TI</t>
  </si>
  <si>
    <t>Ednaldo d´Andrea</t>
  </si>
  <si>
    <t>1. Descrição</t>
  </si>
  <si>
    <t>5. Resumo Financeiro</t>
  </si>
  <si>
    <t>Desenvolvimento nos sistemas faturadores (Residencial/Móvel/Empresarial) para atender aos requisitos do RGC, referente ao detalhamento das chamadas, envio de sms, consumo de dados, além das regras de inclusão da mensagem de período de fidelidade na fatura do cliente e também a visualização no Minha Claro.</t>
  </si>
  <si>
    <t>Tipo verba</t>
  </si>
  <si>
    <t>Total</t>
  </si>
  <si>
    <t>Capex</t>
  </si>
  <si>
    <t>Opex</t>
  </si>
  <si>
    <t>Resumo por Diretoria</t>
  </si>
  <si>
    <t>Classificação</t>
  </si>
  <si>
    <t>TOTAL</t>
  </si>
  <si>
    <t>2. Situação Atual/ Situação Proposta:</t>
  </si>
  <si>
    <t>​
Atender os requisitos da RGC 765 - REQ 4.9 Relatório detalhado e REQ 5.1 Oferta de permanência   ​</t>
  </si>
  <si>
    <t>3. Impacto no Negócio/ Risco de não contratar:</t>
  </si>
  <si>
    <t>Risco de Multa caso não atendamos aos requisitos do RGC.</t>
  </si>
  <si>
    <t>TOTAL CAPEX</t>
  </si>
  <si>
    <t>4. Informações adicionais</t>
  </si>
  <si>
    <t>Dt Ata Comitê (Capex):</t>
  </si>
  <si>
    <t>Class AMX:</t>
  </si>
  <si>
    <t>Nº SI Complementar:</t>
  </si>
  <si>
    <t>Resumo Rateio (por Unidade)</t>
  </si>
  <si>
    <t>TOTAL OPEX</t>
  </si>
  <si>
    <t>TOTAL PROJETO</t>
  </si>
  <si>
    <t>Em Milhões</t>
  </si>
  <si>
    <t>Unidade</t>
  </si>
  <si>
    <t>Valor</t>
  </si>
  <si>
    <t>%</t>
  </si>
  <si>
    <t>Orçamento</t>
  </si>
  <si>
    <t>6. Aprovação</t>
  </si>
  <si>
    <t>Aprovador</t>
  </si>
  <si>
    <t>Data</t>
  </si>
  <si>
    <t>Gerente TI:</t>
  </si>
  <si>
    <t>Diretor Técnico:</t>
  </si>
  <si>
    <t>Já Aprovado em SI:</t>
  </si>
  <si>
    <t>Gerente Financeiro:</t>
  </si>
  <si>
    <t>SI Complementar:</t>
  </si>
  <si>
    <t>Diretor Executivo:</t>
  </si>
  <si>
    <t>Empresa - TI</t>
  </si>
  <si>
    <t xml:space="preserve"> Sistema</t>
  </si>
  <si>
    <t>Descrição</t>
  </si>
  <si>
    <t>Tipo (Detalhe custo)</t>
  </si>
  <si>
    <t>Fornecedor</t>
  </si>
  <si>
    <t>Perfil</t>
  </si>
  <si>
    <t>Horas</t>
  </si>
  <si>
    <t>HH</t>
  </si>
  <si>
    <t>Qde de Recursos</t>
  </si>
  <si>
    <t>Alocação (meses)</t>
  </si>
  <si>
    <t>Status</t>
  </si>
  <si>
    <t>Nº RC/QD/OR</t>
  </si>
  <si>
    <t>Proposta</t>
  </si>
  <si>
    <t>Período de Execução do Serviço</t>
  </si>
  <si>
    <t>Condição de pagamento</t>
  </si>
  <si>
    <t>Tipo Contratação</t>
  </si>
  <si>
    <t>L.C.**</t>
  </si>
  <si>
    <t>Código Sap**</t>
  </si>
  <si>
    <t>Tipo de Negociação</t>
  </si>
  <si>
    <t xml:space="preserve">Tecnologia/Categoria Fast Track ou 
Fornecedor Único/Fixo =&gt; 
Preencher ANEXO 3.
</t>
  </si>
  <si>
    <t>Prestação de serviços das dependencias da AMX BR. Justificar em caso positivo</t>
  </si>
  <si>
    <t>Centro de custo*</t>
  </si>
  <si>
    <t>CNPJ / Cód. Fornecedor*</t>
  </si>
  <si>
    <t>Preenchido pelo Financeiro</t>
  </si>
  <si>
    <t>SI</t>
  </si>
  <si>
    <t>Filial Fábrica</t>
  </si>
  <si>
    <t>Nº Conta Contábil</t>
  </si>
  <si>
    <t>Pré Pago e WPP</t>
  </si>
  <si>
    <t>Alterar o processo de carga de evendos de Pré-Pago e Controle para consilidar os eventos de voz e dados por dia.​
Segregados por subtipo de evento.​
Carregar em uma nova base, para que possa ser consumido por APIs e processos Bach, para apresentação em canais de autoatendimento ou detalhamento em fatura.</t>
  </si>
  <si>
    <t>Sysmap</t>
  </si>
  <si>
    <t>ANÁLISE DE DESENVOLVIMENTO FULL STACK</t>
  </si>
  <si>
    <t>Abrir RC</t>
  </si>
  <si>
    <t>01/04/2025 a 31/09/2025</t>
  </si>
  <si>
    <t>Por Entregável</t>
  </si>
  <si>
    <t>Escopo Fechado</t>
  </si>
  <si>
    <t>1.01</t>
  </si>
  <si>
    <t>SIM</t>
  </si>
  <si>
    <t>Arquitetura</t>
  </si>
  <si>
    <t>DAS e Acompanhamento para arquitetura</t>
  </si>
  <si>
    <t>ARQUITETURA CORPORATIVA - SÊNIOR</t>
  </si>
  <si>
    <t>Fachada Mobile</t>
  </si>
  <si>
    <t>Serviços novos na Fachada REST​
1 API para obter informação de fidelidade​
1 API para obter informações do histórico detalhado do EForce</t>
  </si>
  <si>
    <t>ANÁLISE DE DESENVOLVIMENTO FRONT-END - SÊNIOR</t>
  </si>
  <si>
    <t>Testes</t>
  </si>
  <si>
    <t>Ambientes</t>
  </si>
  <si>
    <t>ITSHARE</t>
  </si>
  <si>
    <t>Ambientes - Serviço Especializado de Ambiente</t>
  </si>
  <si>
    <t>AUTOMATIZAÇÃO E PERFORMANCE DE TESTES</t>
  </si>
  <si>
    <t>Spread</t>
  </si>
  <si>
    <t>01/08/2025 a 31/09/2025</t>
  </si>
  <si>
    <t xml:space="preserve">Planejamento - 1 - 176 h​
Desenho/Execução - 850 h​
Massa de Teste (Clientes) : 282​
Casos de Teste Manual (Online) : 60​
Billings executados : 10  ​
Suporte a Homologação : 80  </t>
  </si>
  <si>
    <t>Análise - Sênior</t>
  </si>
  <si>
    <t>Teste Técnico APIs/Microserviços - 46,67​
Massa de Dados - Manual - 48 
Design de Testes : 92,  Massa de Teste (Chamadas) : 0,  Massa de Teste (Clientes) : 295,  Casos de Teste Manual (Online) : 148​
Casos de Teste Manual (Batch) : 0,  Billings executados : 10,  Suporte a Homologação : 70</t>
  </si>
  <si>
    <t>Operações</t>
  </si>
  <si>
    <t>SERVIÇO ESPECIALIZADO DE TRANSIÇÃO DE SERVIÇO para acompanhamento do projeto, reuniões técnicas, assim como ser facilitador para a implantação em produção, assegurando o comprimento dos requisitos Operacionais.</t>
  </si>
  <si>
    <t>NTT DATA</t>
  </si>
  <si>
    <t>METODOLOGIA AGIL - AGILE MASTER - PLENO</t>
  </si>
  <si>
    <t>TECNOLOGIAS CORE - ANÁLISE DE DESENVOLVIMENTO DEVOPS</t>
  </si>
  <si>
    <t>TECNOLOGIAS CORE - ANÁLISE DE DESENVOLVIMENTO</t>
  </si>
  <si>
    <t xml:space="preserve">Solicitação de Massa (Móvel / Residencial) </t>
  </si>
  <si>
    <t>Desenvolvimento</t>
  </si>
  <si>
    <t xml:space="preserve">TECNOLOGIAS CORE - Gerenciamento de Delivery </t>
  </si>
  <si>
    <t xml:space="preserve">TECNOLOGIAS CORE - ANÁLISE DE DESENVOLVIMENTO - SÊNIOR </t>
  </si>
  <si>
    <t>TECNOLOGIAS CORE - ANÁLISE DE DESENVOLVIMENTO BACK-END - SÊNIOR</t>
  </si>
  <si>
    <t>TECNOLOGIAS CORE - ANÁLISE DE DESENVOLVIMENTO BACK-END - PLENO</t>
  </si>
  <si>
    <t>EFORCE</t>
  </si>
  <si>
    <t>Alteração de mensagens de Fidelização + Fatura Detalhada + Suporte a testes</t>
  </si>
  <si>
    <t>ATOS</t>
  </si>
  <si>
    <t>CORE - SERVIÇO ESPECIALIZADO DE SISTEMAS</t>
  </si>
  <si>
    <t>04.232.671/0001-39</t>
  </si>
  <si>
    <t>Integração/APIGEE</t>
  </si>
  <si>
    <t>Desenvolvimento na camada de Integração: APIGee</t>
  </si>
  <si>
    <t>1.04</t>
  </si>
  <si>
    <t>engDB</t>
  </si>
  <si>
    <t>SERVIÇO ESPECIALIZADO DE DESENVOLVIMENTO DE PLATAFORMA DE API MANAGEMENT</t>
  </si>
  <si>
    <t>SERVIÇO ESPECIALIZADO DE INTEGRAÇÃO SERVICE DESIGN</t>
  </si>
  <si>
    <t>NTTDATA</t>
  </si>
  <si>
    <t>Segurança</t>
  </si>
  <si>
    <t>Execução de Pentest</t>
  </si>
  <si>
    <t>HITSS</t>
  </si>
  <si>
    <t xml:space="preserve"> ANÁLISE DE SEGURANÇA PENTESTER - SÊNIOR </t>
  </si>
  <si>
    <t>01/04/2025 a 31/12/2025</t>
  </si>
  <si>
    <t>Arquitetura de Segurança</t>
  </si>
  <si>
    <t xml:space="preserve">SEGURANÇA - ARQUITETURA DE SEGURANÇA </t>
  </si>
  <si>
    <t>Serviço especializado de suporte</t>
  </si>
  <si>
    <t xml:space="preserve">SUPORTE OGS - SERVIÇO ESPECIALIZADO DE SUPORTE </t>
  </si>
  <si>
    <t>01/07/2025 a 31/09/2025</t>
  </si>
  <si>
    <t>Gerenciamento de Projeto</t>
  </si>
  <si>
    <t>Gerenciamento do projeto</t>
  </si>
  <si>
    <t>GERENTE DE PORTFÓLIO SR</t>
  </si>
  <si>
    <t>SUPORTE MIDDLEWARE - SERVIÇO ESPECIALIZADO DE SUPORTE DE MICROSERVIÇOS</t>
  </si>
  <si>
    <t>Faturamento</t>
  </si>
  <si>
    <t xml:space="preserve"> CORE - SERVIÇO ESPECIALIZADO DE SISTEMAS</t>
  </si>
  <si>
    <t>01/05/2025 a 31/09/2025</t>
  </si>
  <si>
    <t>GP3 - GERENCIAMENTO DE PROJETOS - SÊNIOR</t>
  </si>
  <si>
    <t>Performance de Testes</t>
  </si>
  <si>
    <t>SPREAD</t>
  </si>
  <si>
    <t>CORE – Arquitetura DEVOPS</t>
  </si>
  <si>
    <t>DXC</t>
  </si>
  <si>
    <t xml:space="preserve">CORE – Arquitetura DEVOPS </t>
  </si>
  <si>
    <t>01/05/2025 a 31/10/2025</t>
  </si>
  <si>
    <t>CORE – Liderança Técnica</t>
  </si>
  <si>
    <t>Desenvolvimento de Sistemas</t>
  </si>
  <si>
    <t>dequar MS + fachada mobile + APIGEE para buscar as informações detalhadas do pós / controle para cenários de uso</t>
  </si>
  <si>
    <t>ANÁLISE DE DESENVOLVIMENTO</t>
  </si>
  <si>
    <t>Operações - GMUD</t>
  </si>
  <si>
    <t>SUPORTE OGS - SERVIÇO ESPECIALIZADO DE SUPORTE</t>
  </si>
  <si>
    <t>01/05/2025 a 31/05/2025</t>
  </si>
  <si>
    <t>CRONOGRAMA DE DESEMBOLSO ECONÔMICO</t>
  </si>
  <si>
    <t>CAPEX</t>
  </si>
  <si>
    <t>REAL Jan/16</t>
  </si>
  <si>
    <t>REAL Fev/16</t>
  </si>
  <si>
    <t>REAL Mar/16</t>
  </si>
  <si>
    <t>REAL Abr/16</t>
  </si>
  <si>
    <t>REAL Mai/16</t>
  </si>
  <si>
    <t>REAL Jun/16</t>
  </si>
  <si>
    <t>REAL Jul/16</t>
  </si>
  <si>
    <t>REAL Ago/16</t>
  </si>
  <si>
    <t>REAL Set/16</t>
  </si>
  <si>
    <t>REAL Out/16</t>
  </si>
  <si>
    <t>REAL Nov/16</t>
  </si>
  <si>
    <t>REAL Dez/16</t>
  </si>
  <si>
    <t>REAL Jan/17</t>
  </si>
  <si>
    <t>REAL Fev/17</t>
  </si>
  <si>
    <t>REAL Mar/17</t>
  </si>
  <si>
    <t>REAL Abr/17</t>
  </si>
  <si>
    <t>REAL Mai/17</t>
  </si>
  <si>
    <t>REAL Jun/17</t>
  </si>
  <si>
    <t>REAL Jul/17</t>
  </si>
  <si>
    <t>REAL Ago/17</t>
  </si>
  <si>
    <t>REAL Set/17</t>
  </si>
  <si>
    <t>REAL Out/17</t>
  </si>
  <si>
    <t>REAL Nov/17</t>
  </si>
  <si>
    <t>REAL Dez/17</t>
  </si>
  <si>
    <t>ORÇAMENTO</t>
  </si>
  <si>
    <t>TOTAL EM SI</t>
  </si>
  <si>
    <t>PO</t>
  </si>
  <si>
    <t>FATURA</t>
  </si>
  <si>
    <t>OPEX</t>
  </si>
  <si>
    <t>RC/QD/OR</t>
  </si>
  <si>
    <t>PO/QJ/OP</t>
  </si>
  <si>
    <t>Descrição/OBS</t>
  </si>
  <si>
    <t>Data Emissão PO/QJ/OP</t>
  </si>
  <si>
    <t>Valor PO/QJ/OP</t>
  </si>
  <si>
    <t>Valor Faturado</t>
  </si>
  <si>
    <t>Saldo PO/QJ/OP</t>
  </si>
  <si>
    <t>Status PO/QJ/OP</t>
  </si>
  <si>
    <t>PLAN</t>
  </si>
  <si>
    <t>REAL</t>
  </si>
  <si>
    <t>RC</t>
  </si>
  <si>
    <t>Data Emissão PO</t>
  </si>
  <si>
    <t>Valor PO</t>
  </si>
  <si>
    <t>Saldo PO</t>
  </si>
  <si>
    <t>Status PO</t>
  </si>
  <si>
    <t>PROPOSTA DE SOLUÇÃO</t>
  </si>
  <si>
    <t>Desenhar a arquitetura da solução</t>
  </si>
  <si>
    <t>Retorno de Arquitetura:</t>
  </si>
  <si>
    <t>Como Usar a Tabela:</t>
  </si>
  <si>
    <r>
      <t xml:space="preserve">1 - Identifique na coluna </t>
    </r>
    <r>
      <rPr>
        <b/>
        <i/>
        <sz val="8"/>
        <color indexed="23"/>
        <rFont val="Arial"/>
        <family val="2"/>
      </rPr>
      <t>Natureza do Serviço</t>
    </r>
    <r>
      <rPr>
        <sz val="8"/>
        <color indexed="23"/>
        <rFont val="Arial"/>
        <family val="2"/>
      </rPr>
      <t>, o serviço prestado;</t>
    </r>
  </si>
  <si>
    <t>2 - Informe  ao Fornecedor, a Natureza do Serviço, antes de contratá-lo. Garantindo alinhamento do serviço prestado com a arrecadação de impostos correta;</t>
  </si>
  <si>
    <r>
      <t xml:space="preserve">3- Selecione a </t>
    </r>
    <r>
      <rPr>
        <b/>
        <sz val="8"/>
        <color indexed="23"/>
        <rFont val="Arial"/>
        <family val="2"/>
      </rPr>
      <t>Origem da Verba</t>
    </r>
    <r>
      <rPr>
        <sz val="8"/>
        <color indexed="23"/>
        <rFont val="Arial"/>
        <family val="2"/>
      </rPr>
      <t xml:space="preserve"> que pagará o Projeto;</t>
    </r>
  </si>
  <si>
    <t>4 - Se nenhuma opção servir, entre em contato com Equipe do ATIVO FIXO para cadastro do código (Sérgio Giacometti). Aquisição de Licenças devem ter códigos específicos;</t>
  </si>
  <si>
    <r>
      <t>5 - Preencha os campos</t>
    </r>
    <r>
      <rPr>
        <b/>
        <sz val="8"/>
        <color indexed="23"/>
        <rFont val="Arial"/>
        <family val="2"/>
      </rPr>
      <t xml:space="preserve"> &lt;Código ISS&gt; </t>
    </r>
    <r>
      <rPr>
        <sz val="8"/>
        <color indexed="23"/>
        <rFont val="Arial"/>
        <family val="2"/>
      </rPr>
      <t xml:space="preserve">e </t>
    </r>
    <r>
      <rPr>
        <b/>
        <sz val="8"/>
        <color indexed="23"/>
        <rFont val="Arial"/>
        <family val="2"/>
      </rPr>
      <t xml:space="preserve">&lt;Código SAP&gt; </t>
    </r>
    <r>
      <rPr>
        <sz val="8"/>
        <color indexed="23"/>
        <rFont val="Arial"/>
        <family val="2"/>
      </rPr>
      <t>da RC, com os valores das colunas.</t>
    </r>
  </si>
  <si>
    <t>Natureza do Serviço (Cód. ISS)</t>
  </si>
  <si>
    <t>CONTA 
CONTÁBIL</t>
  </si>
  <si>
    <t>ORIGEM 
VERBA</t>
  </si>
  <si>
    <t>Cód  Serviço 
(Cód SAP)</t>
  </si>
  <si>
    <t>1.01 – Análise e desenvolvimento de sistemas.</t>
  </si>
  <si>
    <t>322242040 - CONSULTORIA</t>
  </si>
  <si>
    <t>9001979</t>
  </si>
  <si>
    <t xml:space="preserve">ANALISE E DESENVOLVIMENTO SISTEMAS      </t>
  </si>
  <si>
    <t>323898040- TI</t>
  </si>
  <si>
    <t>9006970</t>
  </si>
  <si>
    <t>1.02 – Programação.</t>
  </si>
  <si>
    <t>Novo</t>
  </si>
  <si>
    <t>PROGRAMAÇÃO</t>
  </si>
  <si>
    <t>1.02</t>
  </si>
  <si>
    <t>323898040 - TI</t>
  </si>
  <si>
    <t>1.03 – Processamento de dados e congêneres.</t>
  </si>
  <si>
    <t xml:space="preserve">CONSULTORIA EM PROCESSAMENTO DE DADOS   </t>
  </si>
  <si>
    <t>1.03</t>
  </si>
  <si>
    <t xml:space="preserve">1.04 – Elaboração de programas de computadores, inclusive de jogos eletrônicos. </t>
  </si>
  <si>
    <t>9000215</t>
  </si>
  <si>
    <t>ELABORAÇÃO DE PROGRAMAS DE COMPUTADORES</t>
  </si>
  <si>
    <t>9006971</t>
  </si>
  <si>
    <t xml:space="preserve">1.05 – Licenciamento ou cessão de direito de uso de programas de computação. </t>
  </si>
  <si>
    <t>Ver Aba ISS Licenças</t>
  </si>
  <si>
    <t xml:space="preserve">CADA SOFTWARE DEVE TER UM CÓDIGO. </t>
  </si>
  <si>
    <t>1.05</t>
  </si>
  <si>
    <r>
      <t>Ver Aba</t>
    </r>
    <r>
      <rPr>
        <b/>
        <i/>
        <sz val="8"/>
        <rFont val="Arial"/>
        <family val="2"/>
      </rPr>
      <t xml:space="preserve"> ISS Licenças</t>
    </r>
  </si>
  <si>
    <t xml:space="preserve">1.06 – Assessoria e consultoria em informática. </t>
  </si>
  <si>
    <t>9006972</t>
  </si>
  <si>
    <t>1.06</t>
  </si>
  <si>
    <t>9000219</t>
  </si>
  <si>
    <t xml:space="preserve">1.07 – Suporte técnico em informática, inclusive instalação, configuração e manutenção de programas de computação e bancos de dados. </t>
  </si>
  <si>
    <t>322242030 - MANUTENÇÃO SOFTWARE</t>
  </si>
  <si>
    <t>9000056</t>
  </si>
  <si>
    <t xml:space="preserve">SERVIÇO DE MANUTENCAO DE SOFTWARE       </t>
  </si>
  <si>
    <t>1.07</t>
  </si>
  <si>
    <t>9006821</t>
  </si>
  <si>
    <t xml:space="preserve">SERVIÇO-SUPORTE TECNICO EM INFORMATICA  </t>
  </si>
  <si>
    <t xml:space="preserve">1.08 – Planejamento, confecção, manutenção e atualização de páginas eletrônicas. </t>
  </si>
  <si>
    <t>PLAN., MANUTENÇÃO DE PGS ELETRÔNICAS</t>
  </si>
  <si>
    <t>1.08</t>
  </si>
  <si>
    <t>PLAN., CONFECÇÃO DE PGS ELETRÔNICAS</t>
  </si>
  <si>
    <t>14.01 Conserto, restauração, manutenção e conservação de máquinas, aparelhos, equipamentos, motores, elevadores ou de quaisquer outros objetos, exceto veículos (exceto peças e partes empregadas, que ficam sujeitas ao ICMS). (07498)</t>
  </si>
  <si>
    <t xml:space="preserve">322242030 - MANUTENÇÃO HARDWARE </t>
  </si>
  <si>
    <t>9006871</t>
  </si>
  <si>
    <t xml:space="preserve">SERV. MANUTENÇÃO EQUIPTO INFORMATICA    </t>
  </si>
  <si>
    <t>14.0</t>
  </si>
  <si>
    <t>16.01 Transporte de bens ou valores, dentro do território do Município (inclusive auto-socorro e transporte de veículos).</t>
  </si>
  <si>
    <t>322237020  - TRANSPORTE DE VOLUMES   CARGAS</t>
  </si>
  <si>
    <t>9000017</t>
  </si>
  <si>
    <t xml:space="preserve">TRANSPORTE DE EQUIPAMENTO               </t>
  </si>
  <si>
    <t>1.01 - Conta HITSS - 1.01  - SERV. DE CONSULTORIA EM INFORMÁTICA</t>
  </si>
  <si>
    <t>337243590 - CONSULTORIA</t>
  </si>
  <si>
    <t>9011319</t>
  </si>
  <si>
    <t>ANALISE E DESENVOLVIMENTO SISTEMAS</t>
  </si>
  <si>
    <t>1.06 - Conta HITSS - 1.06 - SERV. DE CONSULTORIA EM INFORMÁTICA</t>
  </si>
  <si>
    <t>9011320</t>
  </si>
  <si>
    <r>
      <t xml:space="preserve">1 - Selecione na coluna </t>
    </r>
    <r>
      <rPr>
        <b/>
        <sz val="10"/>
        <color indexed="23"/>
        <rFont val="Arial"/>
        <family val="2"/>
      </rPr>
      <t>Código ISS,</t>
    </r>
    <r>
      <rPr>
        <sz val="10"/>
        <color indexed="23"/>
        <rFont val="Arial"/>
        <family val="2"/>
      </rPr>
      <t xml:space="preserve"> o código do Serviço Prestado;</t>
    </r>
  </si>
  <si>
    <t>2- Analise qual das opções selecionadas no filtro, refere-se ao serviço prestado:</t>
  </si>
  <si>
    <t>3 - Se nenhuma opção servir, entre em contato com Equipe do ATIVO FIXO para cadastro do código (Sérgio Giacometti);</t>
  </si>
  <si>
    <r>
      <t>4 - Preencha os campos</t>
    </r>
    <r>
      <rPr>
        <b/>
        <sz val="10"/>
        <color indexed="23"/>
        <rFont val="Arial"/>
        <family val="2"/>
      </rPr>
      <t xml:space="preserve"> &lt;Código ISS&gt; </t>
    </r>
    <r>
      <rPr>
        <sz val="10"/>
        <color indexed="23"/>
        <rFont val="Arial"/>
        <family val="2"/>
      </rPr>
      <t xml:space="preserve">e </t>
    </r>
    <r>
      <rPr>
        <b/>
        <sz val="10"/>
        <color indexed="23"/>
        <rFont val="Arial"/>
        <family val="2"/>
      </rPr>
      <t xml:space="preserve">&lt;Código SAP&gt; </t>
    </r>
    <r>
      <rPr>
        <sz val="10"/>
        <color indexed="23"/>
        <rFont val="Arial"/>
        <family val="2"/>
      </rPr>
      <t>da RC, com estes valores.</t>
    </r>
  </si>
  <si>
    <t>Serviço</t>
  </si>
  <si>
    <t xml:space="preserve">Texto breve serviço                     </t>
  </si>
  <si>
    <t>Código ISS</t>
  </si>
  <si>
    <t>ALUGUEL DE VAGA</t>
  </si>
  <si>
    <t>SERV 11.01</t>
  </si>
  <si>
    <t>SERVICO DE ORNAMENTACAO DE NATAL</t>
  </si>
  <si>
    <t>SERV 17.11</t>
  </si>
  <si>
    <t>SERVICOS DE DRIVE DE  ROTA DE QUALIDADE</t>
  </si>
  <si>
    <t>SERV 07.01</t>
  </si>
  <si>
    <t>CAMPANHA DE INCENTIVO AO VAREJO</t>
  </si>
  <si>
    <t>SERV 17.06.01</t>
  </si>
  <si>
    <t>CAMPANHA DE INCENTIVO P/VENDAS INTERNA</t>
  </si>
  <si>
    <t>CAMPANHA DE INCENTIVO SERV.AO CLIENTE</t>
  </si>
  <si>
    <t>PRODUCAO DE MALA DIRETA</t>
  </si>
  <si>
    <t>SERV 13.05</t>
  </si>
  <si>
    <t>MOBILE MARKETING-USO P/RECEITA-NÃO USAR</t>
  </si>
  <si>
    <t>SERV 03.02</t>
  </si>
  <si>
    <t>ARMAZENAGEM DE DOCUMENTOS</t>
  </si>
  <si>
    <t>SERV 11.04</t>
  </si>
  <si>
    <t>ARMAZENAGEM DE PROD. NAO REVENDA</t>
  </si>
  <si>
    <t>SEGURO S/ MERCADORIAS ARMAZENADAS</t>
  </si>
  <si>
    <t>SERV 99.00</t>
  </si>
  <si>
    <t>SERVICO DE VIGILANCIA</t>
  </si>
  <si>
    <t>SERV 11.02</t>
  </si>
  <si>
    <t>UTILIZACAO DE SERV.ESPECIAIS BCP/HELP</t>
  </si>
  <si>
    <t>LOCAÇAO DE SALAS PARA TREINAMENTO</t>
  </si>
  <si>
    <t>CURSO EXTERNO</t>
  </si>
  <si>
    <t>SERV 08.02</t>
  </si>
  <si>
    <t>ALUGUEL  DE EQUIP. PARA TREINAMENTO</t>
  </si>
  <si>
    <t>TRANSPORTE DE VOLUMES E DOCUMENTOS</t>
  </si>
  <si>
    <t>SERV 16.01</t>
  </si>
  <si>
    <t>TRANSPORTE DE EQUIPAMENTO</t>
  </si>
  <si>
    <t>TRANSPORTE DE VOLUME/CARGA</t>
  </si>
  <si>
    <t>SERV. DE COBRANÇA-COBILLING PÓS-PAGO</t>
  </si>
  <si>
    <t>SERV 17.22</t>
  </si>
  <si>
    <t>SERV. DE COBRANÇA-COBILLING PRE-PAGO</t>
  </si>
  <si>
    <t>TRANSPORTE FUNCIONARIOS - VIAGEM</t>
  </si>
  <si>
    <t>SERV 16.01.01</t>
  </si>
  <si>
    <t>SERVIÇOS DE TRADUÇÕES</t>
  </si>
  <si>
    <t>SERV 17.02</t>
  </si>
  <si>
    <t>TRADUCAO E DIAGRAMACAO TECNICA</t>
  </si>
  <si>
    <t>SERVICO DE LIMPEZA</t>
  </si>
  <si>
    <t>SERV 07.10</t>
  </si>
  <si>
    <t>SERV.LIMPEZA REDE ESGOTO/AGUAS PLUVIAIS</t>
  </si>
  <si>
    <t>SERVICO DE ENGENHARIA/ NORTEL</t>
  </si>
  <si>
    <t>SERVICO DE CONTABILIDADE /FISCAL</t>
  </si>
  <si>
    <t>SERV 17.19</t>
  </si>
  <si>
    <t>PREST.SERVICOS AUTONOMOS -PESSOA FISICA</t>
  </si>
  <si>
    <t>SERVICOS BANCARIOS</t>
  </si>
  <si>
    <t>SERV 15.10</t>
  </si>
  <si>
    <t>SERVICO DE CONSULTORIA EM TITULOS</t>
  </si>
  <si>
    <t>SERV 17.20</t>
  </si>
  <si>
    <t>SERVICO DE COBRANCA EXTRAJUDICIAL</t>
  </si>
  <si>
    <t>SERV 17.22.01</t>
  </si>
  <si>
    <t>SERV DE CONSULTA DE INFORMAÇÃO CADASTRAL</t>
  </si>
  <si>
    <t>SERV 17.01.03</t>
  </si>
  <si>
    <t>SERVIÇO DE EVENTOS E COMEMORACOES</t>
  </si>
  <si>
    <t>SERVICO DE BUFFET</t>
  </si>
  <si>
    <t>TRANSPORTE DE PESSOAL</t>
  </si>
  <si>
    <t>SEGURO DE MERCADORIAS ARMAZENADAS</t>
  </si>
  <si>
    <t>SEGURO DE PROTECAO</t>
  </si>
  <si>
    <t>SEGURO DE VIDA EM GRIPO</t>
  </si>
  <si>
    <t>SERVIÇO DE ASSESSORIA DE IMPRENSA</t>
  </si>
  <si>
    <t>SERV 35.01</t>
  </si>
  <si>
    <t>TELEMARKETING</t>
  </si>
  <si>
    <t>SERV 17.02.01</t>
  </si>
  <si>
    <t>PUBLICIDADE SOCIAL</t>
  </si>
  <si>
    <t>SERV 17.06</t>
  </si>
  <si>
    <t>DESPESAS COM PUBLICACOES  LEGAIS</t>
  </si>
  <si>
    <t>PUBLICIDADE INSTITUCIONAL</t>
  </si>
  <si>
    <t>AGENCIAMENTO PROPAG/PUBLIC-VEICULAÇAO</t>
  </si>
  <si>
    <t>SERV 10.08</t>
  </si>
  <si>
    <t>VEICULACAO EM MIDIA ALTERN.  INTERNET</t>
  </si>
  <si>
    <t>VEICULACAO EM LISTA TELEFONICA</t>
  </si>
  <si>
    <t>HONORARIOS DE AGENCIA - PUBLICIDADE</t>
  </si>
  <si>
    <t>DESENVOLVIMENTO/CUSTOMIZACAO PROJ.SAP</t>
  </si>
  <si>
    <t>SERV 01.01</t>
  </si>
  <si>
    <t>DESENVOLVIMENTO/CUSTOMIZACAO SOFTWARE</t>
  </si>
  <si>
    <t>DESENVOLVIMENTO APLICATIVO/FUNCION.WEB</t>
  </si>
  <si>
    <t>SERV.DESENVOLVIMENTO PLATAFORMA VM</t>
  </si>
  <si>
    <t>DESENVOLV.DO SOFTWARE OFC OUTGOING</t>
  </si>
  <si>
    <t>SERVICO ENGENHARIA / GERENCIA PROJETO</t>
  </si>
  <si>
    <t>SERV 07.03</t>
  </si>
  <si>
    <t>SERVICO DE COORDENACAO LOGISTICA</t>
  </si>
  <si>
    <t>SERVIÇO DE MANUTENCAO DE SOFTWARE</t>
  </si>
  <si>
    <t>SERV 01.07.04</t>
  </si>
  <si>
    <t>ELIM.CONSULTORIA EXTERNA DE INFORMATICA</t>
  </si>
  <si>
    <t>SERV 01.06</t>
  </si>
  <si>
    <t>SUPORTE TERCEIRIZADO</t>
  </si>
  <si>
    <t>SERV 01.07.01</t>
  </si>
  <si>
    <t>MAO DE OBRA P/INSTAL.PONTOS DE REDES</t>
  </si>
  <si>
    <t>SERV 17.05</t>
  </si>
  <si>
    <t>ARMAZENAGEM DE PRODUTOS REVENDA</t>
  </si>
  <si>
    <t>DESENVOLVIMENTO PERFIS PROJETO SAP</t>
  </si>
  <si>
    <t>CONSULTORIA PROJETO PRE-PAGO</t>
  </si>
  <si>
    <t>SERV 17.01.01</t>
  </si>
  <si>
    <t>SERV. IMPLEMENT. INTERCONEXAO E ROAMING</t>
  </si>
  <si>
    <t>PROJETO ARIS PRODUCTS</t>
  </si>
  <si>
    <t>SERV.DE IMPLANTACAO DO MODULO CFM/SAP</t>
  </si>
  <si>
    <t>SERV DE RESP. EMERGENCIAS DE  SEGURANCA</t>
  </si>
  <si>
    <t>PRODUCAO FOTOGRAFICA</t>
  </si>
  <si>
    <t>SERV 13.03</t>
  </si>
  <si>
    <t>PRODUCAO DE MATERIAL PARA MERCHANDISING</t>
  </si>
  <si>
    <t>eliminado</t>
  </si>
  <si>
    <t>PUBLICIDADE EM LIVRO</t>
  </si>
  <si>
    <t>ASSESSORIA EM MARKETING</t>
  </si>
  <si>
    <t>SERV. DE ENCADERNAÇÃO DE LIVROS</t>
  </si>
  <si>
    <t>SERV 14.08</t>
  </si>
  <si>
    <t>CACHE DE PUBLICIDADE</t>
  </si>
  <si>
    <t>SERV 37.01</t>
  </si>
  <si>
    <t>CRIACAO/LAY-OUT/ARTE FINAL PROP.PUBLICID</t>
  </si>
  <si>
    <t>REFACAO DE FILMES - PROPAG.PUBLICIDADE</t>
  </si>
  <si>
    <t>CONFECÇAO DE MATERIAL GRAFICOS-MERCHAN</t>
  </si>
  <si>
    <t>PRODUCAO DE PROPAGANDA - PROP.PUBLIC</t>
  </si>
  <si>
    <t>HONORARIOS ADVOCATICIOS</t>
  </si>
  <si>
    <t>SERV 17.14</t>
  </si>
  <si>
    <t>CONSULTORIA JURIDICA TRIBUTÁRIA</t>
  </si>
  <si>
    <t>OPOSICAO A REGISTRO DE MARCAS</t>
  </si>
  <si>
    <t>SERV. MANUTENÇAO DE EQUIP. EM SITE</t>
  </si>
  <si>
    <t>SERV 14.01</t>
  </si>
  <si>
    <t>SERVICO DE PINTURA SITE/SW</t>
  </si>
  <si>
    <t>SERV 14.05</t>
  </si>
  <si>
    <t>SERVIÇO DE MANUTENÇÃO DE JARDIM EM SITE</t>
  </si>
  <si>
    <t>SERV 07.11</t>
  </si>
  <si>
    <t>ALUGUEL  DE VEICULOS SEM MOTORISTA</t>
  </si>
  <si>
    <t>ALUGUEL DE MAQ.DE CARTAO PRE PAGOS</t>
  </si>
  <si>
    <t>ALUGUEL DE MAQUINAS DE CONVENIENCIA</t>
  </si>
  <si>
    <t>ALUGUEL DE CONTAINER</t>
  </si>
  <si>
    <t>NAO USAR-PATROCINIO NAO DEDUTIVEL</t>
  </si>
  <si>
    <t>SERVICO DE INSTALACAO PARA REPETIDOR</t>
  </si>
  <si>
    <t>SERV 14.06.01</t>
  </si>
  <si>
    <t>SERVICO DE GERENCIAMENTO DE PROCESSO</t>
  </si>
  <si>
    <t>SERV 17.12</t>
  </si>
  <si>
    <t>GRAVACAO DE MENSAGEM TELEFONICA</t>
  </si>
  <si>
    <t>SERV 13.02</t>
  </si>
  <si>
    <t>SERV.MANUTENCAO PREDIAL HQ/FILIAIS/LOJAS</t>
  </si>
  <si>
    <t>BENFEITORIAS EM  PROPRIED.TERC.HQ/LOJAS</t>
  </si>
  <si>
    <t>SERV 07.02</t>
  </si>
  <si>
    <t>SERVIÇO DE REFORMA PREDIAL/LOJAS</t>
  </si>
  <si>
    <t>SERV 07.05</t>
  </si>
  <si>
    <t>SERVICO DE PESQUISA MERCADOLOGICAS</t>
  </si>
  <si>
    <t>SERV 02.01</t>
  </si>
  <si>
    <t>FEIRAS / PROMOCOES E EXPOSICOES</t>
  </si>
  <si>
    <t>SERV 17.10.01</t>
  </si>
  <si>
    <t>FORNECIMENTO DE MAO DE OBRA TEMPORARIA</t>
  </si>
  <si>
    <t>HELP-DESK</t>
  </si>
  <si>
    <t>TRANSPORTE DE FRETE MUNICIPAL</t>
  </si>
  <si>
    <t>SERV. INTEGRACAO SISTEMA BILL MEDIATION</t>
  </si>
  <si>
    <t>INSTALACAO  EQUIPAMENTO DE TELEFONIA</t>
  </si>
  <si>
    <t>SERV 07.02.02</t>
  </si>
  <si>
    <t>ORG.  BANCO DE DADOS-DCARE / DQMANAGER</t>
  </si>
  <si>
    <t>SERV 01.07.03</t>
  </si>
  <si>
    <t>INSTALACAO DE EQUIP.DE ESCRITORIO</t>
  </si>
  <si>
    <t>SERV 14.06</t>
  </si>
  <si>
    <t>INSTALACAO DE EQUIP.DE INFORMATICA</t>
  </si>
  <si>
    <t>SERV. AMPLIAC. ESTACION. BENF. PROP TERC</t>
  </si>
  <si>
    <t>CONFECÇAO FAIXA CARTAZ, ADESIVO-MERCHAN</t>
  </si>
  <si>
    <t>SERV 24.01</t>
  </si>
  <si>
    <t>CONSULTORIA EMPRESARIAL</t>
  </si>
  <si>
    <t>ASSISTENCIA MEDICA</t>
  </si>
  <si>
    <t>SERV 04.22</t>
  </si>
  <si>
    <t>SERV UNIDADE DE ATENDIMENTO MOVEL C/MÉD</t>
  </si>
  <si>
    <t>SERV 04.21.01</t>
  </si>
  <si>
    <t>INSTALACAO BASICA DO PERIFERICO</t>
  </si>
  <si>
    <t>PRODUCAO DE FILMAGENS</t>
  </si>
  <si>
    <t>SERVICO DE ENERGIZACAO DE SITES</t>
  </si>
  <si>
    <t>SERV DE LICENCIAMENTO PROJ. IMPLANT SITE</t>
  </si>
  <si>
    <t>SERVICO DE CHAVEIRO</t>
  </si>
  <si>
    <t>PRE-PROGRAMACAO/APARELHOS TELEF. CELULAR</t>
  </si>
  <si>
    <t>SERV 01.04</t>
  </si>
  <si>
    <t>SERV. DE INFORMAÇÕES CADASTRAIS-RECEITA</t>
  </si>
  <si>
    <t>SERV 17.01</t>
  </si>
  <si>
    <t>MANUT. SOFTW ANAM WIRELESS WINDOWS</t>
  </si>
  <si>
    <t>ABASTECIMENTO DE AGUA</t>
  </si>
  <si>
    <t>SERV. ART.GRAF.PROP.PUBLICIDADE - CROMO</t>
  </si>
  <si>
    <t>LOCAÇÃO DE ESPAÇO EM SHOPPING-IGUATEMI</t>
  </si>
  <si>
    <t>FOTOLITO - ART.GRAF. OUTROS</t>
  </si>
  <si>
    <t>VIGILANCIA E SEGURANÇA ENGENHARIA</t>
  </si>
  <si>
    <t>SERVICO CIVIL - ADMINSTº</t>
  </si>
  <si>
    <t>INSTALACAO DE SISTEMA IRRADIANTE</t>
  </si>
  <si>
    <t>ALUGUEL DE MOBILIARIO</t>
  </si>
  <si>
    <t>ALUGUEL DE EQUIPAMENTOS -ENGENHARIA</t>
  </si>
  <si>
    <t>PUBLICIDADE E PROPAGANDA SERV.PROD.</t>
  </si>
  <si>
    <t>SERVIÇO DE PROCESSAMENTO DE DADOS</t>
  </si>
  <si>
    <t>SERV 01.03</t>
  </si>
  <si>
    <t>INSTALACAO ELETRICA HQ/FILIAIS/LOJAS</t>
  </si>
  <si>
    <t>SERVICO DE INSTALACAO HIDRAULICA</t>
  </si>
  <si>
    <t>SERVICOS GERAIS HQ/FILIAIS/ LOJAS</t>
  </si>
  <si>
    <t>GINASTICA LABORAL</t>
  </si>
  <si>
    <t>SERV 06.04</t>
  </si>
  <si>
    <t>ASSESSORIA DE IMPRENSA -INSTITUCIONAL</t>
  </si>
  <si>
    <t>MAPEAMENTO PROC.INTER.SAP,RETAIL,COCKPIT</t>
  </si>
  <si>
    <t>ELIMINADO</t>
  </si>
  <si>
    <t>INSTAL. DE SOFTWARE DDC</t>
  </si>
  <si>
    <t>SERV 01.07.02</t>
  </si>
  <si>
    <t>SERVICO DE CUSTOMIZACAO SAP</t>
  </si>
  <si>
    <t>SERV 01.02</t>
  </si>
  <si>
    <t>VALE REFEICAO</t>
  </si>
  <si>
    <t>APLICACOES DE TREINAMENTO</t>
  </si>
  <si>
    <t>MANUTENCAO DE EQUIPTº HQ/FILIAIS/LOJAS</t>
  </si>
  <si>
    <t>IMPRESSAO - ART.GRAF.PROP.PUBLICIDADE</t>
  </si>
  <si>
    <t>IMPRESSAO - ART.GRAF. OUTROS</t>
  </si>
  <si>
    <t>SERV DE INSTAL/MONTAGEM DE MOBILIARIO</t>
  </si>
  <si>
    <t>SERV. DE CONSTRUÇAO REDE HIRAULICA</t>
  </si>
  <si>
    <t>SERVIÇO DE INSTALACAO DE TORRE</t>
  </si>
  <si>
    <t>SERV. DE CONSTRUCAO CIVIL - ENGª</t>
  </si>
  <si>
    <t>REPARO  DE  CELULAR ADMINISTRATIVO</t>
  </si>
  <si>
    <t>SERVICO DE AUDITORIA</t>
  </si>
  <si>
    <t>SERV 17.16</t>
  </si>
  <si>
    <t>REPARO DE INSTRUMENTO DE TESTE-COM.DADOS</t>
  </si>
  <si>
    <t>FOLHETOS - ART.GRAF.PROP.PUBLICIDADE</t>
  </si>
  <si>
    <t>SERV. CONFIG/INSTAL DE SISTEMA INFORMAT.</t>
  </si>
  <si>
    <t>SEGURO AP.CLIENTE PLANO DE PROTECAO</t>
  </si>
  <si>
    <t>NAO USAR-GERENCIAMENTO DE DOCUMENTOS</t>
  </si>
  <si>
    <t>CONFECCAO /IMPRESSAO CONTAS TELEFONICAS</t>
  </si>
  <si>
    <t>ILUSTRACAO - ART.GRAF.PROP.PUBLICIDADE</t>
  </si>
  <si>
    <t>NÃO UTILIZAR</t>
  </si>
  <si>
    <t>MAPEAMENTO -ART.GRAF.PROP.PRUBLICIDADE</t>
  </si>
  <si>
    <t>MANUTENCAO DE MOBILIARIO HQ/FILIAIS/LOJA</t>
  </si>
  <si>
    <t>PATROCINIO NAO DEDUTIVEL</t>
  </si>
  <si>
    <t>FRETAMENTO DE AERONAVE</t>
  </si>
  <si>
    <t>ASSINAT DE CONSULT. ELETRON JOR/REVISTAS</t>
  </si>
  <si>
    <t>IMPRESSAO - ART. GRAF. MAT. ESCRITORIO</t>
  </si>
  <si>
    <t>SERVIÇO DE RECICLAGEM DE LIXO</t>
  </si>
  <si>
    <t>SERV 07.09</t>
  </si>
  <si>
    <t>CAMPANHA DE INCENTIVO / ARRECADACAO</t>
  </si>
  <si>
    <t>SERVICOS DE INSTAL.E SUPORTE TECNICO(G)</t>
  </si>
  <si>
    <t>TRANSPORTE DE VOLUME/CARGA  - ENGª</t>
  </si>
  <si>
    <t>SERV.DE INSTALACAO DE EQUIPTº / NORTEL</t>
  </si>
  <si>
    <t>CONSTRUCAO CIVIL EM PREDIO ALUG-TURN KEY</t>
  </si>
  <si>
    <t>CONSTRUCAO CIVIL PRED.PROPRIOS/ TURN KEY</t>
  </si>
  <si>
    <t>INSTALACAO/MONTAGEM DE SHELTER- TURN KEY</t>
  </si>
  <si>
    <t>SERV INSTAL.E MONTAGEM DE TORRE-TURN KEY</t>
  </si>
  <si>
    <t>SERVICO P/INFRAESTRUTURA DE MINICELULA</t>
  </si>
  <si>
    <t>SERVICO P/INFRAESTRUTURA DE MICROCELULA</t>
  </si>
  <si>
    <t>SERV.INFRAESTRUT. DE REPETIDORA TURN KEY</t>
  </si>
  <si>
    <t>LAYOUT DE E-MAIL</t>
  </si>
  <si>
    <t>SERV 01.08</t>
  </si>
  <si>
    <t>CONFECCAO DE CARTAO DE VISITA</t>
  </si>
  <si>
    <t>SERVIÇO DE ESTACIONAMENTO DE VEICULOS</t>
  </si>
  <si>
    <t>SER. INSTAL/CONFIGURAÇÃO DE SW</t>
  </si>
  <si>
    <t>SERVICO DE ATERRAMENTO EM SITES</t>
  </si>
  <si>
    <t>INSTALACAO , ATIVACAO  E TESTE EM SITES</t>
  </si>
  <si>
    <t>SERVICO DE DEMOLICAO EM SITES</t>
  </si>
  <si>
    <t>SERV 07.04</t>
  </si>
  <si>
    <t>SUPORTE TECN.LOGIST.DO EQUIPAMENTO</t>
  </si>
  <si>
    <t>ESTABILIZACAO DE TALUDE</t>
  </si>
  <si>
    <t>SERV. DE CONSULTORIA P/ IMPLAMT SISTEMA</t>
  </si>
  <si>
    <t>ALUGUEL DE CACAMBAS - ENTULHO</t>
  </si>
  <si>
    <t>INSTALACAO EM SITES/SWITCH</t>
  </si>
  <si>
    <t>REINSTALACAO EM SITES/SWITCH</t>
  </si>
  <si>
    <t>SERVICO DE REPROGRAFIA-COPIAS</t>
  </si>
  <si>
    <t>SERV 13.04</t>
  </si>
  <si>
    <t>SERVICO DE MICROFILMAGEN</t>
  </si>
  <si>
    <t>SERV 13.04.01</t>
  </si>
  <si>
    <t>PUBLICIDADE E PROPAGANDA N/SERV/PROD.</t>
  </si>
  <si>
    <t>ASSOCIACOES DE CLASSE</t>
  </si>
  <si>
    <t>EXTENSAO DE GARANTIA CARE PAQ 3 ANOS</t>
  </si>
  <si>
    <t>INSTALACAO DA CENTRAL MSC 5000</t>
  </si>
  <si>
    <t>SERVICOS DE DRIVE TESTES E OTIMIZACAO</t>
  </si>
  <si>
    <t>ENGENHARIA DE INSTALACAO/ERICSSON</t>
  </si>
  <si>
    <t>INSTALACAO DA ESTACAO RADIOBASE -ENGª</t>
  </si>
  <si>
    <t>SERV.PRELIMINARES DE REDE (TSS QRF PPI)</t>
  </si>
  <si>
    <t>SERVICOS MANDATORIOS DE NETWORK DESIGN</t>
  </si>
  <si>
    <t>GERENCIAMENTO DE DOCUMENTOS</t>
  </si>
  <si>
    <t>MOBILIARIO - PRO-ACAO</t>
  </si>
  <si>
    <t>DIGITALIZACAO - GRAF.PROP.PUBLICIDADE</t>
  </si>
  <si>
    <t>SERV 17.02.02</t>
  </si>
  <si>
    <t>SERVICO MANUTENCAO CIVIL  SITES/SWITCH</t>
  </si>
  <si>
    <t>SERVICO COM DESPACHANTE</t>
  </si>
  <si>
    <t>SERV 33.01</t>
  </si>
  <si>
    <t>ACESSO SAPOSS VIA VPN</t>
  </si>
  <si>
    <t>BRINDES - SERVICOS</t>
  </si>
  <si>
    <t>PROCESSAMENTO DE DADOS SGC/AMDOCS</t>
  </si>
  <si>
    <t>ANALISE E EXECUCAO ESTRUTURAL TORRE</t>
  </si>
  <si>
    <t>EXTENSAO DE GARANTIA P/1 ANO</t>
  </si>
  <si>
    <t>MANUTENCAO EQUIP.ERX</t>
  </si>
  <si>
    <t>ELABORAÇÃO DE PROGRAMA DE COMPUTAÇÃO</t>
  </si>
  <si>
    <t>INST.E IMPLEMENT.SOFT.FRAUDBUSTER/ALIAS</t>
  </si>
  <si>
    <t>SERV. CONSULTORIA EM RECURSOS HUMANOS</t>
  </si>
  <si>
    <t>SERV CARTÓRIO P/ LEGALIZAÇÃO DE SITE ENG</t>
  </si>
  <si>
    <t>SERV 21.01</t>
  </si>
  <si>
    <t>SERV. DE CONSULTORIA EM INFORMÁTICA</t>
  </si>
  <si>
    <t>SERV DE ATUALIZAÇÃO/VALIDAÇÃO CADASTRAL</t>
  </si>
  <si>
    <t>ACESSO REMOTO DADOS -RAS</t>
  </si>
  <si>
    <t>SERV. LICENÇA DE USO SOFTWARE BLACKBERRY</t>
  </si>
  <si>
    <t>SERV 01.05</t>
  </si>
  <si>
    <t>SERVICOS DE IMPLEMENTACAO/ERICSSON</t>
  </si>
  <si>
    <t>SERVIÇO DE TRANSPORTE DE PESSOAS</t>
  </si>
  <si>
    <t>EXTENSAO DE GARANTIA PICKPAQ 3 ANOS</t>
  </si>
  <si>
    <t>COMBUSTIVEIS E LUBRIFICANTES</t>
  </si>
  <si>
    <t>SERVICO DE BLINDAGEM DE VEICULO</t>
  </si>
  <si>
    <t>SERV 14.01.02</t>
  </si>
  <si>
    <t>SERV. CONFECCAO DE ACRILICOS</t>
  </si>
  <si>
    <t>IMPRESSAO DE HOLOGRAMA</t>
  </si>
  <si>
    <t>BANNERS - ART.GRAF.PROP.PUBLICIDADE</t>
  </si>
  <si>
    <t>COMBUSTIVEIS E LUBRIFICANTES-ENGª</t>
  </si>
  <si>
    <t>SERVICO DE LIMPEZA- ENGª</t>
  </si>
  <si>
    <t>ARMAZENAGEM DE VOLUMES - ENGª</t>
  </si>
  <si>
    <t>CONDOMINIOS - ENGª</t>
  </si>
  <si>
    <t>INSTAL. / CONFIG. SOFTWARE BAS</t>
  </si>
  <si>
    <t>DESPESAS C/PROVEDOR DE INTERNET</t>
  </si>
  <si>
    <t>MANUTENCAO DE EQUIPTº EM SITE/SWITCH</t>
  </si>
  <si>
    <t>NOTICIARIO ESTADAO / SMS-MSG</t>
  </si>
  <si>
    <t>SERV. DE MONITORAM. DE MATERIAS-CLIPPING</t>
  </si>
  <si>
    <t>SERV. ADMINISTRAÇÃO / ARREC CONTA TELEF.</t>
  </si>
  <si>
    <t>PORTAL DE VOZ -BCP</t>
  </si>
  <si>
    <t>SERVICO/ MANUTENCAO  SISTEMAS TARIFACAO</t>
  </si>
  <si>
    <t>ELABORACAO/CUSTOMIZAÇÃO PROG AMDOCS</t>
  </si>
  <si>
    <t>ADESAO AO PROJETO PLANTAS ON LINE</t>
  </si>
  <si>
    <t>MAPAS DIGITAIS</t>
  </si>
  <si>
    <t>SERV 07.20</t>
  </si>
  <si>
    <t>SERVICO TEC.CONTROLE PATRIMONIAL</t>
  </si>
  <si>
    <t>SERVIÇO DE MANUTENCAO DE VEICULO</t>
  </si>
  <si>
    <t>SERVICO DE INSTALACAO AP N-9910</t>
  </si>
  <si>
    <t>SERV. DE INSTAL DE MSC EM SIST. TELECOM.</t>
  </si>
  <si>
    <t>SERVICO DE INSTALACAO/TESTES - ENERGIA</t>
  </si>
  <si>
    <t>SERVICO DE INSTALACAO/TESTES RBS</t>
  </si>
  <si>
    <t>SERVICO DE TARIFACAO ON-LINE -VPN</t>
  </si>
  <si>
    <t>ALUGUEL DE CAÇAMBAS ENTULHO ENGENHARIA</t>
  </si>
  <si>
    <t>APROVEITAR-NAO UTILIZAR</t>
  </si>
  <si>
    <t>SERVICO PROJETO/VISTORIA E DESLOCAMENTO</t>
  </si>
  <si>
    <t>SERV. VISTORIA SITE P/ PROJETO PDH</t>
  </si>
  <si>
    <t>MANUT. INSTAL E DESINSTALACAO DE EQUIPTº</t>
  </si>
  <si>
    <t>MATERIAIS PARA TREINAMENTO</t>
  </si>
  <si>
    <t>SERVICO DE TELEFONIA FIXA - LINK</t>
  </si>
  <si>
    <t>ADMINISTRACAO BCP CLUBE/ ACADEMIA</t>
  </si>
  <si>
    <t>CONFECCAO DE UNIFORMES</t>
  </si>
  <si>
    <t>ALUGUEL DE EQUIPAMENTOS</t>
  </si>
  <si>
    <t>MANUTENCAO DE REDE</t>
  </si>
  <si>
    <t>INSTALACAO DE EQUIPAMENTO XMP1</t>
  </si>
  <si>
    <t>INSTALACAO DE EQUIPAMENTO SISA XQI</t>
  </si>
  <si>
    <t>PREVIDENCIA PRIVADA</t>
  </si>
  <si>
    <t>HOSPEDAGEM</t>
  </si>
  <si>
    <t>SERV 09.01</t>
  </si>
  <si>
    <t>PREMIOS BCP DESAFIO</t>
  </si>
  <si>
    <t>SERV. DE INSTALAÇÃO DE SOFTWARE</t>
  </si>
  <si>
    <t>SERVICO DE POSITIVACAO</t>
  </si>
  <si>
    <t>SERV.SEMINARIOS/CONGRES./ CONFERFENCIA</t>
  </si>
  <si>
    <t>SERV 17.24</t>
  </si>
  <si>
    <t>SERV.DE DESTRUICAO DE MATERIAIS</t>
  </si>
  <si>
    <t>VALIDACAO DE CARTAO PRE-PAGO</t>
  </si>
  <si>
    <t>SERVICO DE INTEROPERABILIDADE DE SMS</t>
  </si>
  <si>
    <t>SERVICOS LINK DE DADOS / EMBRATEL</t>
  </si>
  <si>
    <t>INSTALACAO DE EQUIPAMENTO SMS</t>
  </si>
  <si>
    <t>SERV.INSTALACAO GERENCIA DE FALHAS</t>
  </si>
  <si>
    <t>SERV.INSTALACAO GERENCIA PERFORMANCE</t>
  </si>
  <si>
    <t>LICENCIAMENTO DE FILMES P/AÇÃO FIDELIZAÇ</t>
  </si>
  <si>
    <t>EXTENSAO DE GARANTIA PADRAO SUN 3 ANOS</t>
  </si>
  <si>
    <t>EXTENSAO DE GARANTIA PADRAO SUN GOLD</t>
  </si>
  <si>
    <t>EXTENSAO DE GARANTIA PADRAO SUN 1 ANO</t>
  </si>
  <si>
    <t>SERVICO DE PINTURA HQ/FILIAIS/LOJAS</t>
  </si>
  <si>
    <t>RENOVACAO DE LICENCA /SOFTWARE</t>
  </si>
  <si>
    <t>MANUTENCAO DE QUIOSQUES</t>
  </si>
  <si>
    <t>SERVICO SUPORTE TECNICO SOFTWARE</t>
  </si>
  <si>
    <t>SERV DE CADASTROS E INFORMAÇÕES</t>
  </si>
  <si>
    <t>SERVICO DE MOTORISTA</t>
  </si>
  <si>
    <t>LOCACAO DO SISTEMA INTERSIC</t>
  </si>
  <si>
    <t>CONSULTORIA PROJETO MUSTANG</t>
  </si>
  <si>
    <t>APROVEITAR</t>
  </si>
  <si>
    <t>SERV DE DESENHOS TÉCNICOS PARA LOJAS</t>
  </si>
  <si>
    <t>SERV 32.01</t>
  </si>
  <si>
    <t>CONSULTORIA DO  SISTEMA INTERSIC</t>
  </si>
  <si>
    <t>MANUT.MOBILIARIO AGENTE AUTORIZADOS</t>
  </si>
  <si>
    <t>MANUTENCAO DE SOFTWARE - AMDOCS</t>
  </si>
  <si>
    <t>LAYOUTS - PROJETOS DE ARQUITETURA</t>
  </si>
  <si>
    <t>EXTENSAO DE GARANTIA DE SOFTWARE</t>
  </si>
  <si>
    <t>SERVIÇO-SUPORTE TECNICO EM SOFTWARE</t>
  </si>
  <si>
    <t>DESPESAS COM GIBI VIRTUAL</t>
  </si>
  <si>
    <t>MANUTENCAO DE SOFTWARE - SISPRO</t>
  </si>
  <si>
    <t>IMPLEMENTACAO E MANUTENCAO SPW</t>
  </si>
  <si>
    <t>SERV. DE CONFIGUR. E INSTAL. DE SOFTWARE</t>
  </si>
  <si>
    <t>REMANEJAMENTO DE EQUIP.EM SITES/SWITCH</t>
  </si>
  <si>
    <t>SERVICOS DE BACKUP/RESTORE -JURIDICO</t>
  </si>
  <si>
    <t>SERVICOS IMPLEMENTACAO DE SISTEMA -SAP</t>
  </si>
  <si>
    <t>DESINSTALACAO E INSTALACAO DE HARDWARE</t>
  </si>
  <si>
    <t>INSTALACAO E CONFIGURACAO SOFTW.HLR</t>
  </si>
  <si>
    <t>SERVICO DE CONFIF E  INTEGRACAO DE SW</t>
  </si>
  <si>
    <t>MAO DE OBRA TERCEIRIZADA</t>
  </si>
  <si>
    <t>SERV COMISSÃO P/ INTERMEDIAÇÃO EBT/NET</t>
  </si>
  <si>
    <t>SERV 10.05</t>
  </si>
  <si>
    <t>MANUTENCAO EM SERVIDOR</t>
  </si>
  <si>
    <t>SERV.ADESIVOS P/SINALIZACAO EM LOJAS</t>
  </si>
  <si>
    <t>MANUTENCAO DE SOFTWARE SAP</t>
  </si>
  <si>
    <t>SERV.DE ATENDIMENTO AO CLIENTE</t>
  </si>
  <si>
    <t>SERV. MONTAGEM E DESMONTAGEM QUIOSQUE</t>
  </si>
  <si>
    <t>ADESIVO  P/SINALIZACAO PROMOCIONAL</t>
  </si>
  <si>
    <t>INSTALACAO DE EQUIPAMENTO NMP</t>
  </si>
  <si>
    <t>SERVICO CONSULTORIA PROJETO WBS</t>
  </si>
  <si>
    <t>SERV.CONSULT/ RELACIONAM.CLARO CLUBE</t>
  </si>
  <si>
    <t>SERVICO PROJETO/VISTORIA/INSTAL.E TESTES</t>
  </si>
  <si>
    <t>SUPORTE E MANUTENÇÃO ANUAL -PROMON</t>
  </si>
  <si>
    <t>SERVICO DE DESINSTALACAO DE SITES</t>
  </si>
  <si>
    <t>CONSULTORIA EM MARKETING</t>
  </si>
  <si>
    <t>INSTALACAO DE EQUIPAMENTO HP</t>
  </si>
  <si>
    <t>INSTALACAO DE EQUIPAMENTO PABX/URA</t>
  </si>
  <si>
    <t>SERVICOS PROFISSIONAIS AVAYA</t>
  </si>
  <si>
    <t>SERV.PROGRAMACAO</t>
  </si>
  <si>
    <t>SERVICO MANUT.EQUIPTº SITES/SW</t>
  </si>
  <si>
    <t>PRODUCAO PLACA DE SINALIZACAO HQ</t>
  </si>
  <si>
    <t>INSTALACAO DE RADIO SDH -NERA</t>
  </si>
  <si>
    <t>INSTALACAO DE MULTIPLEXADOR ADM NERA</t>
  </si>
  <si>
    <t>ALINHAMENTO E TESTES DE RADIO SDH</t>
  </si>
  <si>
    <t>TESTES DE MULTIPLEXADOR ADM -NERA</t>
  </si>
  <si>
    <t>CALCULO DESEMPENHO/INTERFERENCIA/PL FREQ</t>
  </si>
  <si>
    <t>SERVICO DE ENGENHARIA / NERA</t>
  </si>
  <si>
    <t>PROJETO PROVISORIO INSTALACAO PPI-NERA</t>
  </si>
  <si>
    <t>PROJETO PROVISORIO INSTALACAO PDI-NERA</t>
  </si>
  <si>
    <t>EXTENSAO DE GARANTIA DE SUPORTE TECNICO</t>
  </si>
  <si>
    <t>SERVIÇO INSTALAÇAO E TESTES BTS MOVEL</t>
  </si>
  <si>
    <t>SERVICOS PLATAFORMA BCP/MIX -VPN</t>
  </si>
  <si>
    <t>SERVICO CONSULTORIA EM LOGISTICA</t>
  </si>
  <si>
    <t>SERV.DE EXECUCAO DE LEILAO REVERSO</t>
  </si>
  <si>
    <t>SERV 17.13</t>
  </si>
  <si>
    <t>CESSAO DE DIREITO DE PONTO COMERCIAL</t>
  </si>
  <si>
    <t>INSTALACAO DE ENGENHARIA /TEKELEC</t>
  </si>
  <si>
    <t>SERVICOS PLATAFORMA ACC</t>
  </si>
  <si>
    <t>SERVICOS PROFISSIONAIS TEKELEC</t>
  </si>
  <si>
    <t>SERVICOS SISTEMA SINTENEL -TEKELEC</t>
  </si>
  <si>
    <t>SERV.COM APRESENTACAO ELETRONICA</t>
  </si>
  <si>
    <t>INSTALACAO DE ENGENHARIA /PROMON</t>
  </si>
  <si>
    <t>SERVICOS PROFISSIONAIS PROMON</t>
  </si>
  <si>
    <t>SERVICOS CO-BILLING POS PAGO</t>
  </si>
  <si>
    <t>EXTENSAO GARANTIA DESKTOP/HP 3 ANOS</t>
  </si>
  <si>
    <t>PROPAGANDA COOPERADA</t>
  </si>
  <si>
    <t>INSTAL. E DESINSTAL. DE EQUIPTº/NERA</t>
  </si>
  <si>
    <t>SERVICO DE UPGRADE</t>
  </si>
  <si>
    <t>SERV.COMISSIONAMENTO MGW NOKIA</t>
  </si>
  <si>
    <t>SERV.GERENCIAMENTO PROJETO MGW NOKIA</t>
  </si>
  <si>
    <t>SERV.COMISSIONAMENTO MSS NOKIA</t>
  </si>
  <si>
    <t>SERV.GERENCIAMENTO PROJETO MSS NOKIA</t>
  </si>
  <si>
    <t>TREINAMENTO TEKELEC</t>
  </si>
  <si>
    <t>TREINAMENTO PROMON</t>
  </si>
  <si>
    <t>SERVICO DE CONSULTORIA PROMON</t>
  </si>
  <si>
    <t>OPERACAO ASSISTIDA /SITE -PROMON</t>
  </si>
  <si>
    <t>SERV.PROJETO E PLANEJAMENTO DE REDE</t>
  </si>
  <si>
    <t>SERVICO DE CONSULTORIA CO-BILLING</t>
  </si>
  <si>
    <t>SERV. DE INSTALACAO DE EQUIPTº / HP</t>
  </si>
  <si>
    <t>SERVICOS DE IMPLEMENTACAO/HP</t>
  </si>
  <si>
    <t>SERV.MANUT. DE EQUIPTº DE TELEFONIA</t>
  </si>
  <si>
    <t>SERVICOS PROFISSIONAIS HUAWEI</t>
  </si>
  <si>
    <t>SERVICO DE CONSULTORIA HUAWEI</t>
  </si>
  <si>
    <t>SERV.DE INSTALACAO DE EQUIPTº/HUAWEI</t>
  </si>
  <si>
    <t>SERV. TREINAMENTO HUAWEI</t>
  </si>
  <si>
    <t>SERV. GERENCIAMENTO OBRA ENG</t>
  </si>
  <si>
    <t>SERV 07.19</t>
  </si>
  <si>
    <t>SERVICO DE CONSULTORIA ALCATEL</t>
  </si>
  <si>
    <t>SERV. COMISSIONAMENTO OSS NOKIA</t>
  </si>
  <si>
    <t>SERV.GERENCIAMENTO PROJETO OSS NOKIA</t>
  </si>
  <si>
    <t>SERV. TREINAMENTO NEC</t>
  </si>
  <si>
    <t>SERV.PROJETO DE RADIO ENLACE</t>
  </si>
  <si>
    <t>INSTALACAO DE EQUIPTº TRX POR BTS</t>
  </si>
  <si>
    <t>SERVIÇO DE LICENCIAMENTO DE PROJ DE SITE</t>
  </si>
  <si>
    <t>SERVIÇO DE SITE AQUISITIVO</t>
  </si>
  <si>
    <t>SERV DE EXECUCAO DE FUNDACAO PARA SITE</t>
  </si>
  <si>
    <t>SERV 07.02.01</t>
  </si>
  <si>
    <t>CAMPANHA / ACOES DE FIDELIZACAO</t>
  </si>
  <si>
    <t>SERVICO DE JARDINAGEM HQ/LJS/FL</t>
  </si>
  <si>
    <t>SERV. TREINAMENTO SIEMENS</t>
  </si>
  <si>
    <t>SERVICOS EXECUCAO DE LAUDO ENGENHARIA</t>
  </si>
  <si>
    <t>INSTALACAO DE EQUIPAMENTO MCF</t>
  </si>
  <si>
    <t>MOD:8 IMPLANTACAO DE SITE SIEMENS</t>
  </si>
  <si>
    <t>SERV.INSTAL.EQUIP.TELECOM MODELO 1A-I&amp;C</t>
  </si>
  <si>
    <t>MOD 1B: BASICO SIMPLIFICADO SIEMENS</t>
  </si>
  <si>
    <t>MOD 2A:TROCA SIST RETIF ATE 900A SIEMENS</t>
  </si>
  <si>
    <t>MOD 2:TROCA SIST RETIF ATE 1200A SIEMENS</t>
  </si>
  <si>
    <t>MOD3:TROCA BCO BATERIA ATE1000AH SIEMENS</t>
  </si>
  <si>
    <t>MOD3:TROCA BC BATERIA ATE 1500AH SIEMENS</t>
  </si>
  <si>
    <t>MODELO 4: SITE NOVO SIEMENS</t>
  </si>
  <si>
    <t>MOD 6:REF ESTR. SITE ROOFTOPS SIEMENS</t>
  </si>
  <si>
    <t>MOD 7:ADEQUACAO DE REFRI SIEMENS</t>
  </si>
  <si>
    <t>MOD 9: INST. OUTDOOR SIEMENS</t>
  </si>
  <si>
    <t>MOD 10: AMPLIACAO OUTDOOR SIEMENS</t>
  </si>
  <si>
    <t>MOD11:GERENC EXEC REF ESTR E FUND SIEMEN</t>
  </si>
  <si>
    <t>SERVICO INSTAL.EQUIPTº DE ENERGIA</t>
  </si>
  <si>
    <t>SERV.INSTALACAO DE EQUIPTº MINI BASTIDOR</t>
  </si>
  <si>
    <t>INSTAL DE EQUIPTº DE TERCEIROS -ENGª</t>
  </si>
  <si>
    <t>SERV.DE INSTALACAO DE ANTENAS -ENGª</t>
  </si>
  <si>
    <t>SERVICO MONIT. REMOTO DE VEICULO</t>
  </si>
  <si>
    <t>SERV 11.02.01</t>
  </si>
  <si>
    <t>TREINAMENTO SIEMENS</t>
  </si>
  <si>
    <t>PREMIUM CARD</t>
  </si>
  <si>
    <t>SERV CONSULTORIA ERICSSON</t>
  </si>
  <si>
    <t>SERV.TREINAMENTO ALCATEL</t>
  </si>
  <si>
    <t>SERV DE IMPORT EQUIP ALCATEL</t>
  </si>
  <si>
    <t>SERVICO IMPLANTACAO HLR</t>
  </si>
  <si>
    <t>SERV ATUALIZACAO/MANUT DE LIC. SOFTWARE</t>
  </si>
  <si>
    <t>SERVICO DE GARANTIA PLATAFORMA VAS</t>
  </si>
  <si>
    <t>SERVICO DE TREINAMENTO NORTEL</t>
  </si>
  <si>
    <t>SERV IMPL  E TREIN DO SOFTW DE ACESSO</t>
  </si>
  <si>
    <t>SERV IMPL E TREIN DA INTERFACE RH PONTO</t>
  </si>
  <si>
    <t>SERVICO MMS</t>
  </si>
  <si>
    <t>SERV. PROJETO E PLANEJAMENTO DE REDE</t>
  </si>
  <si>
    <t>SERVICO DE TREINAMENTO ENG</t>
  </si>
  <si>
    <t>SERVICO DE IMPORTACAO</t>
  </si>
  <si>
    <t>SERVICO DE IMPLANTACAO - ENG</t>
  </si>
  <si>
    <t>SERVICO MARKETING DIRETO</t>
  </si>
  <si>
    <t>SERV IMPLEMENTACAO/INSTAL EQTO ALCATEL</t>
  </si>
  <si>
    <t>SERVIÇO DE INSTAL DE ENLACE RADIO DCN</t>
  </si>
  <si>
    <t>SERVIÇOS BASICOS DE INFRA-ESTRUT. TX</t>
  </si>
  <si>
    <t>PROJETO ENGEN P/EXPANSAO DE TRX-NTK C/HW</t>
  </si>
  <si>
    <t>SERV INSTALAÇAO DE EQUIP. SIST TELECOM</t>
  </si>
  <si>
    <t>SERVIÇO DE GERENCIMANETO DE PROJETOS ENG</t>
  </si>
  <si>
    <t>SERV REMANEJ.EQUIP MICROONDAS SIST TELEC</t>
  </si>
  <si>
    <t>SERV. DE RETIRADA DE TRX-EQUIP TRANSMIS.</t>
  </si>
  <si>
    <t>SERV DE INSTAL./CONFIG. DE SW EM EQUIP.</t>
  </si>
  <si>
    <t>SERVIÇO DE SUPORTE ENG</t>
  </si>
  <si>
    <t>SERVIÇO - GERENCIAMENTO DE PROJETOS</t>
  </si>
  <si>
    <t>EXTENSAO DE GARANTIA HP 3 ANOS</t>
  </si>
  <si>
    <t>TREINAMENTO/MANUTENÇAO/OPERAÇAO-O&amp;M</t>
  </si>
  <si>
    <t>SERVIÇO DE INVENTARIO</t>
  </si>
  <si>
    <t>SERV. PROJETO E VISTORIA EM SITE</t>
  </si>
  <si>
    <t>SERVIÇO INSTALAÇAO GRADIL BTS</t>
  </si>
  <si>
    <t>SERV. DE INSTALAÇÃO DE GRADE QTM TELA</t>
  </si>
  <si>
    <t>SERVIÇO DE INSTALAÇAO DE CONCERTINA</t>
  </si>
  <si>
    <t>SERVIIÇO- INSTALAÇAO MASTRO ADICIONAL</t>
  </si>
  <si>
    <t>SERVIÇO DE OBRA CIVIL - ALAMBRADO</t>
  </si>
  <si>
    <t>SERVIÇO DE OBRA CIVIL-CERCA PARAGUAIA</t>
  </si>
  <si>
    <t>SERV-INST. DE QUADRO ALARME BALIZAMENTO</t>
  </si>
  <si>
    <t>SERV-EXT. REDE MEDIA TENSAO C/ TRANSF-km</t>
  </si>
  <si>
    <t>SERV EXT REDE MEDIA TENSAO C/ TRANSFOMAD</t>
  </si>
  <si>
    <t>SERV. PROJ ENGENHARIA SITES NOVOS-ENG TK</t>
  </si>
  <si>
    <t>SERV DESMOBILIZAÇAO/REMOÇAO DE ANTENAS</t>
  </si>
  <si>
    <t>SERVIÇO DE ENGENHARIA - ENG NTK</t>
  </si>
  <si>
    <t>SERVIÇO TECN. TELECOMUNIC.-EXP INTERFACE</t>
  </si>
  <si>
    <t>SERV 31.01</t>
  </si>
  <si>
    <t>SERVIÇO DE PLANEJAMENTO DE REDE REFL BSC</t>
  </si>
  <si>
    <t>SERVIÇO DE REFILIAÇAO DE BSC</t>
  </si>
  <si>
    <t>SERVIÇO DE ENGENHARIA-ENG. REFIL. BTS</t>
  </si>
  <si>
    <t>SERVIÇO DE REFILIAÇAO DE BTS</t>
  </si>
  <si>
    <t>SERVIÇO DE ENGENHARIA - ENG EX BSC3i</t>
  </si>
  <si>
    <t>SERVIÇO DE ENGENHARIA - ENG BSC3i</t>
  </si>
  <si>
    <t>SERV VISTORIA/ESTUDO VIABILIDADE DE SITE</t>
  </si>
  <si>
    <t>SERV. DE PLANEJAMENTO PROJETO P/ B. CAND</t>
  </si>
  <si>
    <t>SERVIÇO DE AQUISIÇAO DE SITES SEM BUSCA</t>
  </si>
  <si>
    <t>SERVIÇO DE AQUISIÇAO DE NOVOS SITES</t>
  </si>
  <si>
    <t>SERVIÇO DE ENGENHARIA-ENG EXP INTERFACE</t>
  </si>
  <si>
    <t>SERVIÇO DE TREINAMENTO</t>
  </si>
  <si>
    <t>SERV PROJ. E PLANEJAMENTO DE RF-POR SITE</t>
  </si>
  <si>
    <t>SERV INTERCON MOD RF SIST- SOL. DISTRIB.</t>
  </si>
  <si>
    <t>SERVIÇO DE CONSULTORIA DE ENGENHARIA</t>
  </si>
  <si>
    <t>SERVIÇO DE AJUSTE FINO DE ANTENA</t>
  </si>
  <si>
    <t>SERVIÇO DE VISTORIA NO SITE NTK</t>
  </si>
  <si>
    <t>SERVIÇO DE VISTORIA NO SITE TK</t>
  </si>
  <si>
    <t>SERVIÇO CONSULTORIA-SUPORTE OPERACIONAL</t>
  </si>
  <si>
    <t>SERVIÇO DE CONSULTORIA EM OTIMIZAÇAO</t>
  </si>
  <si>
    <t>SERVIÇO DE TREINAMENTO- GERENCIA V9</t>
  </si>
  <si>
    <t>SERVIÇO DE TREINAMENTO-BSS PARAMETROS</t>
  </si>
  <si>
    <t>SERV. DE TREINAMENTO-BSS DIMENSIONAMENTO</t>
  </si>
  <si>
    <t>SERVIÇO DE TREINAMENTO - ESCOPO MW</t>
  </si>
  <si>
    <t>SERVIÇO DE TREINAMENTO - ESCOPO GMS</t>
  </si>
  <si>
    <t>SERVIÇO REFERENTE A CONTRATO-CANDIDATO</t>
  </si>
  <si>
    <t>SERV. PROJ. E VISTORIA TEC. DE INFRA</t>
  </si>
  <si>
    <t>SERVIÇO DE CONSUTORIA - SAR</t>
  </si>
  <si>
    <t>SERVIÇO-SUPORTE SITE 6m OPERAÇAO ASSIST.</t>
  </si>
  <si>
    <t>SERVIÇO-SUPORTE LOCAL 6m MANUT. ASSIST.</t>
  </si>
  <si>
    <t>SERV.-REPARO/SUBSTITUIÇAO 20 DIAS - ANO1</t>
  </si>
  <si>
    <t>SERVIÇO DE TREINAMENTO - OSS</t>
  </si>
  <si>
    <t>SERVIÇO DE TREINAMENTO - NOC</t>
  </si>
  <si>
    <t>SERVIÇO DE TREINAMENTO-TNMS-C v10-ADM</t>
  </si>
  <si>
    <t>SERV-PROJETO EXECUTIVO DE INFRAESTRUTURA</t>
  </si>
  <si>
    <t>SERV.-AQUISIÇAO/LICENC.DE PONTO INDICADO</t>
  </si>
  <si>
    <t>SERVIÇO DE LIBERAÇAO DE USO PROJ - COW</t>
  </si>
  <si>
    <t>SERVIÇO REFERENTE A HABITE-SE</t>
  </si>
  <si>
    <t>SERVIÇO ESTUDO PRELIMINAR REF A ALVARA</t>
  </si>
  <si>
    <t>SERV.-PROJETO E PROTOCOLO DE ENTREGA-PM</t>
  </si>
  <si>
    <t>SERVIÇO SITE NOVO-GREENFIELD OUTDOOR TX</t>
  </si>
  <si>
    <t>SERVIÇO SITE NOVO-GREENFIELD OUTDOOR TCO</t>
  </si>
  <si>
    <t>SERVIÇO SITE NOVO-GREENFIELD OUTDOOR</t>
  </si>
  <si>
    <t>SERVIÇO SITE NOVO- ROOF TOP OUTDOOR</t>
  </si>
  <si>
    <t>SERVIÇO-FUNDAÇAO ESTACA RAIZ-PERF. SOLO</t>
  </si>
  <si>
    <t>SERVIÇO-FUNDAÇAO ESTACA RAIZ-PERF. ROCHA</t>
  </si>
  <si>
    <t>SERVIÇOS  DE RADIER/LAJE EM OBRA CIVIL</t>
  </si>
  <si>
    <t>SERV DE TUBULAÇÃO M3 EM OBRA CIVIL</t>
  </si>
  <si>
    <t>SERV INSTAL SITE RTOUTDOOR COMPARTILHADO</t>
  </si>
  <si>
    <t>SERV INSTAL SITE GF OUTDOOR TCO COMPART.</t>
  </si>
  <si>
    <t>SERV INSTAL SITE GFOUTDOOR COMPARTILHADO</t>
  </si>
  <si>
    <t>SERVIÇO DE SONDAGEM - ROTATIVA</t>
  </si>
  <si>
    <t>SERV. DE SONDAGEM EM OBRA CIVIL-NOKIA</t>
  </si>
  <si>
    <t>SERVIÇO DE SONDAGEM- METRO EXCEDENTE</t>
  </si>
  <si>
    <t>SERVIÇO DE LAUDO ESTRUTURAL - PREDIOS</t>
  </si>
  <si>
    <t>SERVIÇO DE LAUDO ESTRUTURAL - TERCEIROS</t>
  </si>
  <si>
    <t>SERVIÇO LAUDO DE ANALISE DE FUNDAÇAO</t>
  </si>
  <si>
    <t>SERVIÇO DE REFORÇO DE FUNDAÇAO P/ M3</t>
  </si>
  <si>
    <t>SERVIÇO-REFORÇO DE ESTRUTURA VERTICAL/kg</t>
  </si>
  <si>
    <t>SERVIÇO- PROJETO/REFORÇO DE TORRE/POSTE</t>
  </si>
  <si>
    <t>SERVIÇO- PROJETO/REFORÇO DE FUNDAÇAO</t>
  </si>
  <si>
    <t>SERVIÇO DE INSTALAÇAO-BSC COMPARTILHADO</t>
  </si>
  <si>
    <t>SERVIÇO DE INFRA  - ANTENA SATELITE</t>
  </si>
  <si>
    <t>SERVIÇO - INFRA SITE INDOOR NOVO</t>
  </si>
  <si>
    <t>SERVIÇO-INFRA SITE INDOOR COMPARTILHADO</t>
  </si>
  <si>
    <t>SERV PROJ. INTER/NEGOCIAÇAO AQUIS. ÁREA</t>
  </si>
  <si>
    <t>SERVIÇO SOLICITAÇÃO PRÉVIA COMAR</t>
  </si>
  <si>
    <t>SERV ESTUDO PLANO CONTR. AMBIENTAL C/ART</t>
  </si>
  <si>
    <t>SERV ESTUDO RELAT IMPACTO AMBIENTAL-RIMA</t>
  </si>
  <si>
    <t>SERV ESTUDO IMPACTO AMBIENTAL EIA C/ART</t>
  </si>
  <si>
    <t>SERVIÇO ESTUDO VIAB DE IMPACTO EIV C/ART</t>
  </si>
  <si>
    <t>SERVIÇO - ADAPTAÇAO INFRAESTRUTURA DE CO</t>
  </si>
  <si>
    <t>SERVIÇO - ADEQUAÇAO DE INFRA ESTRUTURA</t>
  </si>
  <si>
    <t>SERVIÇO-EXTENSAO DE REDE EM BAIXA (M)</t>
  </si>
  <si>
    <t>SERVIÇO-VIAS DE ACESSO COM CASCALHO (M2)</t>
  </si>
  <si>
    <t>SERVIÇO-IMPLANTAÇAO ANTENA SATELITE 1,8m</t>
  </si>
  <si>
    <t>SERVIÇO DE OBRA CIVIL - MURO BLOCO</t>
  </si>
  <si>
    <t>SERVIÇO DE OBRA CIVIL - MURO DE ARRIMO</t>
  </si>
  <si>
    <t>SERVIÇO DE QUALIFICAÇAO</t>
  </si>
  <si>
    <t>SERVIÇO DE EXPANSAO EQUIPTO - ENG.</t>
  </si>
  <si>
    <t>SERVIÇO DE ESTEIRAMENTO - ENG.</t>
  </si>
  <si>
    <t>SERVIÇO DE REFILIAÇAO - ENG.</t>
  </si>
  <si>
    <t>SERV. INSTAL DE RACK 19 EM SIST. TELECOM</t>
  </si>
  <si>
    <t>SERVIÇO DE MOBILIZAÇÃO</t>
  </si>
  <si>
    <t>"SERV CABOS 1 5/8""RF EM ESTEIRA VERTICA</t>
  </si>
  <si>
    <t>"SERV CABOS 7/8""RF EM ESTEIRA VERTICAL"</t>
  </si>
  <si>
    <t>"SERV CABOS 7/8""RF EM ESTEIRA HORIZONTA</t>
  </si>
  <si>
    <t>"SERV CABOS 3/8"" RF EM ESTEIRA HORIZONT</t>
  </si>
  <si>
    <t>SERVIÇO DE COMISSIONAMENTO ERICSSON</t>
  </si>
  <si>
    <t>PROJETO - APROVAÇÃO PREFEITURA</t>
  </si>
  <si>
    <t>SERVIÇO PROJETO DEFINITIVO AS-BUILT</t>
  </si>
  <si>
    <t>SERV. INSTAL-AMPL  DE SITE RETIFICADOR</t>
  </si>
  <si>
    <t>SERVIÇO REM/DESCARTE SISTEMA IRRADIANTE</t>
  </si>
  <si>
    <t>SERVIÇO DE DESINSTALAÇÃO PLATAFORMA</t>
  </si>
  <si>
    <t>SERVIÇO DE INSTALAÇÃO DE PLATAFORMA</t>
  </si>
  <si>
    <t>SERVIÇO ENCAPSULAMENTO DE POSTE</t>
  </si>
  <si>
    <t>SERVIÇO TESTE VSWR SISTEMA IRRADIANTE</t>
  </si>
  <si>
    <t>SOLICITAÇÃO DA PORTARIA DO COMAR</t>
  </si>
  <si>
    <t>SERVIÇO DE TRANSMISSAO - ENGENHARIA</t>
  </si>
  <si>
    <t>SERVIÇO DE INSTALAÇÃO DE RADIO</t>
  </si>
  <si>
    <t>SER. DE MIGRAÇAO DE BSC P/ GBSIP TELECOM</t>
  </si>
  <si>
    <t>SERVIÇO DE INSTALAÇÃO DE GERÊNCIA</t>
  </si>
  <si>
    <t>SERV. DE INSTALAÇAO/CONFIGURAÇAO - MUX.</t>
  </si>
  <si>
    <t>SERV PROJET (CIVIL, ELÉTRICA, ATER, ANT)</t>
  </si>
  <si>
    <t>SERV PROJ -CIVIL EXIST, ELÉTR, ATER, ANT</t>
  </si>
  <si>
    <t>SERV LAUDO ANALISE FUNDAÇÃO - S/PROJ</t>
  </si>
  <si>
    <t>SERV LAUDO ANÁL ESTRUT TORRES C/PROJ</t>
  </si>
  <si>
    <t>SERV LAUDO ANÁL ESTRUT TORRES S/PROJ</t>
  </si>
  <si>
    <t>SERV LAUDO PRED P/INST MASTRO 10m C/PROJ</t>
  </si>
  <si>
    <t>SERV LAUDO PRED P/INST MASTRO 10m S/PROJ</t>
  </si>
  <si>
    <t>SERVIÇO DE AMPLIAÇAO DE CENTRAL TELEF.</t>
  </si>
  <si>
    <t>SERVIÇO CONSTRUÇÃO BASE EM CONCRETO</t>
  </si>
  <si>
    <t>SERV. DE ENGENH EM LIMPEZA DE ESPECTRO</t>
  </si>
  <si>
    <t>SERVIÇO INSTALAÇÃO DE CABO</t>
  </si>
  <si>
    <t>SERV INSTALAÇÃO COMISSIONAMENTO OSS</t>
  </si>
  <si>
    <t>SERV INSTALAÇÃO COMISSIONAMENTO RNC</t>
  </si>
  <si>
    <t>SERV INSTALAÇÃO COMISSIONAMENTO NODE B</t>
  </si>
  <si>
    <t>SERV Node B Reconfig ERB (Rehoming)</t>
  </si>
  <si>
    <t>SERV RNC RECONFIGURAÇÃO (Rehoming)</t>
  </si>
  <si>
    <t>SERV EXPNSÃO DE RNC (HW)</t>
  </si>
  <si>
    <t>SERV. DE PROJETO ENGENH E VERIFIC DE RF</t>
  </si>
  <si>
    <t>SERV.VERIFICAÇAO DE DIMENSIONAMENTO-REDE</t>
  </si>
  <si>
    <t>SERV Ajuste de ERB-Cluster</t>
  </si>
  <si>
    <t>SERV ANAL.QUALIDADE COMPARATIVA (BENCH)</t>
  </si>
  <si>
    <t>SERV ANÁLISE ESTATÍSTICA RNC</t>
  </si>
  <si>
    <t>SERV 17.21</t>
  </si>
  <si>
    <t>SERV GSM/GPRS/EDGE Relat de N.Regressão</t>
  </si>
  <si>
    <t>SERV SUPORTE OPER. CONTROLADOR DE REDE</t>
  </si>
  <si>
    <t>SERVIÇO INSTALAÇÃO CONVERSOR</t>
  </si>
  <si>
    <t>SERV INST. CONECTOR FCI  ESTEIRA HORIZ.</t>
  </si>
  <si>
    <t>SERV 14.06.02</t>
  </si>
  <si>
    <t>SERV INST. CONECTOR FCI  ESTEIRA VERTIC.</t>
  </si>
  <si>
    <t>SERV INSTALAÇÃO DISJUNTOR</t>
  </si>
  <si>
    <t>SERV INSTALAÇÃO DE BASE DE FUSÍVEL</t>
  </si>
  <si>
    <t>SERV INSTALAÇÃO FUSÍVEL EM BASE EXIST.</t>
  </si>
  <si>
    <t>SERVIÇO DE REMANEJAMENTO DE RADIO</t>
  </si>
  <si>
    <t>SERVIÇO DE AMPLIAÇÃO DE RADIO</t>
  </si>
  <si>
    <t>"SERV CABOS 3/8"" RF EM ESTEIRA VERTICAL</t>
  </si>
  <si>
    <t>SERV TEC. EM TELECOM DE REM DE ANTENA RF</t>
  </si>
  <si>
    <t>SERV DESAT, DESINST ENTREGA WH BASTIDOR</t>
  </si>
  <si>
    <t>SERV. DE INFRAESTUTURA BASICA P/OB CIVIL</t>
  </si>
  <si>
    <t>SERV ADEQ ALTURA (COTA) SUPORTES</t>
  </si>
  <si>
    <t>SERVIÇO DESINSTALAÇÃO DE SUPORTES</t>
  </si>
  <si>
    <t>SERV INST ESTEIRAMENTO EXT 200-400 mm</t>
  </si>
  <si>
    <t>SERV INST ESTEIRAMENTO EXT CINTAS BAP</t>
  </si>
  <si>
    <t>SERV ESTRUT METALICA, SUPORTE OU ACESS.</t>
  </si>
  <si>
    <t>SERV PLATAFORMA DE APOIO DE PE</t>
  </si>
  <si>
    <t>SERV SOLICITAÇÃO PORTARIA COMAR-ESPECIAL</t>
  </si>
  <si>
    <t>SERV CONEXÃO DE ENTRE BASTIDORES</t>
  </si>
  <si>
    <t>SERV MIGRAÇAO DE TRAFEGO SIST TRANS-SITE</t>
  </si>
  <si>
    <t>SERVIÇO DE REMANEJAMENTO - MUX</t>
  </si>
  <si>
    <t>SERVIÇO DE JAMPEAMENTO</t>
  </si>
  <si>
    <t>SERVIÇO DE IMPLEMENTAÇAO - SITE NOVO</t>
  </si>
  <si>
    <t>SERVIÇO DE TRANSPORTE VOL E CARGA MUNIC</t>
  </si>
  <si>
    <t>SERVIÇO DE CONEXAO - BASTIDOR</t>
  </si>
  <si>
    <t>SERVIÇO DE SUBSTITUIÇAO EQUIPTOS - ENG</t>
  </si>
  <si>
    <t>SERVIÇO DE INSTALAÇAO DE SUPORTES-ENG.</t>
  </si>
  <si>
    <t>SERVIÇO DE ESTACA RAIZ - FUNDAÇAO</t>
  </si>
  <si>
    <t>SERVIÇO DE ESTACA RAIZ - MOBILIZAÇAO</t>
  </si>
  <si>
    <t>SERVIÇO DE TROCA / INSTALAÇAO - ENG.</t>
  </si>
  <si>
    <t>SERVIÇO DE MONTAGEM - ENGENHARIA</t>
  </si>
  <si>
    <t>SERVIÇO DE FUNDAÇAO COMPLETA - SAPATA</t>
  </si>
  <si>
    <t>SERV. ESTUD. LEVANTAM. PLANIALTIMETRICO</t>
  </si>
  <si>
    <t>SERVIÇO-INSTALAÇAO/CONFIGURAÇAO/TESTE-SW</t>
  </si>
  <si>
    <t>SERVIÇO -  SUPORTE/MANUTENÇAO EM SOFTW.</t>
  </si>
  <si>
    <t>FORN. / INST-CONECTOR FCI ESTEIRA VERT.</t>
  </si>
  <si>
    <t>FORN. / INST-CONECTOR FCI ESTEIRA HORIZ.</t>
  </si>
  <si>
    <t>SERV DE INSTALAÇAO DE SUPORTE DE CANTO</t>
  </si>
  <si>
    <t>SERV. DE INSTALAÇAO DE SUPORTE DE FACE</t>
  </si>
  <si>
    <t>SERV. DE INSTALAÇAO DE SUPORTE BANDEIRA</t>
  </si>
  <si>
    <t>FORN. / INSTALAÇAO DE SUPORTE CINTA 900</t>
  </si>
  <si>
    <t>SERV DE INSTALAÇAO DE SUPORTE CINTA 1800</t>
  </si>
  <si>
    <t>SERVIÇO DE TROCA / INSTALAÇAO DE TUBO</t>
  </si>
  <si>
    <t>FORN. / INST. DE CABO DE COBRE FLEXIVEL</t>
  </si>
  <si>
    <t>FORN. / INST. DE  CONDULETE</t>
  </si>
  <si>
    <t>FORN. / INST. DE CABO CI 2 PAES</t>
  </si>
  <si>
    <t>FORN. / INST. DE ELETRODUTO</t>
  </si>
  <si>
    <t>FORN. / INST. DE PLACA DE PASSAGEM</t>
  </si>
  <si>
    <t>SERV DE INSTALÇÃO DE CORDOALHA</t>
  </si>
  <si>
    <t>FORN. / INST. DE DISJUNTOR</t>
  </si>
  <si>
    <t>FORN. / INST. DE CABO DE COBRE NU</t>
  </si>
  <si>
    <t>FORN. / INST. - KIT DE MATERIAIS FIXAÇAO</t>
  </si>
  <si>
    <t>FORN. / INST. DE BASE DE FUSIVEL</t>
  </si>
  <si>
    <t>FORN. / INST. DE FUSIVEL</t>
  </si>
  <si>
    <t>SERV. DE INST. DE SUPORTE EM PLATAFORMA</t>
  </si>
  <si>
    <t>FORN. / INST. DE KIT PARA GABINETE</t>
  </si>
  <si>
    <t>FORN. / INST. DE CABO PP</t>
  </si>
  <si>
    <t>SERV. DE  INSTAL. DE SUPORTE PARA POSTE</t>
  </si>
  <si>
    <t>SERV. PROJETO ELABORAÇAO PRANCHA CIVIL</t>
  </si>
  <si>
    <t>SERV. PROJETO REVISAO/ATUALIZ. PRANCHA</t>
  </si>
  <si>
    <t>SERV. LICENCIAMENTO AMBIENTAL EIA/RIMA</t>
  </si>
  <si>
    <t>SERV INTERMEDIAÇÃO/NEGOCIAÇAO DE IMOVEL</t>
  </si>
  <si>
    <t>SERVIÇO-NEGOCIAÇAO ALUGEL-AREA ADICIONAL</t>
  </si>
  <si>
    <t>SERVIÇO DE REMANEJAMENTO - ANTENA RF</t>
  </si>
  <si>
    <t>SERV. REFORÇO ESTRUTURAL SITE ROOF TOP</t>
  </si>
  <si>
    <t>FORN. / INST. DE GABINETE - ELTEK</t>
  </si>
  <si>
    <t>SERVIÇO DE INSTALAÇAO - SUB BASTIDOR</t>
  </si>
  <si>
    <t>SERVIÇO DE INSTALAÇAO - QDCC</t>
  </si>
  <si>
    <t>SERVIÇO DE INSTALAÇAO-BANCO DE BATERIAS</t>
  </si>
  <si>
    <t>FORN . / INST. DE MINI PLATAFORMA</t>
  </si>
  <si>
    <t>SERVIÇO DE INSTALAÇAO-MEDIDOR DE TENSAO</t>
  </si>
  <si>
    <t>SERVIÇO DE INSTALAÇAO - BSC/TRAU</t>
  </si>
  <si>
    <t>SERVIÇO DE INSTALAÇAO - BTS</t>
  </si>
  <si>
    <t>SERVIÇO DE INSTALAÇAO - MICROWAVE</t>
  </si>
  <si>
    <t>SERVIÇO DE INSTALAÇAO - CORE</t>
  </si>
  <si>
    <t>SERVIÇO DE TREINAMENTO - CORE</t>
  </si>
  <si>
    <t>SERVIÇO - SUPORTE DE VIGILANCIA EM SITE</t>
  </si>
  <si>
    <t>SERVIÇO DE ENGENHARIA - BTS</t>
  </si>
  <si>
    <t>SERVIÇO DE ENGENHARIA - MICROWAVE</t>
  </si>
  <si>
    <t>SERV. OPERAÇAO ASSISTIDA/SUPORTE TECNICO</t>
  </si>
  <si>
    <t>SERV. SITE NOVO/COMPARTILHADO GF OUTDOOR</t>
  </si>
  <si>
    <t>SERV. SITE COMPARTILHADO/NOVO RT OUTDOOR</t>
  </si>
  <si>
    <t>SERV 03.04</t>
  </si>
  <si>
    <t>FORNECIMENTO / INST. DE HASTE DE AÇO</t>
  </si>
  <si>
    <t>SERV INST. ESTEIRAMENTO INT. 400-600mm</t>
  </si>
  <si>
    <t>SERV INST. ESTEIRAMENTO INT. 200 - 400mm</t>
  </si>
  <si>
    <t>SERV. PROJETO / REFORÇO DE ROOF TOP</t>
  </si>
  <si>
    <t>SERVIÇO DE LAUDO DE ATERRAMENTO</t>
  </si>
  <si>
    <t>SERVIÇO DE REFLORESTAMENTO</t>
  </si>
  <si>
    <t>SERV 07.16</t>
  </si>
  <si>
    <t>SERVIÇO - INSTAL /COMISSIONAMENTO/TESTE</t>
  </si>
  <si>
    <t>SERVIÇO DE TRADUÇAO DE BANCO DE DADOS</t>
  </si>
  <si>
    <t>SERVIÇO DE INTEGRAÇAO / CUTOVER</t>
  </si>
  <si>
    <t>SERVIÇO DE INSTALAÇAO - BASTIDOR</t>
  </si>
  <si>
    <t>SERVIÇO DE RECONFIGURAÇAO - MGW</t>
  </si>
  <si>
    <t>SERVIÇO DE RECONFIGURAÇAO - MSS</t>
  </si>
  <si>
    <t>SERV CONFIGURAÇÃO DE SOFT IMPLEM ROTA TX</t>
  </si>
  <si>
    <t>SERVIÇO DE TREINAMENTO - SOFTWARE</t>
  </si>
  <si>
    <t>SERVIÇO-INTEGRAÇAO DE SISTEMA OSS</t>
  </si>
  <si>
    <t>SERV. INSTAL. E CONFIGURAÇÃO DE SISTEMAS</t>
  </si>
  <si>
    <t>SERVIÇOS DE TESTES INTEGRADOS</t>
  </si>
  <si>
    <t>SERV. - MEDIÇAO DE MALHA DE ATERRAMENTO</t>
  </si>
  <si>
    <t>PROJETO EXEC. SITES NOVOS/REUSO/COMPART.</t>
  </si>
  <si>
    <t>SERV .- MELHORIA DA MALHA DE ATERRAMENTO</t>
  </si>
  <si>
    <t>SERVIÇO - MONTAGEM DE ANTENA RF</t>
  </si>
  <si>
    <t>"SERV. MONTAGEM DE CABO 1/2"" - SET 1-3"</t>
  </si>
  <si>
    <t>"SERV. MONTAGEM DE CABO 7/8"" - SET 1-3"</t>
  </si>
  <si>
    <t>SERV. MONTAGEM DE CABO 1 5/8"" - SET 1</t>
  </si>
  <si>
    <t>SERV. INSTAL/MIGRAÇÃO DE ROTA RADIO MUX</t>
  </si>
  <si>
    <t>SERV. INST./PARAMETR./CUSTOMIZAÇAO - SW</t>
  </si>
  <si>
    <t>SERV. DE LICENCIAMENTO PARA IMPLANT-ERB</t>
  </si>
  <si>
    <t>SERV. RETIFICAÇAO ADM.-REGISTRO CONTRATO</t>
  </si>
  <si>
    <t>SERVIÇO - EXECUÇAO DE LAUDO SONORO</t>
  </si>
  <si>
    <t>SERV 17.09</t>
  </si>
  <si>
    <t>SERVIÇO - CO-SITE PROPRIO GREENF.OUTDOOR</t>
  </si>
  <si>
    <t>SERVIÇO - CO-SITE TERC. GREENF.OUTDOOR</t>
  </si>
  <si>
    <t>SERVIÇO - CO-SITE PROPRIO ROOF T.OUTDOOR</t>
  </si>
  <si>
    <t>SERVIÇO - CO-SITE TERC.  ROOF T.OUTDOOR</t>
  </si>
  <si>
    <t>SERVIÇO SITE NOVO-GREENFIELD INDOOR</t>
  </si>
  <si>
    <t>SERVIÇO DE LAUDO ESTRUTURAL-CONTAINER</t>
  </si>
  <si>
    <t>SERVIÇO-LAUDO DE SISTEMA DE CLIMATIZAÇAO</t>
  </si>
  <si>
    <t>SERV.-ALINHAMENTO/VERTICALIDADE DE POSTE</t>
  </si>
  <si>
    <t>SERV. - LAUDO DE VERTICALIDADE DE POSTE</t>
  </si>
  <si>
    <t>ALUGUEL DE GUINDASTE - ENGENHARIA</t>
  </si>
  <si>
    <t>SERVIÇO DE INSTALAÇÃO - PORTAO</t>
  </si>
  <si>
    <t>SERVIÇO PLANEJAMENTO/IMPL. PROJ. DE REDE</t>
  </si>
  <si>
    <t>SERVIÇO - IMPLEMENTAÇAO RNC S/ CABINETE</t>
  </si>
  <si>
    <t>SERVIÇO - IMPLEMENTAÇAO RNC C/ CABINETE</t>
  </si>
  <si>
    <t>SERVIÇO - IMPLEMENTAÇAO RNC - NOVA</t>
  </si>
  <si>
    <t>SERV ELABORAÇÃO/CUSTOM TRANSFERPRICE ESY</t>
  </si>
  <si>
    <t>SERVIÇO - DESINSTALAÇAO DE TRAU</t>
  </si>
  <si>
    <t>SERVIÇO - REMANEJAMENTO DE PERIFERICOS</t>
  </si>
  <si>
    <t>SERV. IMPLEMENTAÇAO(COBRANÇA/TRANSAÇAO)</t>
  </si>
  <si>
    <t>SERV. IMPLEMENTAÇAO (GERENC. DO NEGOCIO)</t>
  </si>
  <si>
    <t>SERVIÇO - REMANEJAMENTO DE BSC</t>
  </si>
  <si>
    <t>SERVIÇO - REMANEJAMENTO DE BASTIDOR</t>
  </si>
  <si>
    <t>SERVIÇO - DESINSTALAÇAO DE BSC</t>
  </si>
  <si>
    <t>SERVIÇO DE IÇAMENTO</t>
  </si>
  <si>
    <t>SERVIÇO DE AQEQUAÇAO DE SITE GF</t>
  </si>
  <si>
    <t>SERVIÇO - DESINSTALAÇAO DE EQUIPTOS-ENG.</t>
  </si>
  <si>
    <t>SERVIÇO DE TRANSPORTE - RODOVIARIO</t>
  </si>
  <si>
    <t>SERVIÇO DE TRANSPORTE - AEREO</t>
  </si>
  <si>
    <t>SERVIÇO DE CONFIGURAÇAO DE SOFTWARE</t>
  </si>
  <si>
    <t>SERV DE INSTALAÇAO PLACAS (PCI) SIST TEL</t>
  </si>
  <si>
    <t>EXTENSAO DE GARANTIA - 3 ANOS</t>
  </si>
  <si>
    <t>SERVIÇO DE INVESTIGAÇAO DE PROBLEMAS</t>
  </si>
  <si>
    <t>SERV. DRIVE TEST / COLETA DE INFORMAÇOES</t>
  </si>
  <si>
    <t>SERVIÇO-REPARO DE PLACAS DE TRANSMISSAO</t>
  </si>
  <si>
    <t>SERV. DE INSTALAÇÃO DE ANTENA SYS TELEC.</t>
  </si>
  <si>
    <t>SERVIÇO - INSTALAÇAO CORE &amp; IMS</t>
  </si>
  <si>
    <t>"SERV. INSTAL. CINTA TORRE 1 SETOR 2"" 1</t>
  </si>
  <si>
    <t>SERV. FORN. /INST. ESTREITAMENTO EXTERNO</t>
  </si>
  <si>
    <t>SERV. ADAPTAÇAO FCC - INSTALAÇAO FUSIVEL</t>
  </si>
  <si>
    <t>SERV. FORNEC.  / INSTALAÇAO CABO 95mm</t>
  </si>
  <si>
    <t>SERV. FORNEC./INSTAL. PLACA ATERRAMENTO</t>
  </si>
  <si>
    <t>SERVIÇO DE  SUPORTE GALVANIZADO PAINEL</t>
  </si>
  <si>
    <t>SERVIÇO-DESIGN /IMPLEMENTAÇAO/ CONFIG.</t>
  </si>
  <si>
    <t>SERVIÇO DE GERENCIAMENTO -  HOSTING</t>
  </si>
  <si>
    <t>SERVIÇO DE EXTENSAO DE GARANTIA - 2 ANOS</t>
  </si>
  <si>
    <t>FORNEC/INSTAL.GRADIL PROTEÇAO DE BTS</t>
  </si>
  <si>
    <t>FORN./INST.GRADIL PROTEÇAO PORTA CONTAIN</t>
  </si>
  <si>
    <t>FORN./INST.GRADIL PROTEÇAO ESCOTILHA GMG</t>
  </si>
  <si>
    <t>FORNEC/INSTAL.GRADIL PROTEÇAO QDE</t>
  </si>
  <si>
    <t>SERVIÇO DE SUPORTE ON SITE</t>
  </si>
  <si>
    <t>SERV. INSTAL./GERENCIAMENTO DE PROJETO</t>
  </si>
  <si>
    <t>SERVIÇO DE EXPANSAO DE BBU/EBBC POR SITE</t>
  </si>
  <si>
    <t>SERV INSTAL/COMISSIONAM TRX FIBRA OPTICA</t>
  </si>
  <si>
    <t>SERVIÇO DE CONFIGURAÇAO - NODE B</t>
  </si>
  <si>
    <t>SERVIÇO DE EXPANSAO DE BBU POR SITE</t>
  </si>
  <si>
    <t>SERVIÇO DE DESINSTALAÇAO DE ANTENA</t>
  </si>
  <si>
    <t>SERV DE VISTORIA DE CAMPO TX IMPL ENLACE</t>
  </si>
  <si>
    <t>SERV. PLANEJAM. CALC. ENLACE/RELAT SITAR</t>
  </si>
  <si>
    <t>SERV. ANALISE DE CAMPO/RELAT. PROSPECÇAO</t>
  </si>
  <si>
    <t>SERVIÇO PROJETO DE CONFIG. SIST IRRAD</t>
  </si>
  <si>
    <t>SERVIÇO CONFIGURAÇAO S/ SIST. IRRADIANTE</t>
  </si>
  <si>
    <t>SERVIÇO DE REINSTALAÇAO DE EQUIPAMENTO</t>
  </si>
  <si>
    <t>SERVIÇO DE DESLOCAMENTO DE EQUIPE</t>
  </si>
  <si>
    <t>SERV PROJ DE QUALIFICAÇAO TECNICA - ENG.</t>
  </si>
  <si>
    <t>SERV. IMPLEMENTAÇAO SITE NOVO 2G-TK</t>
  </si>
  <si>
    <t>SERV. PROJ DE ENGENHARIA SITE NOVO 2G-TK</t>
  </si>
  <si>
    <t>SERV. DE IMPLEMENTAÇAO REFILIAÇAO DE BTS</t>
  </si>
  <si>
    <t>SERV. DE ENGENHARIA REFILIAÇAO DE BTS</t>
  </si>
  <si>
    <t>SERVIÇO DE IMPLEMENTAÇAO - BSC NOVA</t>
  </si>
  <si>
    <t>SERVIÇO DE ENGENHARIA - BSC NOVA</t>
  </si>
  <si>
    <t>SERVIÇI DE ENGENHARIA REFILIAÇAO DE BSC</t>
  </si>
  <si>
    <t>SERVIÇO IMPL./UPG DE BCSU/RPG/BSC</t>
  </si>
  <si>
    <t>SERVIÇO ENGENHARIA- UPG BCSU/RPG/BSC</t>
  </si>
  <si>
    <t>SERVIÇO IMPLEMENTAÇAO / EXPANSAO DTRU</t>
  </si>
  <si>
    <t>SERVIÇO ENGENHARIA - EXPANSAO DTRU</t>
  </si>
  <si>
    <t>SERV. IMPL. EXPANSAO-DTRU E POWER</t>
  </si>
  <si>
    <t>SERV. ENG. EXPANSAO - DTRU E POWER</t>
  </si>
  <si>
    <t>SERV. IMPL. EXPANSAO-DTRU/POWER/ANTENA</t>
  </si>
  <si>
    <t>SERV. ENGENHARIA EXP.-DTRU/POWER/ANTENA</t>
  </si>
  <si>
    <t>SERV. IMPL. EXP-DTRU/POWER/ANTENA/GAB</t>
  </si>
  <si>
    <t>SERV. ENG. EXP-DTRU/POWER/ANTENA/GAB</t>
  </si>
  <si>
    <t>SERVIÇO DE REMOÇAO DE DTRU</t>
  </si>
  <si>
    <t>SERV. IMPL./EXP. - INTERFACE BSC</t>
  </si>
  <si>
    <t>SERV.PROJETO E PLANEJ REDE INTERFACE BSC</t>
  </si>
  <si>
    <t>SERVIÇO DE ENGENHARIA REMOÇAO DE DTRU</t>
  </si>
  <si>
    <t>SERVIÇO IMPLEMENTAÇAO SITE NOVO 2G-NTK</t>
  </si>
  <si>
    <t>SERVIÇO ENGENHARIA SITE NOVO 2G-NTK</t>
  </si>
  <si>
    <t>COMISSAO EVENTO</t>
  </si>
  <si>
    <t>SERV. DESPACHANTE/DESEMBARAÇO ADUANEIRO</t>
  </si>
  <si>
    <t>AEREO - TREINAMENTO</t>
  </si>
  <si>
    <t>HOTEL  - TREINAMENTO</t>
  </si>
  <si>
    <t>TREINAMENTO</t>
  </si>
  <si>
    <t>REUNIAO - SALA</t>
  </si>
  <si>
    <t>REUNIAO - ALIMENTACAO</t>
  </si>
  <si>
    <t>SERVIÇO DE ADAPTAÇAO DE INFRA - BASTIDOR</t>
  </si>
  <si>
    <t>SERVIÇO-INSTALAÇAO DE TRX</t>
  </si>
  <si>
    <t>SERV INSTAL-AMPL  DE SITE RETIF/BATERIAS</t>
  </si>
  <si>
    <t>SERVIÇO-INSTALAÇAO DE GABINETE ENERGIA</t>
  </si>
  <si>
    <t>SERVIÇO-SETORIZAÇAO BTS</t>
  </si>
  <si>
    <t>SERVIÇO-DUALIZAÇAO BTS TP-C</t>
  </si>
  <si>
    <t>SERVIÇO-DUALIZAÇAO BTS TP-B</t>
  </si>
  <si>
    <t>SERVIÇO-DUALIZAÇAO BTS TP-A</t>
  </si>
  <si>
    <t>SERVIÇO-INSTALAÇAO GABINETE BTS TP-C</t>
  </si>
  <si>
    <t>SERVIÇO-INSTALAÇAO GABINETE BTS TP-B</t>
  </si>
  <si>
    <t>SERVIÇO-INSTALAÇAO GABINETE BTS TP-A</t>
  </si>
  <si>
    <t>SERVIÇO-TROCA DE GABINETE BTS</t>
  </si>
  <si>
    <t>SERVIÇO-REALOCAÇAO DE GABINETE BTS</t>
  </si>
  <si>
    <t>SERV INSTAL DE INFRA ABRAÇA P/MONOPOSTE</t>
  </si>
  <si>
    <t>SERVIÇO-INSTALAÇAO BANDEJA/CABOS</t>
  </si>
  <si>
    <t>SERVIÇO-AMPLIAÇAO BASE GABINETE BTS</t>
  </si>
  <si>
    <t>SERV TEC TELECOM P/TROCA PLACA DE EQUIP</t>
  </si>
  <si>
    <t>SERVIÇO -  UPGRADE DE CAPACIDADE PDH</t>
  </si>
  <si>
    <t>SERVIÇO DE EXPANSAO E1 (4 - 8 LINHAS)</t>
  </si>
  <si>
    <t>SERVIÇO DE MIGRAÇAO NODE B</t>
  </si>
  <si>
    <t>SERVIÇO DE MIGRAÇAO RNC</t>
  </si>
  <si>
    <t>SERV. FORNECIMENTO/INSTALAÇAO DE PORTAO</t>
  </si>
  <si>
    <t>SERVIÇO DE INFRA-ESTRUTURA EM CABEAMENTO</t>
  </si>
  <si>
    <t>SERVIÇO DE EXECUÇAO DE TERRAPLANAGEM</t>
  </si>
  <si>
    <t>SERVIÇO DE DEMOLIÇAO DE MURO</t>
  </si>
  <si>
    <t>SERVIÇO DE CORTE MECANIZADO EM TERRENO</t>
  </si>
  <si>
    <t>SERVIÇO DE TROCA DO TIPO DE GABINETE</t>
  </si>
  <si>
    <t>SERVIÇO-CONFIGURAÇAO/ATIVAÇAO-NODE B</t>
  </si>
  <si>
    <t>SERVIÇO PLANEJAM. DE TEST DRIVE POR SITE</t>
  </si>
  <si>
    <t>REPASSE PASSAGEM AEREA AG BBTUR/MARINGA</t>
  </si>
  <si>
    <t>REPASSE HOSPEDAGEM AG BBTUR/MARINGA</t>
  </si>
  <si>
    <t>ALUGUEL DE VEICULO</t>
  </si>
  <si>
    <t>EVENTOS</t>
  </si>
  <si>
    <t>SERV 17.10</t>
  </si>
  <si>
    <t>FEE</t>
  </si>
  <si>
    <t>SERV-FORNECIMENTO/INSTALAÇAO ABRAÇADEIRA</t>
  </si>
  <si>
    <t>SERV. DE INSTALAÇAO - NOVOS FEEDERS</t>
  </si>
  <si>
    <t>SERV. INSTAL. SUPORTE/ANTENAS/FEEDERS</t>
  </si>
  <si>
    <t>REUNIAO - EQUIPAMENTOS</t>
  </si>
  <si>
    <t>COMISSAO - AEREO - TREINAMENTO</t>
  </si>
  <si>
    <t>COMISSAO - HOTEL -TREINAMENTO</t>
  </si>
  <si>
    <t>COMISSAO - REUNIAO - ALIMENTACAO</t>
  </si>
  <si>
    <t>COMISSAO - REUNIAO - EQUIPAMENTOS</t>
  </si>
  <si>
    <t>COMISSAO - REUNIAO - SALA</t>
  </si>
  <si>
    <t>COMISSAO - TREINAMENTO</t>
  </si>
  <si>
    <t>SERVIÇO DE CAPACITAÇAO TECNICA</t>
  </si>
  <si>
    <t>SERV. DE AMPLIAÇÃO DO ESTACIOMENTO MATZ.</t>
  </si>
  <si>
    <t>SERV-INST. GABINETE C/ ANTENA EXISTENTE</t>
  </si>
  <si>
    <t>INST. GABINETE C/ TROCA/ADIÇAO DE ANTENA</t>
  </si>
  <si>
    <t>SERV. DESINSTALAÇAO/RETIRADA DE SITE</t>
  </si>
  <si>
    <t>SERV.INST.MASTRO C/SUPORTE-AREA 4</t>
  </si>
  <si>
    <t>SERV.INST.MASTRO C/SUPORTE-AREA 1a3</t>
  </si>
  <si>
    <t>SERV. INST. SUPORTE DE CANTO-AREA 4</t>
  </si>
  <si>
    <t>SERV. INST. SUPORTE DE CANTO-AREA 1a3</t>
  </si>
  <si>
    <t>SERVIÇO DE SITE DESIGN-AREA 4</t>
  </si>
  <si>
    <t>SERVIÇO DE PROJETOS SITE DESIGN-AREA 1a3</t>
  </si>
  <si>
    <t>SERVIÇO DE INST. DE COSTELAS-AREA 4</t>
  </si>
  <si>
    <t>SERVIÇO DE INST. DE COSTELAS-AREA 1a3</t>
  </si>
  <si>
    <t>SERVIÇO DE REMOÇAO DE EQUIPTO-AREA 4</t>
  </si>
  <si>
    <t>SERVIÇO DE REMOÇAO DE EQUIPTO-AREA 3</t>
  </si>
  <si>
    <t>SERVIÇO DE REMOÇAO DE EQUIPTO-AREA 2</t>
  </si>
  <si>
    <t>SERVIÇO DE REMOÇAO DE EQUIPTO-AREA 1</t>
  </si>
  <si>
    <t>SERVIÇO DE REALOCAÇÃO DE GABINETE-AREA 4</t>
  </si>
  <si>
    <t>SERVIÇO DE REALOCAÇÃO DE GABINETE-AREA 3</t>
  </si>
  <si>
    <t>SERVIÇO DE REALOCAÇÃO DE GABINETE-AREA 2</t>
  </si>
  <si>
    <t>SERVIÇO DE REALOCAÇÃO DE GABINETE-AREA 1</t>
  </si>
  <si>
    <t>SERVIÇO-INSTALAÇAO DE BANDEJAS-AREA 4</t>
  </si>
  <si>
    <t>SERVIÇO-INSTALAÇAO DE BANDEJAS-AREA 1a3</t>
  </si>
  <si>
    <t>SERVIÇO-ADAPTAÇAO OBRA CIVIL-AREA 4</t>
  </si>
  <si>
    <t>SERVIÇO-ADAPTAÇAO OBRA CIVIL-AREA 1 e 3</t>
  </si>
  <si>
    <t>SERV.CONSTR./AMPL. BASE GABINETE-AREA 4</t>
  </si>
  <si>
    <t>SERV.CONSTR./AMPL. BASE GABINETE- 1a3</t>
  </si>
  <si>
    <t>SERVIÇO-CUSTOMIZAÇAO/INTEGRAÇAO DE SW.</t>
  </si>
  <si>
    <t>SERV DE SHOW MUSICAL EM EVENTOS INTERNOS</t>
  </si>
  <si>
    <t>SERV 12.13</t>
  </si>
  <si>
    <t>SERV. DE EXIBIÇÃO DE SHOW MUSICAL</t>
  </si>
  <si>
    <t>SERV 12.16</t>
  </si>
  <si>
    <t>12.08-FEIRAS, EXPOSIÇÕES, CONGRESSOS</t>
  </si>
  <si>
    <t>SERV 12.08</t>
  </si>
  <si>
    <t>12.05-PARQUES E DIVERSOES, CENTROS</t>
  </si>
  <si>
    <t>SERV 12.05</t>
  </si>
  <si>
    <t>12.04-PROGRAMAS DE AUDITORIO</t>
  </si>
  <si>
    <t>SERV 12.04</t>
  </si>
  <si>
    <t>12.03-ESPETACULOS CIRCENSES</t>
  </si>
  <si>
    <t>SERV 12.03</t>
  </si>
  <si>
    <t>12.02-EXIBIÇOES CINEMATOGRAFICAS</t>
  </si>
  <si>
    <t>SERV 12.02</t>
  </si>
  <si>
    <t>12.01 - ESPETACULOS TEATRAIS</t>
  </si>
  <si>
    <t>SERV 12.01</t>
  </si>
  <si>
    <t>11.04-ARMAZENAM/DEP/CARGA/DESCARGA</t>
  </si>
  <si>
    <t>11.03-ESCOLTA, - VEICULOS E CARGA</t>
  </si>
  <si>
    <t>SERV 11.03</t>
  </si>
  <si>
    <t>VIGILANCIA/SEG POR MONITORAMENTO REMOTO</t>
  </si>
  <si>
    <t>11.01-GUARDA E ESTACIONAMENTO-VEICULOS</t>
  </si>
  <si>
    <t>10.10-DISTRIBUIÇAO DE BENS DE TERCEIROS</t>
  </si>
  <si>
    <t>SERV 10.10</t>
  </si>
  <si>
    <t>10.09-REPRESENTAÇAO DE QUALQUER NATUREZA</t>
  </si>
  <si>
    <t>SERV 10.09</t>
  </si>
  <si>
    <t>01.08-PLANEJ/CONFEC/ DE PAG. ELETRONICAS</t>
  </si>
  <si>
    <t>SERV. SUPORTE  TECNICO EM INFORMATICA</t>
  </si>
  <si>
    <t>ASSESSORIA E CONSULTORIA EM INFORMATICA</t>
  </si>
  <si>
    <t>01.05-LICENC/CESSAO DE DIREITOS DE PRG´S</t>
  </si>
  <si>
    <t>SERV. LAUDOS TÉCNICOS PROSPE. DE IMÓVEIS</t>
  </si>
  <si>
    <t>01.02 - PROGRAMAÇAO</t>
  </si>
  <si>
    <t>SERVIÇO DE DESINSTALAÇAO DE CABOS</t>
  </si>
  <si>
    <t>SERVIÇO DE DEMOLIÇAO P/CONSTRUÇAO- SITE</t>
  </si>
  <si>
    <t>SERV.TRANSPORTE TERRESTRE PLACA EBBC</t>
  </si>
  <si>
    <t>SERV.TRANSPORTE AEREO PLACA EBBC</t>
  </si>
  <si>
    <t>SERVIÇO DE TESTE E VALIDAÇAO</t>
  </si>
  <si>
    <t>SERVIÇO - TRANSPORTE ANTENA/FEEDER</t>
  </si>
  <si>
    <t>SERVIÇO DE SUBSTITUIÇAO DE GABINETE</t>
  </si>
  <si>
    <t>SERV - ANALISE DE CASOS/MAPEAMENTO PROC.</t>
  </si>
  <si>
    <t>SERV - LOCALIZAÇAO DE ARQUIVOS</t>
  </si>
  <si>
    <t>SERV. MANUTENÇAO/MONITORAÇAO DE SISTEMAS</t>
  </si>
  <si>
    <t>SERVIÇO DE LAUDO DE PERFORMANCE POR SITE</t>
  </si>
  <si>
    <t>SERVIÇO DE CADASTRO DE SITES</t>
  </si>
  <si>
    <t>SERVIÇO DE INSTALAÇAO - RRU</t>
  </si>
  <si>
    <t>SERV. TEC. EM TELEC. PLACA EBBCC/TR.TERR</t>
  </si>
  <si>
    <t>SERV. INSTALAÇAO/TRANSPORTE AEREO EBBC</t>
  </si>
  <si>
    <t>SERVIÇO PARA SOLUÇAO EM BANDA DIFERENTE</t>
  </si>
  <si>
    <t>SERV. TEC EM TELEC SIST. IRRAD C/TR100KM</t>
  </si>
  <si>
    <t>SERV TEC TELEC SIST. IRRAD C/TR100-200Km</t>
  </si>
  <si>
    <t>SERV TEC TELEC SIST. IRRAD C/TR200-500Km</t>
  </si>
  <si>
    <t>SERV TEC TELEC SIST.IRRAD C/TR500-1000Km</t>
  </si>
  <si>
    <t>SERV TEC EM TELEC SIST.IRRAD C/TR+1000Km</t>
  </si>
  <si>
    <t>SERVIÇO DE  CONFIGURAÇAO PLACA FE</t>
  </si>
  <si>
    <t>SERVIÇO DE COMISSIONAMENTO NODEB P/ FE</t>
  </si>
  <si>
    <t>DISPONIVEL</t>
  </si>
  <si>
    <t>SERV. INST./ATIVAÇAO 2.ª PORTADORA RRU</t>
  </si>
  <si>
    <t>SERVIÇO DE TREINAMENTO - CALL CENTER</t>
  </si>
  <si>
    <t>SERV PROJ E VIST DE VERIFICAÇAO DE SITE</t>
  </si>
  <si>
    <t>SERVIÇO DE IMPLANTAÇAO PERSONALIZADO</t>
  </si>
  <si>
    <t>SERVIÇO DE MOBILIZAÇAO</t>
  </si>
  <si>
    <t>SERV. PROJETO DE APROVAÇAO PREFEITURA</t>
  </si>
  <si>
    <t>SERV. ADAPTAÇAO OBRA CIVL AREA 1 E 3</t>
  </si>
  <si>
    <t>SERV. ADAPTAÇAO OBRA CIVL AREA 4</t>
  </si>
  <si>
    <t>SERV. REMOÇAO EQUIPTO AREA 4 TP. II</t>
  </si>
  <si>
    <t>SERV. REMOÇAO EQUIPTO AREA 3 TP. II</t>
  </si>
  <si>
    <t>SERV. REMOÇAO EQUIPTO AREA 2 TP. II</t>
  </si>
  <si>
    <t>SERV. REMOÇAO EQUIPTO AREA 1 TP. II</t>
  </si>
  <si>
    <t>SERV. REALOCAÇAO GABINETE AREA 4 TP 2.</t>
  </si>
  <si>
    <t>SERV. REALOCAÇAO GABINETE AREA 3 TP 2.</t>
  </si>
  <si>
    <t>SERV. REALOCAÇAO GABINETE AREA 2 TP 2.</t>
  </si>
  <si>
    <t>SERV. REALOCAÇAO GABINETE AREA 1 TP 2.</t>
  </si>
  <si>
    <t>SERV. REMANEJAMENTO BSC 500km</t>
  </si>
  <si>
    <t>SERV. REMANEJAMENTO BSC 201-500km</t>
  </si>
  <si>
    <t>SERV. REMANEJAMENTO BSC 51-200km</t>
  </si>
  <si>
    <t>SER. REMANEJAMENTO BASTIDOR 500km</t>
  </si>
  <si>
    <t>SER. REMANEJAMENTO BASTIDOR 201-500km</t>
  </si>
  <si>
    <t>SERV REMANEJAMENTO BASTIDOR 51-200KM</t>
  </si>
  <si>
    <t>SERV. DESINSTALAÇAO BSC 900 TRX</t>
  </si>
  <si>
    <t>SERV. DESINSTALAÇAO BSC 750 TRX</t>
  </si>
  <si>
    <t>SERV. DESINSTALAÇAO BSC 500 TRX</t>
  </si>
  <si>
    <t>SERVIÇO DE IÇAMENTO DE BSC</t>
  </si>
  <si>
    <t>SERV. DESINSTALAÇAO EXP TRAU FRAME 75OHM</t>
  </si>
  <si>
    <t>SERV. SITE NOVO GREENFIELD INDOR S/ CONT</t>
  </si>
  <si>
    <t>SERV - MEDIÇAO / DISPERÇAO E ATENUAÇAO</t>
  </si>
  <si>
    <t>SERV - TESTE DE ALINHAMENTO DE CANAIS</t>
  </si>
  <si>
    <t>SERVIÇO DE MIGRAÇAO FISICA DE LOGICA</t>
  </si>
  <si>
    <t>SERVIÇO DE CONFIGURAÇAO DE EQUIPTOS</t>
  </si>
  <si>
    <t>SERV-TESTE DE BACKUP DE DADOS</t>
  </si>
  <si>
    <t>SERV-ELABORAÇAO DE PROJETO DE INSTALAÇAO</t>
  </si>
  <si>
    <t>SERVIÇO DE PLANEJAMENTO TX /DOCUMENTAÇAO</t>
  </si>
  <si>
    <t>SERV.IMPLEMEN./CONF./INTEGRAÇAO E TESTES</t>
  </si>
  <si>
    <t>SERVIÇO-INSTALAÇAO DE SUPORTE DE CANTO</t>
  </si>
  <si>
    <t>SERVIÇO-INSTALAÇAO DE SUPORTE CINTA</t>
  </si>
  <si>
    <t>SERVIÇO-INSTALAÇAO DE SUPORTE BANDEIRA</t>
  </si>
  <si>
    <t>SERVIÇO-INSTALAÇAO DE SUPORTE DE FACE</t>
  </si>
  <si>
    <t>SERVIÇO DE TRANSPORTE DE COW</t>
  </si>
  <si>
    <t>SERVIÇO DE INSTALAÇAO DE CONECTOR FCI</t>
  </si>
  <si>
    <t>SERVIÇO DE INSTALAÇAO DE MASTRO</t>
  </si>
  <si>
    <t>SERVIÇO DE OTIMIZAÇAO DE CABOS</t>
  </si>
  <si>
    <t>SERV. INSTALAÇAO/EXTENSAO DE REDE BAIXA</t>
  </si>
  <si>
    <t>INSTAL/EXT. REDE MEDIA TENSAO C/TRANSF</t>
  </si>
  <si>
    <t>SERVIÇO-ELABOARAÇAO DE MURO DE CONCRETO</t>
  </si>
  <si>
    <t>SERVIÇO DE ADAPTAÇAO DE SITE NOVO</t>
  </si>
  <si>
    <t>SERVIÇO - INSTALAÇAO DE CAIXA DE PASSAGE</t>
  </si>
  <si>
    <t>SERV.-INSTALAÇAO DE BASE CONCRETO ARMADO</t>
  </si>
  <si>
    <t>SERV. VISTORIA P/ ALOCAÇAO DE EQUIPTOS</t>
  </si>
  <si>
    <t>SERV - TESTE DE ACEITAÇAO DE EQUITPOS</t>
  </si>
  <si>
    <t>SERV - CONFIGURAÇAO DE EQUIPTO VIA SOFT.</t>
  </si>
  <si>
    <t>SERVIÇO - EXTENSAO DE GARANTIA 4 ANOS</t>
  </si>
  <si>
    <t>SERV PROJE E PLANEJAMENTO CONFIGURAÇAO</t>
  </si>
  <si>
    <t>SERVIÇO DE RECONFIGURAÇAO</t>
  </si>
  <si>
    <t>SERVIÇO IMPLEMENTAÇAO/REFILIAÇAO - RNC</t>
  </si>
  <si>
    <t>SERVIÇO DE TRANSPORTE - NODE B</t>
  </si>
  <si>
    <t>SERVIÇO DE PLANEJAMENTO DE TX-SITE NOVO</t>
  </si>
  <si>
    <t>SERV. DE GERENCIAMENTO DE PROJETO-NODE B</t>
  </si>
  <si>
    <t>SERV. IMPLEMENTAÇAO SITE NOVO 3G (3x18)</t>
  </si>
  <si>
    <t>SERV. IMPLEMENTAÇAO SITE NOVO 2G - NTK</t>
  </si>
  <si>
    <t>SERV. IMPLEMENTAÇAO SITE NOVO 2G - TK</t>
  </si>
  <si>
    <t>SERV. IMPLEMENTAÇAO SITE NOVO 3G-SI</t>
  </si>
  <si>
    <t>SERV. IMPLEMENTAÇAO EXP. 63x2x2 - BSC</t>
  </si>
  <si>
    <t>SERVIÇO DE OTIMIZAÇAO DE RF</t>
  </si>
  <si>
    <t>SERVIÇO DE REFILIAÇAO DE RNC</t>
  </si>
  <si>
    <t>SERV.- GERENCIAMENTO DE PROJETO-BBU/EBBC</t>
  </si>
  <si>
    <t>SERVIÇO - EXPANSAO SETOR 2111</t>
  </si>
  <si>
    <t>SERVIÇO DE SINCRONIZAÇAO BSC TRC</t>
  </si>
  <si>
    <t>SERVIÇO DE SINCRONIZAÇAO DE BSC</t>
  </si>
  <si>
    <t>SERV. RECONFIGURAÇAO DE BSC</t>
  </si>
  <si>
    <t>SERV. IMPLEMENTAÇAO EXPANSAO BSC</t>
  </si>
  <si>
    <t>SERV.  - ATIVAÇAO DE PORTADORA</t>
  </si>
  <si>
    <t>SERV. EXPANSAO HSL EM BSC</t>
  </si>
  <si>
    <t>SERV. EXPANSAO GABINETE 2111 IMPLEMENT.</t>
  </si>
  <si>
    <t>SERV. - EXPANSAO GABINETE 2111</t>
  </si>
  <si>
    <t>SERV. INSTALAÇAO JUMPER BSC TRC RECONF</t>
  </si>
  <si>
    <t>SERV. INSTALAÇAO JUMPER BSC TRC IMPLAN</t>
  </si>
  <si>
    <t>SERV. INSTALAÇAO JUMPER BSC RECONF</t>
  </si>
  <si>
    <t>SERV. INSTALAÇAO JUMPER BSC NOVA</t>
  </si>
  <si>
    <t>SERV. IMPLEMENTAÇAO DE REDUÇAO BSC</t>
  </si>
  <si>
    <t>SERV. IMPLEMENTAÇAO EXPANSAO PCU BSC</t>
  </si>
  <si>
    <t>SERV. INSTALAÇAO DE SERVIDORES</t>
  </si>
  <si>
    <t>SERV. DE INSTALAÇÃO DE MUX EM TELECOM</t>
  </si>
  <si>
    <t>SERV. INSTALAÇAO DE EQUIPTO MUX OMS 800</t>
  </si>
  <si>
    <t>SERV. UPGRADE DE CAPACIDADE SDH</t>
  </si>
  <si>
    <t>SERV. VISTORIA SITE P/ PROJETO SDH</t>
  </si>
  <si>
    <t>SERV. VISTORIA SITE P/ PROJETO MUX</t>
  </si>
  <si>
    <t>SERV. INSTALAÇAO SISTEMA IRRADIANTE SDH</t>
  </si>
  <si>
    <t>SERV. INSTALAÇAO SISTEMA IRRADIANTE PDH</t>
  </si>
  <si>
    <t>SERV. VIABILIZAÇAO PROJETO ENG. S/ BUSCA</t>
  </si>
  <si>
    <t>SERV. ESTUDO VIABIL. PROJETO ENGENHARIA</t>
  </si>
  <si>
    <t>SERV. IMPLEMENTAÇAO EXP. 63x2x6 - BSC</t>
  </si>
  <si>
    <t>SERV. IMPLEMTAÇAO EXPANSAO 63x2 - BSC</t>
  </si>
  <si>
    <t>SERVIÇO PROJETO E PLANEJ ENG SITE NOVO</t>
  </si>
  <si>
    <t>SERV. 2ª PORTADORA 2x40W NOVA ANTENA</t>
  </si>
  <si>
    <t>SER. IMPL. 2.ª PORT. 2x40W MACRO ANTENA</t>
  </si>
  <si>
    <t>SERVIÇO DE ENGENHARIA - (ENG TRX)</t>
  </si>
  <si>
    <t>SERVIÇO SUBSTITUIÇAO / INSTALAÇAO - TI</t>
  </si>
  <si>
    <t>SERVIÇO DE REFILIAÇAO BTS C/ DATAFILL</t>
  </si>
  <si>
    <t>SERVIÇO DE TRANSPORTE DE TORRE</t>
  </si>
  <si>
    <t>INSTAL. MASTRO/SUPORTE ANTENA EV</t>
  </si>
  <si>
    <t>INST. MASTRO/SUPORTE ANTENA TOPO PREDIO</t>
  </si>
  <si>
    <t>SERVIÇO DE INSTALAÇAO DE DID</t>
  </si>
  <si>
    <t>EXP. PDH CAPACIDADE E CONFIG. HSB P/ D.E</t>
  </si>
  <si>
    <t>EXP. PDH CAPACIDADE E CONFIG. 1+0 P/ 1+1</t>
  </si>
  <si>
    <t>DESINST. PDH/SDH SPLIT/ SIST. IRRADIANTE</t>
  </si>
  <si>
    <t>REMANEJ. PDH/SDH SPLIC ANTENA ACIMA 1,8m</t>
  </si>
  <si>
    <t>REMANEJ. PDH/SDH SPLIT ANTENA ATE 1,8m</t>
  </si>
  <si>
    <t>INST. PDH/SDH SPLIT C/ ANTENA ACIMA 1,8m</t>
  </si>
  <si>
    <t>INSTAL. PDH/SDH SPLIT C/ ANTENA ATE 1,8m</t>
  </si>
  <si>
    <t>SERV GARANTIA VISADA INSTAL RADIO ENLACE</t>
  </si>
  <si>
    <t>SERVIÇO - INSTALAÇAO DE SISTEMA INDOOR</t>
  </si>
  <si>
    <t>SERVIÇO-MONTAGEM DE ESTRUTURA VERTICAL</t>
  </si>
  <si>
    <t>SERVIÇO - INTERFACE DE PLATAFORMAS IU-PS</t>
  </si>
  <si>
    <t>SERVIÇO DE MIGRAÇAO DE CARGAS</t>
  </si>
  <si>
    <t>SERV.-ADEQUAÇAO DE GABINETE DE SERVIÇO</t>
  </si>
  <si>
    <t>SERV. PROJ ENGENHARIA/PLANEJAMENTO IV-PX</t>
  </si>
  <si>
    <t>SERV.INSTALAÇAO/INTEGRAÇAO NETACT</t>
  </si>
  <si>
    <t>SERV PROJ. E PLANEJ/DIMENSIONAMENTO-REDE</t>
  </si>
  <si>
    <t>SERV. SUPORTE TECNICO INFORMTICA NETACT</t>
  </si>
  <si>
    <t>SERV. GERENCIAMENTO DE PROJETO NETACT</t>
  </si>
  <si>
    <t>INSTALAÇAO ESTEIRA EXT. 200-400mm HORIZ.</t>
  </si>
  <si>
    <t>SERV.. TRANSPORTE COW TERRENO PARTICULAR</t>
  </si>
  <si>
    <t>SERV.. TRANSPORTE COW TERRENO PUBLICO</t>
  </si>
  <si>
    <t>SERV-NOVO GREENFIELD INDOOR S/ CONTAINER</t>
  </si>
  <si>
    <t>SERV-INSTAL. ESTRUTURA METALICA P/ FLEXI</t>
  </si>
  <si>
    <t>SERV-INSTALAÇAO DE CORDOALHA GALVANIZADA</t>
  </si>
  <si>
    <t>SERV-INSTALAÇAO QCAB FLASH L865-48</t>
  </si>
  <si>
    <t>SERV-INSTALAÇAO QCAB POR UNIDADE</t>
  </si>
  <si>
    <t>SERV-INST. MEDIDOR DE TENSAOGFc/QTM</t>
  </si>
  <si>
    <t>SERV-INST. MEDIDOR DE TENSAO RTc/QTM/QDE</t>
  </si>
  <si>
    <t>SERV. INSTALAÇAO DE CONDUITE</t>
  </si>
  <si>
    <t>ADEQUAÇAO DE FONTE DE ENERGIA 2400A</t>
  </si>
  <si>
    <t>ADEQUAÇAO DE FONTE DE ENERGIA 600A</t>
  </si>
  <si>
    <t>INSTAL. /ATIVAÇAO FONTE DE ENERGIA 2400A</t>
  </si>
  <si>
    <t>INSTAL. /ATIVAÇAO FONTE DE ENERGIA 1200A</t>
  </si>
  <si>
    <t>INSTAL. /ATIVAÇAO FONTE DE ENERGIA 600A</t>
  </si>
  <si>
    <t>ADEQUAÇAO DE FONTE DE ENERGIA 1200A</t>
  </si>
  <si>
    <t>SERVIÇO DE ATIVAÇAO DE SHELTER 5m</t>
  </si>
  <si>
    <t>SERVIÇO DE ATIVAÇAO DE SHELTER 4m</t>
  </si>
  <si>
    <t>SERVIÇO DE ATIVAÇAO DE SHELTER 3m</t>
  </si>
  <si>
    <t>SERVIÇO DE IÇAMENTO DE CONTAINER</t>
  </si>
  <si>
    <t>SERVIÇO DE IÇAMENTO DE FONTES</t>
  </si>
  <si>
    <t>SERVIÇO DE IÇAMENTO DE GABINETES</t>
  </si>
  <si>
    <t>SERV-INSTALAÇAO/ATIVAÇAO DE GABINETE 30U</t>
  </si>
  <si>
    <t>SERV-INSTALAÇAO/ATIVAÇAO DE GABINETE 12U</t>
  </si>
  <si>
    <t>SERV-INSTALAÇAO/ATIVAÇAO DE GABINETE 6Us</t>
  </si>
  <si>
    <t>SERV. DESINSTALAÇAO DE SUPORTE DE TX</t>
  </si>
  <si>
    <t>SERV INSTAL SIST TELEC. BASTIDOR OCTAPCK</t>
  </si>
  <si>
    <t>SERV. GERENCIAMENTO DE PROJETO PDH/SDH</t>
  </si>
  <si>
    <t>SERV. PLANEJ. DE TX E DOCUMENTAÇAO</t>
  </si>
  <si>
    <t>SERV. INSTALAÇAO DE GABINETE EXTERNO</t>
  </si>
  <si>
    <t>SERV INSTAL SIST TELEC REMANEJ RÁDIO SDH</t>
  </si>
  <si>
    <t>SERV INSTAL SIST TELEC REMANEJ RÁDIO PDH</t>
  </si>
  <si>
    <t>SERV PROJ E PLANEJ. DCN P/ RADIO PDH/SDH</t>
  </si>
  <si>
    <t>SERVIÇO DE MONTAGEM DE TORRE-100m</t>
  </si>
  <si>
    <t>SERV. PROJE E PLANEJAM / IMPLANTAÇAO LLD</t>
  </si>
  <si>
    <t>SERV PROJ E PLANEJAMENTO/IMPLANTAÇAO HLD</t>
  </si>
  <si>
    <t>SERVIÇO DE MONTAGEM DE PLATAFORMA SGSN</t>
  </si>
  <si>
    <t>SERVIÇO DE TRANSPORTE VERTICAL-SHELTER</t>
  </si>
  <si>
    <t>SERVIÇO DE TRANSPORTE VERTICAL-GABINETE</t>
  </si>
  <si>
    <t>SERVIÇO DE TRANSPORTE VERTICAL-FONTE</t>
  </si>
  <si>
    <t>SERVIÇO DE STAR-UP DE SHELTER 5m</t>
  </si>
  <si>
    <t>SERVIÇO DE STAR-UP DE SHELTER 4m</t>
  </si>
  <si>
    <t>SERVIÇO DE STAR-UP DE SHELTER 3m</t>
  </si>
  <si>
    <t>SERVIÇO INSTAL. GABINETE DE SERVIÇO 12U</t>
  </si>
  <si>
    <t>SERVIÇO INSTAL. GABINETE DE SERVIÇO 6U</t>
  </si>
  <si>
    <t>SERVIÇO DE DESINSTALAÇAO DE FONTE CC</t>
  </si>
  <si>
    <t>SERVIÇO DE INSTALAÇAO DE FONTE DE CC</t>
  </si>
  <si>
    <t>SERVIÇO DE TRANSPORTE DE ANTENAS</t>
  </si>
  <si>
    <t>SERVIÇO DE IMPLEMENTAÇAO DE ANTENA</t>
  </si>
  <si>
    <t>SERV INSTAL SIST TELEC UPGRADE IOG APG40</t>
  </si>
  <si>
    <t>SERV INSTAL E CONF. PLACA DE BSC IOG-APZ</t>
  </si>
  <si>
    <t>SERVIÇO DE FISCALIZAÇAO DE OBRAS</t>
  </si>
  <si>
    <t>SERVIÇO- LAUDO TEORICO-LICENC. AMBIENTAL</t>
  </si>
  <si>
    <t>SERVIÇO DE CABEAMENTO EM MOBILIARIOS</t>
  </si>
  <si>
    <t>SERV DE MANUTENÇAO/SUP TECNICO PROGRAM</t>
  </si>
  <si>
    <t>SERVIÇO DE IMPLEMENTAÇAO - MGW</t>
  </si>
  <si>
    <t>SERVIÇO DE IMPLEMENTAÇAO - MSC</t>
  </si>
  <si>
    <t>SERVIÇO DE TRANSPORTE - NODE-B</t>
  </si>
  <si>
    <t>SERVIÇO-GERENCIAMENTO DE PROJETO-NODE B</t>
  </si>
  <si>
    <t>SERVIÇO DE IMPLEMENTAÇAO DE PLACA-NODE-B</t>
  </si>
  <si>
    <t>SERVIÇO DE ADEQUAÇAO DE REFILIAÇAO BTS</t>
  </si>
  <si>
    <t>SERVIÇO DE REDE - DATACOM DESIGN</t>
  </si>
  <si>
    <t>SERVIÇO DE IMPLEMENTAÇAO DE FIBRA OPTICA</t>
  </si>
  <si>
    <t>SERVIÇO-IMPLEMENTAÇAO DE SOFTWARE HSDPA</t>
  </si>
  <si>
    <t>SERV. INSTAL/COMISSIONAM.  AMPLIFICADOR</t>
  </si>
  <si>
    <t>SERV. ELABORAÇAO DE INST. - SISTEMA RF</t>
  </si>
  <si>
    <t>SERV-INSTALAÇAO CABO-TETO APARENTE VSWR</t>
  </si>
  <si>
    <t>SERV-INSTALAÇAO CABO-FORRO DE GESSO VSWR</t>
  </si>
  <si>
    <t>SERVIÇO DE INSTALAÇAO DE TUBULAÇAO</t>
  </si>
  <si>
    <t>SERVIÇO-RETIRADA DE EQUIPAMENTOS/ACESS.</t>
  </si>
  <si>
    <t>SERVIÇO INSTALAÇAO DE CABO MULTI COAXIAL</t>
  </si>
  <si>
    <t>SERVIÇO INSTALAÇAO DE CABO MULTIPAR</t>
  </si>
  <si>
    <t>SERVIÇO DE INSTALAÇAO DE RAMAL</t>
  </si>
  <si>
    <t>SERV. INSTALAÇAO DE SUPORTE P/ ANTENA</t>
  </si>
  <si>
    <t>SERVIÇO DE IMPERMEABILIZAÇAO</t>
  </si>
  <si>
    <t>SERVIÇO DE RELATORIO DE VIABILIDADE</t>
  </si>
  <si>
    <t>SERV.-INSTALAÇAO TRANSCODIFICADOR TCSM3i</t>
  </si>
  <si>
    <t>SERVIÇO - LEGALIZAÇAO DE SITES</t>
  </si>
  <si>
    <t>SERVIÇO-RENOVAÇAO DE LICENÇA AMBIENTAL</t>
  </si>
  <si>
    <t>SERV. DESINSTALAÇÃO EXP TRAU 750JM TELEC</t>
  </si>
  <si>
    <t>SERVIÇO-ADAPTAÇAO DE AR CONDICIONADO</t>
  </si>
  <si>
    <t>SERVIÇO DE TREINAMENTO MINI SHELTER</t>
  </si>
  <si>
    <t>SERVIÇO DE IÇAMENTO DE MINI SHELTER</t>
  </si>
  <si>
    <t>SERVIÇO-INSTALAÇAO/ATIVAÇAO MINI SHELTER</t>
  </si>
  <si>
    <t>SERVIÇO-INST. EQUIPAMENTO DE SEGURANÇA</t>
  </si>
  <si>
    <t>SERVIÇO DE SUPORTE TECNICO</t>
  </si>
  <si>
    <t>SERVIÇO DE SUPORTE OPERACIONAL</t>
  </si>
  <si>
    <t>SERVIÇO DE SUPORTE TECNICO REMOTO</t>
  </si>
  <si>
    <t>SERVIÇO DE INTEGRAÇAO OS-OS</t>
  </si>
  <si>
    <t>SERV. ELABORAÇAO DE MIGRAÇAO PLANO NAC.</t>
  </si>
  <si>
    <t>SERVIÇO DE SUPORTE PARA PROJETO - O&amp;M</t>
  </si>
  <si>
    <t>SERVIÇO IMPLANTAÇAO SITE NOVO 3G</t>
  </si>
  <si>
    <t>SERVIÇO IMPLANTAÇAO SITE NOVO 3G RE-USO</t>
  </si>
  <si>
    <t>SERV-DESINSTALAÇAO GABINETE E TRANSP. WH</t>
  </si>
  <si>
    <t>INSTAL./ATIVAÇAO FONTE DE ENERGIA 300A</t>
  </si>
  <si>
    <t>SERVIÇO DE INSTALAÇAO DE CABOS AC</t>
  </si>
  <si>
    <t>SERV. DESINSTALAÇAO DE FONTE/SWAP</t>
  </si>
  <si>
    <t>SERV. INSTALAÇAO/CONFIGURAÇAO-CONVERSOR</t>
  </si>
  <si>
    <t>SERV. INSTALAÇAO/CONF ROTEADOR 3G TELEC.</t>
  </si>
  <si>
    <t>SERV-REALOCAÇAO DINAMICA DE RNC</t>
  </si>
  <si>
    <t>SERV-REALOCAÇAO DINAMICA DE NODE B</t>
  </si>
  <si>
    <t>SERV. DESLOCAMENTO EQUIP + TRANSPORTE</t>
  </si>
  <si>
    <t>SERV. RETIRADA CABOS DE ENERGIA+CAIXA</t>
  </si>
  <si>
    <t>SERV. RET. CABO IRRADIANTE/TAP/ANTENA</t>
  </si>
  <si>
    <t>SERV. RETIRADA DE CABO IRRADIANTE</t>
  </si>
  <si>
    <t>SERV. CONSTRUÇAO + INSTAL. PADRAO</t>
  </si>
  <si>
    <t>SERV. INSTALAÇAO INFRA- ELETROCALHA 30CM</t>
  </si>
  <si>
    <t>SERV. INSTAL. TUBULAÇAO PVC ATE 2"""</t>
  </si>
  <si>
    <t>SERV. INSTALAÇAO ANTENA PAINEL OUTDOOR</t>
  </si>
  <si>
    <t>SERV. INSTAL. CABO 7/8"" 15/8"" FORRO G</t>
  </si>
  <si>
    <t>SERV. INSTAL. CABO 7/8"" 15/8"" TETO AP</t>
  </si>
  <si>
    <t>SERV. INSTAL/COMISSIONAMENTO PICOCELULA</t>
  </si>
  <si>
    <t>SERV. INSTAL/COMISSIONAMENTO REPETIDOR</t>
  </si>
  <si>
    <t>SERVIÇO DE RF FINAL - (16 - 40 ANTENAS)</t>
  </si>
  <si>
    <t>SERVIÇO DE RF FINAL - (6 - 15 ANTENAS)</t>
  </si>
  <si>
    <t>INSTALAÇÃO DE TOMADA STECK</t>
  </si>
  <si>
    <t>SERV-ATIVAÇAO CARACTERISTICA SW APN-SGSN</t>
  </si>
  <si>
    <t>SERV DE CAPACITAÇÃO EM NOVAS TECNOLOGIAS</t>
  </si>
  <si>
    <t>SERVIÇO DE EXTENSAO DE GARANTIA-EMC</t>
  </si>
  <si>
    <t>SERV. ENG. RELATORIO QUALIDADE 2G P/ 3G</t>
  </si>
  <si>
    <t>SERVIÇO DE CONSULTOR SENIOR 3G</t>
  </si>
  <si>
    <t>SERV. ENG. TRANSPORTE RXI</t>
  </si>
  <si>
    <t>SERV. ENG. RECONFIGURAÇAO RNC-EXP GPRS</t>
  </si>
  <si>
    <t>SERV. ENG. TRANSPORTE DE RNC</t>
  </si>
  <si>
    <t>SERV. ENG. REFILIAÇAO DE RNC</t>
  </si>
  <si>
    <t>SERV. ENG. RELATORIO SITAR - ANATEL</t>
  </si>
  <si>
    <t>SERV PROJ E ENG PLANEJAM. DE TX-EXP RAXB</t>
  </si>
  <si>
    <t>SERV. PLANEJAMENTO E REFILIAÇÃO NODE B</t>
  </si>
  <si>
    <t>SERV. ENG. TRANSPORTE NODE B-EXPANSAO</t>
  </si>
  <si>
    <t>SERV DE ENGENH. INVESTIGAÇAO DE ESPECTRO</t>
  </si>
  <si>
    <t>SERV. IMPLEMENTAÇAOE REFILIAÇAO DE RNC</t>
  </si>
  <si>
    <t>SERV. IMPLEMENTAÇAO EXP. RNC S/GABINETE</t>
  </si>
  <si>
    <t>SERV. IMPLEMENTAÇAO EXP. RNC C/GABINETE</t>
  </si>
  <si>
    <t>SERVIÇO DE IMPLEMENTAÇAO DE RXI NOVO</t>
  </si>
  <si>
    <t>SERVIÇO DE IMPLEMENTAÇAO DE RNC NOVA</t>
  </si>
  <si>
    <t>SERV. IMPLEMENTAÇAO SITE NOVO (3X18)</t>
  </si>
  <si>
    <t>SER. IMPLEMENTAÇAO SITE NOVO 3G (3X06)</t>
  </si>
  <si>
    <t>SERV. INTEG.SISTEMAS BSC/RNC/BSC/MGW/OSS</t>
  </si>
  <si>
    <t>SERVIÇO DE DESIGN DE RF</t>
  </si>
  <si>
    <t>SERV. ENGENHARIA 2 PORT 2X40W</t>
  </si>
  <si>
    <t>SERV. ENG. 2ªPORT 2X20w DIVISAO POTENCIA</t>
  </si>
  <si>
    <t>SERV. ENGENHARIA RECONFIGURAÇAO RNC</t>
  </si>
  <si>
    <t>SERV. ENGENHARIA-EXPANSAO DE RNC</t>
  </si>
  <si>
    <t>SERV. IMPLEMENTAÇAO/INTEGRAÇAO RNC/GPRS</t>
  </si>
  <si>
    <t>SER. IMPLEMENTAÇAO/REFILIAÇAO DE NODE B</t>
  </si>
  <si>
    <t>SERV. IMPLEMENTAÇAO/INTEGRAÇAO RNC</t>
  </si>
  <si>
    <t>SER. IMPLEMENTAÇAO 2X40W UPGRADE</t>
  </si>
  <si>
    <t>SERV. IMPLEMENTAÇAO 2X40W MACRO ANTENA</t>
  </si>
  <si>
    <t>SERV. IMPLEMENTAÇAO 2ª POR. 2X20W</t>
  </si>
  <si>
    <t>SERVIÇO DE ANALISE DE REDE</t>
  </si>
  <si>
    <t>SERV DE CAPACITAÇÃO GERENCIA EM NOV TECN</t>
  </si>
  <si>
    <t>SERV. TREINAMENTO O&amp;M SISTEMAS</t>
  </si>
  <si>
    <t>SERV. TREINAMENTO O&amp;M EVOLUTION</t>
  </si>
  <si>
    <t>SERV. ASSIST TECNICA OPERAÇAO ASSISTIDA</t>
  </si>
  <si>
    <t>SERV 14.02</t>
  </si>
  <si>
    <t>SERV. DESL. EQUIPE E INSTALAÇAO CO</t>
  </si>
  <si>
    <t>SERV. DESL. EQUIPE E INSTALAÇAO SE</t>
  </si>
  <si>
    <t>SERV. DESL. EQUIPE E INSTALAÇAO SUL</t>
  </si>
  <si>
    <t>SERV. DESL. EQUIPE E INSTALAÇAO NE</t>
  </si>
  <si>
    <t>SERV. DESL. EQUIPE E INSTALAÇAO NORTE</t>
  </si>
  <si>
    <t>SERV. TRANSPORTE MGW ADAPT. BSC NOVA</t>
  </si>
  <si>
    <t>SERV. TRANSPORTE MSC S ADAPT. BSC NOVA</t>
  </si>
  <si>
    <t>SERV. ENGENHARIA REMOÇAO  DE DTRU</t>
  </si>
  <si>
    <t>SERV. EXPANSAO SETOR 2111 IMPLEMENTAÇAO</t>
  </si>
  <si>
    <t>SERV. ADEQUAÇAO CORE REFILIAÇAO BTS 1JM</t>
  </si>
  <si>
    <t>SERV. MIGRAÇAO FISICA/LOGICA DE CIRCUITO</t>
  </si>
  <si>
    <t>SERV. INSTAL./CABEAMENTO E TESTE DE 63E1</t>
  </si>
  <si>
    <t>SERV. INSTAL. EQUIPAMENTO DE TRANSMISSAO</t>
  </si>
  <si>
    <t>ELABORAÇAO-PROJETO PROVISORIO/DEFINITIVO</t>
  </si>
  <si>
    <t>SERV. DESLOC. EQUIPE PROSPECÇAO CO</t>
  </si>
  <si>
    <t>SERV. DESLOC. EQUIPE PROSPECÇAO SE</t>
  </si>
  <si>
    <t>SERV. DESLOC. EQUIPE PROSPECÇAO SUL</t>
  </si>
  <si>
    <t>SERV. DESLOC. EQUIPE PROSPECÇAO NE</t>
  </si>
  <si>
    <t>SERV. DESLOC. EQUIPE PROSPECÇAO NORTE</t>
  </si>
  <si>
    <t>SERV. DESLOCAMENTO EQUIPE - CO</t>
  </si>
  <si>
    <t>SERV. DESLOCAMENTO EQUIPE - SE</t>
  </si>
  <si>
    <t>SERV. DESLOCAMENTO EQUIPE - SUL</t>
  </si>
  <si>
    <t>SERV. DESLOCAMENTO EQUIPE - NE</t>
  </si>
  <si>
    <t>SERV. DESLOCAMENTO EQUIPE - NORTE</t>
  </si>
  <si>
    <t>SERV. CONFIG SIST UPGRADE CAPACIDADE SDH</t>
  </si>
  <si>
    <t>SERV. UPGRADE CONFIG/CAPACIDADE SDH</t>
  </si>
  <si>
    <t>SERV. UPGRADE DE CAPACIDADE PDH</t>
  </si>
  <si>
    <t>SERVIÇO DE DESINSTALAÇAO DE RADIO</t>
  </si>
  <si>
    <t>SERVIÇO DE REMAJEMANETO SDH INDOOR</t>
  </si>
  <si>
    <t>SERVIÇO DE REMAJEMANETO SDH SPLIT</t>
  </si>
  <si>
    <t>SERVIÇO DE REMAJEMANETO PDH</t>
  </si>
  <si>
    <t>SERV. DE INSTALAÇAO DE RADIO SDH INDOOR</t>
  </si>
  <si>
    <t>SERV. DE INSTALAÇAO DE RADIO SDH SPLIT</t>
  </si>
  <si>
    <t>SERV DE INSTALAÇÃO DE BTS SITE NOVO 3G</t>
  </si>
  <si>
    <t>SERVIÇO DE CALCULOS DE ENGENHARIA</t>
  </si>
  <si>
    <t>SERV 17.18</t>
  </si>
  <si>
    <t>SERVIÇO DE PROSPECÇAO DE RADIOENLACES</t>
  </si>
  <si>
    <t>SERVIÇO DE VISTORIA DE SDH</t>
  </si>
  <si>
    <t>SERVIÇO DE VISTORIA PDH</t>
  </si>
  <si>
    <t>SERVIÇO DE QUALIFICAÇAO DE SITE</t>
  </si>
  <si>
    <t>SERVIÇO DE JUMPER</t>
  </si>
  <si>
    <t>SERV DE PROJETO/PLANEJ. DE TRANSMISSAO</t>
  </si>
  <si>
    <t>SERV. INSTALAÇAO DE RXI 820</t>
  </si>
  <si>
    <t>SERV. INSTALAÇAO CORE ACIMA 50 STM1</t>
  </si>
  <si>
    <t>IMPLANTAÇAO SITE NOVO 3G TRANSP. NODE B</t>
  </si>
  <si>
    <t>SERVIÇO DE INSTALAÇAO DE GRADIL</t>
  </si>
  <si>
    <t>SERVIÇO DE OPERAÇAO - WCDMA AXE</t>
  </si>
  <si>
    <t>RECONFIGURAÇAO DE ASSINANTES-DESIGN MSS</t>
  </si>
  <si>
    <t>SERV. RECONFIGURAÇAO HLR-DESIGN WIRELLES</t>
  </si>
  <si>
    <t>SERV. INTEGRAÇAO DE SISTEMAS LIS</t>
  </si>
  <si>
    <t>SERV. REDIMENSIONAMENTO - SAEs</t>
  </si>
  <si>
    <t>SERV. UPGRADE DE SW - MGW</t>
  </si>
  <si>
    <t>SERV. UPGRADE DE SW - MSS</t>
  </si>
  <si>
    <t>SERV. UPGRADE DE SW HLR R12 PARA R13</t>
  </si>
  <si>
    <t>SERV. INSTALAÇAO-RACK NOVO-10 EQUIPTOS</t>
  </si>
  <si>
    <t>SERV. MONTAGEM DE RACK-10 EQUIPTOS</t>
  </si>
  <si>
    <t>SERV.CUSTOMIZAÇAO FERRAMENTA CSP/GSA-HLR</t>
  </si>
  <si>
    <t>SERV.CONFIGURAÇAO-PARAMETRO CSP/GSA-HLR</t>
  </si>
  <si>
    <t>SERV. ALUGUEL-PLANTA DE TESTES</t>
  </si>
  <si>
    <t>SERV. VALIDAÇAO-PLANTA DE TESTES R13 CS</t>
  </si>
  <si>
    <t>SERV.DESIGN/CONFIGURAÇAO ROTAS ISDN-IGWP</t>
  </si>
  <si>
    <t>CONFIGURAÇAO DE NOTAS ISDN EQUP. IGWP</t>
  </si>
  <si>
    <t>SERV.CONFIGURAÇAO EXTENDIDA DE ROAMING</t>
  </si>
  <si>
    <t>SERV.HABILITAÇAO CARACTERISITCAS MSS/MGW</t>
  </si>
  <si>
    <t>SERV.  ADEQUAÇAO APG(MSC/MSS)</t>
  </si>
  <si>
    <t>SERV. VALIDAÇAO PADRAO MGW</t>
  </si>
  <si>
    <t>SERV. ROLLOUT PADRAO R13</t>
  </si>
  <si>
    <t>SERV. VALIDAÇAO PADRAO HLR/MSC/MSS</t>
  </si>
  <si>
    <t>PREPARAÇAO PADRAO DE CARACTERISTICAS R13</t>
  </si>
  <si>
    <t>SERV.CONFIGURAÇAO DE ROTAS SIP-15</t>
  </si>
  <si>
    <t>SERV.ADAPTAÇAO METRICA DE MEDIDOR DE QOS</t>
  </si>
  <si>
    <t>SERV.RETIRADA/ADAPTAÇAO PLACA MSBS/DUMMY</t>
  </si>
  <si>
    <t>SERV. VALIDAÇAO-PLANTA DE TESTES R13</t>
  </si>
  <si>
    <t>SERVIÇO DE INSTALAÇÃO - SEG.PATRIMONIAL</t>
  </si>
  <si>
    <t>SERV. INSTALAÇAO DE MUX DXC ACIMA 12 PLC</t>
  </si>
  <si>
    <t>SERV. REMANEJAMENTO PLACAS MUX DXC 5</t>
  </si>
  <si>
    <t>SERV. INSTALAÇAO DE PLACAS MUX DXC</t>
  </si>
  <si>
    <t>SERV REMANEJAMENTO MUX ATE 63 E1 EM TELE</t>
  </si>
  <si>
    <t>SERV. REMANEJAMENTO DE MUX ADM</t>
  </si>
  <si>
    <t>SERV. INSTALAÇAO MUX ADM 63 E1</t>
  </si>
  <si>
    <t>SERV. INSTALAÇAO PLACAS DE MUX ADM</t>
  </si>
  <si>
    <t>SERV. REMANEJAMENTO DE PLACAS DE MUX</t>
  </si>
  <si>
    <t>SERV. INSTALAÇAO DE MATRIZES ATM E TDMA</t>
  </si>
  <si>
    <t>SERV. INSTALAÇAO/TESTE - PLACA 63x2MBITS</t>
  </si>
  <si>
    <t>SERV. JAMPEAMENTO DE TRANSMISSAO-ESTAÇAO</t>
  </si>
  <si>
    <t>SERV. INSTALAÇAO DE MUX-CORE ATE 50 STM1</t>
  </si>
  <si>
    <t>SERV. IMPLEMENTAÇAO DE MUX SDH MOD.1</t>
  </si>
  <si>
    <t>SERV. IMPLEMENTAÇAO DE GERENCIA</t>
  </si>
  <si>
    <t>SERV. RE-ENGENHARIA DE SERVIÇOS DESIGN</t>
  </si>
  <si>
    <t>SERV.REMOBILIZAÇAO DE EQUIPE P/ CAMPO</t>
  </si>
  <si>
    <t>SERV. GERENCIAMENTO DE PROJETO-ENLACE</t>
  </si>
  <si>
    <t>SERV. REFORÇO DE FUNDAÇAO P/ENLACES</t>
  </si>
  <si>
    <t>SERVIÇO DE PROJETO DE FUNDAÇAO</t>
  </si>
  <si>
    <t>SERV. RECONFIGURAÇAO NODE B PARA 8E1s</t>
  </si>
  <si>
    <t>SERVIÇO DE INTEGRAÇAO DE SISTEMAS</t>
  </si>
  <si>
    <t>SERV PROJETO E SITE SURVEY PARA MUX</t>
  </si>
  <si>
    <t>SERV. INSTALAÇAO DE PLACAS ETHERNET</t>
  </si>
  <si>
    <t>SERVI. INSTALAÇAO/TESTE-PLACAS STM-1</t>
  </si>
  <si>
    <t>SERVIÇO DE CONFIGURAÇAO TELLABS 8600</t>
  </si>
  <si>
    <t>SERV PROJ E PLANEJAM FSME+2.ª PORTADORA</t>
  </si>
  <si>
    <t>SERVIÇO PROJETO E PLANEJAMENTO - FSME</t>
  </si>
  <si>
    <t>SERVIÇO DE MANUT. IMPLEMENTAÇAO - EMC</t>
  </si>
  <si>
    <t>SERV. MANUT DE EQUIP EM SITE VANDALIZADO</t>
  </si>
  <si>
    <t>SERV. INSTALAÇAO/CONFIGURAÇAO-SERVIDOR</t>
  </si>
  <si>
    <t>SERVIÇO-CONFIGURAÇAO 8600-ETHERNET</t>
  </si>
  <si>
    <t>SERV-MANUTENÇAO EQUIPAMENTOS TRANSMISSAO</t>
  </si>
  <si>
    <t>SERV-IMPLANTAÇAO CENTRAL ALARME/INCENDIO</t>
  </si>
  <si>
    <t>SERV-ENG. INST.2.ª PORT. MACRO S/ ANTENA</t>
  </si>
  <si>
    <t>SERV.INSTALAÇAO ENLACE 5000S (7+1) C/ DE</t>
  </si>
  <si>
    <t>SERV.INSTALAÇAO ENLACE 5000S (6+1) C/ DE</t>
  </si>
  <si>
    <t>SERV.INSTALAÇAO ENLACE 5000S (5+1) C/ DE</t>
  </si>
  <si>
    <t>SERV.INSTALAÇAO ENLACE 5000S (4+1) C/ DE</t>
  </si>
  <si>
    <t>SERV.INSTALAÇAO ENLACE 5000S (3+1) C/ DE</t>
  </si>
  <si>
    <t>SERV.INSTALAÇAO ENLACE 5000S (2+1) C/ DE</t>
  </si>
  <si>
    <t>SERV.INSTALAÇAO ENLACE 5000S (1+1) C/ DE</t>
  </si>
  <si>
    <t>SERVIÇO DE INSTALAÇAO ENLACE 5000S (7+1)</t>
  </si>
  <si>
    <t>SERVIÇO DE INSTALAÇAO ENLACE 5000S (6+1)</t>
  </si>
  <si>
    <t>SERV. ENG. DRIVE TEST-ANALISE REDE</t>
  </si>
  <si>
    <t>SERV. DESENHO DE REDE - TELLABS 8660</t>
  </si>
  <si>
    <t>SERV. ARQUITETURA REDE - TELLABS 8660</t>
  </si>
  <si>
    <t>SERV. DESENHO DE REDE - TELLABS 8630</t>
  </si>
  <si>
    <t>SERV. ARQUITETURA REDE - TELLABS 8630</t>
  </si>
  <si>
    <t>SERV. DESENHO DE REDE - TELLABS 8605</t>
  </si>
  <si>
    <t>SERV. ARQUITETURA REDE - TELLABS 8605</t>
  </si>
  <si>
    <t>SERV. TREINAMENTO - TELLABS 8600 - S293</t>
  </si>
  <si>
    <t>SERV. TREINAMENTO - TELLABS 8600 - S290</t>
  </si>
  <si>
    <t>SERV. VERIFICAÇAO CONECT. TELLABS 8600</t>
  </si>
  <si>
    <t>SERV. OPERAÇAO ASSISTIDA - 8X5</t>
  </si>
  <si>
    <t>SERV. ABERTURA PROCEDIMENTO SIR</t>
  </si>
  <si>
    <t>SERV PROJ SITE SURVEY -TELLABS 6300/8600</t>
  </si>
  <si>
    <t>SERV. GERENCIA DE PROJETO</t>
  </si>
  <si>
    <t>SERVIÇO DE CONSULTORIA NONO DIGITO</t>
  </si>
  <si>
    <t>SERV-DESIGN  RF/DIMENSIONAMENTO DE REDE</t>
  </si>
  <si>
    <t>SERV. INST. BASICA SITE COMPART./RE USO</t>
  </si>
  <si>
    <t>SERV.-INSTALAÇAO BASICA DE SITE NOVO</t>
  </si>
  <si>
    <t>SERV.- COMISISONAMENTO DE SITES NOVOS</t>
  </si>
  <si>
    <t>SERVIÇO DE INSTALAÇAO ENLACE 5000S (5+1)</t>
  </si>
  <si>
    <t>SERVIÇO DE INSTALAÇAO ENLACE 5000S (4+1)</t>
  </si>
  <si>
    <t>SERVIÇO DE INSTALAÇAO ENLACE 5000S (3+1)</t>
  </si>
  <si>
    <t>SERVIÇO DE INSTALAÇAO ENLACE 5000S (2+1)</t>
  </si>
  <si>
    <t>SERVIÇO DE INSTALAÇAO ENLACE 5000S (1+1)</t>
  </si>
  <si>
    <t>SERVIÇO DE DESINSTALAÇAO DE SUPORTE</t>
  </si>
  <si>
    <t>INSERÇAO DO ENLACE NA GERENCIA (RADIO)</t>
  </si>
  <si>
    <t>SERV.DESINS.RADIO/SIST IRRAD-FULL INDOOR</t>
  </si>
  <si>
    <t>SERV INSTAL RD FULLINDOOR SDH SIST TELEC</t>
  </si>
  <si>
    <t>SERV INSTAL SPLIT UPGR SDH SISTEMA TELEC</t>
  </si>
  <si>
    <t>SERV. LAUDO DE CARGA EV SEM DADOS</t>
  </si>
  <si>
    <t>SERV. PROJETO E DESIGN DE REDE</t>
  </si>
  <si>
    <t>SERV.-COMISSIONAMENTO EM CAMPO-NODE B</t>
  </si>
  <si>
    <t>SERV.-CONFIG/CARREGAMENTO DE SCRIPTS</t>
  </si>
  <si>
    <t>SERV.-FORMATAÇAO/APLICAÇAO DE PARAMETROS</t>
  </si>
  <si>
    <t>SERV ESTUDO COBERT/IMPLEM.SITE SINGLE BA</t>
  </si>
  <si>
    <t>SERV ESTUDO COBERT/IMPLEM.SITE DUAL BAND</t>
  </si>
  <si>
    <t>SERVIÇO DE IMPLEMENTAÇAO DE NODEB</t>
  </si>
  <si>
    <t>SERV. INSTALAÇAO/IMPLEMENTAÇAO-SOFTWARE</t>
  </si>
  <si>
    <t>SERV.PROJETO E PLANEJ REDE IMPLEM LÓGICA</t>
  </si>
  <si>
    <t>SERVIÇO ELABORAÇÃO DE LAUDO ESTRUTURAL</t>
  </si>
  <si>
    <t>SERV DE INSTAL MASTRO ROOFTOP ATÉ 4 MTS</t>
  </si>
  <si>
    <t>SERV DE INSTAL SUP FACE (ANT ACIMA 1.2M)</t>
  </si>
  <si>
    <t>SERV DE INSTAL SUPORTE CANTO (ANT 1.2M)</t>
  </si>
  <si>
    <t>SERV DE COMISSIONAMENTO IUB P/ETHERNET</t>
  </si>
  <si>
    <t>SERV DE COMISSIONAMENTO/TESTE DE RNC</t>
  </si>
  <si>
    <t>SERV PROJE PLANEJ. DE REDE-MOBILE ACCESS</t>
  </si>
  <si>
    <t>SERV. PLANEJAMENTO REDE CAL ENLACE SITAR</t>
  </si>
  <si>
    <t>SERV PROJETO E PLANEJAMENTO DE REDE HSPA</t>
  </si>
  <si>
    <t>SERV TEC TELEC MIGRAÇÃO DE TRAFEG J. MAN</t>
  </si>
  <si>
    <t>SERV ADEQUAÇÃO ESPAÇO EM TORRE (SEM ANT)</t>
  </si>
  <si>
    <t>SERV REMOÇÃO SIST TRANSM. RADIO E ANTENA</t>
  </si>
  <si>
    <t>SERV DE PLANEJ. DE PROJETO (EQTO NOVO)</t>
  </si>
  <si>
    <t>SERV. PROJETO/VISTORIA SITE FLEXIHYBRID</t>
  </si>
  <si>
    <t>SERV DE PLANEJ. DE PROJETO (EXP)</t>
  </si>
  <si>
    <t>SERV DE PROJETO/VISTORIA DE SITE SRAL XD</t>
  </si>
  <si>
    <t>SERVIÇO DE TRANSPORTE DE EQUIPE</t>
  </si>
  <si>
    <t>SERVIÇO DE ADEQUAÇA DE CONTAINER</t>
  </si>
  <si>
    <t>SERVIÇO-CONTRUÇAO DE BASE DE CONCRETO</t>
  </si>
  <si>
    <t>SERVIÇO DE EXPANSOES 3G</t>
  </si>
  <si>
    <t>SERVIÇO-INSTALAÇAO SITE NOVO 3G MOD.2</t>
  </si>
  <si>
    <t>SERVIÇO-INSTALAÇAO SITE NOVO 3G MOD.1</t>
  </si>
  <si>
    <t>SERV. EMBALAGEM E MANEJO DE BASTIDOR</t>
  </si>
  <si>
    <t>SERV. CONFIG/PROVISION BANCO DE DADOS</t>
  </si>
  <si>
    <t>SERV. TREINAMENTO ON SITE-ADICIONAL</t>
  </si>
  <si>
    <t>SERV. TREINAMENTO ON SITE-INICIAL</t>
  </si>
  <si>
    <t>SERVIÇO-CURSO TK400 OAM&amp;P</t>
  </si>
  <si>
    <t>SERVIÇO-CURSO TK401 APLICAÇAO SSR</t>
  </si>
  <si>
    <t>SERV. INSTALAÇAO CORE ATE 50 STM1</t>
  </si>
  <si>
    <t>SERV. INSTALAÇAO DE MUX DXC ATE 12 PLC</t>
  </si>
  <si>
    <t>SERV. REMANEJAMENTO MUX DXC ATE 12 PLC.</t>
  </si>
  <si>
    <t>SERV. REMANEJAMENTO DE MUX ACIMA 12 PLC.</t>
  </si>
  <si>
    <t>SERV. INSTALAÇAO MUX ADM ATE 63 E1</t>
  </si>
  <si>
    <t>SERV. INST/TESTE PLACA ATE 2 STM-64</t>
  </si>
  <si>
    <t>SERV. INST/TESTE PLACA ATE 4 STM-16</t>
  </si>
  <si>
    <t>SERV. INST/TESTE PLACA ATE 4 STM-4</t>
  </si>
  <si>
    <t>SERV. INSTALAÇAO-MUX-CORE ACIMA 50 STM1</t>
  </si>
  <si>
    <t>SERV. IMPLANT/INST EQUIP MX SDH EM TELEC</t>
  </si>
  <si>
    <t>SERV. IMPLEMENTAÇAO DE MUX SDH MOD.5</t>
  </si>
  <si>
    <t>SERV. IMPLEMENTAÇAO DE MUX SDH MOD.4</t>
  </si>
  <si>
    <t>SERV. IMPLEMENTAÇAO DE MUX SDH MOD.3</t>
  </si>
  <si>
    <t>SERV. IMPLEMENTAÇAO DE MUX SDH MOD.2</t>
  </si>
  <si>
    <t>SERV. TRANSPORTE PARA DESLOCAMENTO EQUIP</t>
  </si>
  <si>
    <t>REMANEJAMENTO PLACAS MUX DENTRO MESMO MU</t>
  </si>
  <si>
    <t>SERV. ESPELHAMENTO DID ATÉ 64 POSIÇÕES</t>
  </si>
  <si>
    <t>INSTALAÇÃO BASTIDOR 19 (INDOOR)</t>
  </si>
  <si>
    <t>REMANEJAMENTO PLACAS MUX(FAMILIA ALCATEL</t>
  </si>
  <si>
    <t>EXECUÇAO ROUTE DATA COM BATIMENTO DE JUM</t>
  </si>
  <si>
    <t>REMANEJAMENTO  PLACAS MUX (FAMILIA TELLA</t>
  </si>
  <si>
    <t>DESINSTALAÇÃO DE MUX</t>
  </si>
  <si>
    <t>SERV. ESPELHAMENTO DID ATÉ 32E1´S</t>
  </si>
  <si>
    <t>SERV. ESPELHAMENTO DID ATÉ 20E1´S</t>
  </si>
  <si>
    <t>MUDANÇA SIST. IRRADIA.MW ANT. MAIOR 1,8M</t>
  </si>
  <si>
    <t>SUBSTITUIÇAO-SIST. IRRADIA. MW ANT. MAIO</t>
  </si>
  <si>
    <t>SUBSTITUIÇAO-SIST. IRRADIA DE MW ANT. AT</t>
  </si>
  <si>
    <t>INSTALAÇÃO DE DID HORIZONTAL</t>
  </si>
  <si>
    <t>INSTALAÇÃO DE DID VERTICAL</t>
  </si>
  <si>
    <t>IMPLEMENT. ROTA ETHERNET (MAIS 6 SALTOS)</t>
  </si>
  <si>
    <t>IMPLEMENTAÇAO ROTA ETHERNET (4 A 6 SALTO</t>
  </si>
  <si>
    <t>IMPLEMENTAÇAO ROTA ETHERNET (ATÉ 3 SALTO</t>
  </si>
  <si>
    <t>IMPLEMENTAÇAO DE ROTA TX (MAIS DE 6 SALT</t>
  </si>
  <si>
    <t>IMPLEMENTAÇAO DE ROTA TX (4 A 6 SALTOS)</t>
  </si>
  <si>
    <t>IMPLEMENTAÇAO DE ROTA TX (ATÉ 3 SALTOS)</t>
  </si>
  <si>
    <t>INSTAL MASTRO/SUPORTE ANTENA TOPO PRÉDIO</t>
  </si>
  <si>
    <t>"SERVIÇO DE INSTALAÇAO - BASTIDOR 19"""</t>
  </si>
  <si>
    <t>SERV. INSTALAÇÃO DE DID</t>
  </si>
  <si>
    <t>EXPANSAO CAPACIDADE/CONFIG..SDH  HSB P/</t>
  </si>
  <si>
    <t>EXPANSAO CAPACIDADE/CONFIG PDH  1+0 P/ 1</t>
  </si>
  <si>
    <t>DESINSTALAÇAO PDH/SDH SPLIT/SIST IRRADIA</t>
  </si>
  <si>
    <t>REMANEJAMENTO PDH/SDH SPLIT ANTENA ACIMA</t>
  </si>
  <si>
    <t>REMANEJ PDH/SDH SPLIT ANTENA ATÉ 1,8M</t>
  </si>
  <si>
    <t>INSTAL PDH/SDH SPLIT C ANTENA ACIMA 1,8M</t>
  </si>
  <si>
    <t>INSTAL PDH/SDH SPLIT C/ ANTENA ATÉ 1,8M</t>
  </si>
  <si>
    <t>PROJETO PROVISÓRIO DE INSTALAÇÃO</t>
  </si>
  <si>
    <t>CÁLCULO DESEMPENHO/INTERFERÊNCIA/PL FREQ</t>
  </si>
  <si>
    <t>SERV. ANÁLISE DE CAMPO/RELAT. PROSPECÇÃO</t>
  </si>
  <si>
    <t>SERVIÇO DE QUALIFICAÇAO TECNICA - ENG.</t>
  </si>
  <si>
    <t>MUDANÇA SIST. IRRADIA. MW ANT. ATÉ 1,2M</t>
  </si>
  <si>
    <t>SERV INFRAESTRUTURA ACIONAMENTO DE GMG</t>
  </si>
  <si>
    <t>SERVIÇO DE SUPORTE POS GARANTIA</t>
  </si>
  <si>
    <t>SERVIÇO DE SUPORTE ON-SITE</t>
  </si>
  <si>
    <t>SERVIÇO DE SUPORTE POS CUTOVER-SEMANA</t>
  </si>
  <si>
    <t>SERVIÇO DE INSTALAÇAO DE CABOS-PLAC</t>
  </si>
  <si>
    <t>SERVIÇO DE CONFIG DE SW PLANO DE TESTES</t>
  </si>
  <si>
    <t>SERVIÇO-CURSO TK904 CONFIG/ADM IAS</t>
  </si>
  <si>
    <t>SERVIÇO-CURSO TK902 RELATORIO IAS</t>
  </si>
  <si>
    <t>SERVIÇO-CURSO TK900 OPERAÇAO USUARIO</t>
  </si>
  <si>
    <t>SERVIÇO-CURSO TK300 MPS/EPAP</t>
  </si>
  <si>
    <t>SERVIÇO-CURSO TK150 SIGTRAN E IPSG</t>
  </si>
  <si>
    <t>SERVIÇO-CURSO TK155 TRADUÇOES GT GWS</t>
  </si>
  <si>
    <t>SERV DE PROJETO SITE SURVEY PROJ. NORMAL</t>
  </si>
  <si>
    <t>SERV.-IMPLANTAÇAO/APLICAÇAO SIP</t>
  </si>
  <si>
    <t>SERV. INSTAL. ACRESCIMO BASTIDOR/GAVETA</t>
  </si>
  <si>
    <t>SERVIÇO-CUSTOMIZAÇAO ESPECIAL ENGENHARIA</t>
  </si>
  <si>
    <t>SERV PROJETO SITE SURVEY PROJ. PEQ PORTE</t>
  </si>
  <si>
    <t>SERVIÇO-STARTUP INSTALAÇAO PROJETO PQ</t>
  </si>
  <si>
    <t>SERVIÇO DE PLANEJAMENTO DE REDE P/ RNC</t>
  </si>
  <si>
    <t>SERV. IMPLANTAÇAO APLICAÇAO IPX SERVER</t>
  </si>
  <si>
    <t>SERV. IMPLANTAÇAO BASE  IPX SERVER</t>
  </si>
  <si>
    <t>SERVIÇO-INSTALAÇAO MATERIAIS DE BASTIDOR</t>
  </si>
  <si>
    <t>SERV. DE INSTAL. TRANSCONDER EXPANS BSC</t>
  </si>
  <si>
    <t>SERV. IMPLEMENTAÇAO SOFTWARE MGW</t>
  </si>
  <si>
    <t>SERV INSTALACAO CANALETA PLASTICA 1M</t>
  </si>
  <si>
    <t>SERV INSTALACAO ESTEIRA METALICA 3M</t>
  </si>
  <si>
    <t>SERV PROJETO E VISITA ADICIONAL AO SITE</t>
  </si>
  <si>
    <t>SERV INSTALACAO LAN PATCH CABLE 2M</t>
  </si>
  <si>
    <t>SERV INSTAL CABO ENERGIA ADIC (2X10M)</t>
  </si>
  <si>
    <t>SERV INSTAL CABO FO MONOMODO ADIC (10M)</t>
  </si>
  <si>
    <t>SERV INSTALACAO JUMPER FO 2 X 10M</t>
  </si>
  <si>
    <t>SERV INSTALACAO CABO LAN ADICIONAL 10M</t>
  </si>
  <si>
    <t>SERV INSTALACAO CABO LAN 5M CAT6</t>
  </si>
  <si>
    <t>SERV INSTAL BAST 19/23 OU 19 OPEN FRAME</t>
  </si>
  <si>
    <t>SERV DE VISTORIA E PPI ADICIONAL</t>
  </si>
  <si>
    <t>SERV MANUT EQP. C/TROCA DE SEGREDO MULTI</t>
  </si>
  <si>
    <t>SERV. REMESTRAGEM DE CADEADOS C/ 3X1</t>
  </si>
  <si>
    <t>SERV. REMESTRAGEM DE CADEADOS</t>
  </si>
  <si>
    <t>REMESTRAGEM DE CILINDROS DE PORTA C/ 3X1</t>
  </si>
  <si>
    <t>SERV. REMESTRAGEM DE CILINDRO DE PORTA</t>
  </si>
  <si>
    <t>INSTAL. PORTAS MUL-T-LOCK EM ALVENARIA</t>
  </si>
  <si>
    <t>INSTAL. PORTAS MUL-T-LOCK EM CONTAINER</t>
  </si>
  <si>
    <t>SERV. INSTALAÇAO DE PORTA PROVISORIA</t>
  </si>
  <si>
    <t>TROCA DA BORRACHA VEDAÇAO PORTA E PISO</t>
  </si>
  <si>
    <t>TROCA DA BORRACHA VEDAÇAO PORTA BATENTE</t>
  </si>
  <si>
    <t>TROCA DO MECANISMO SUPERIOR/INFERIOR</t>
  </si>
  <si>
    <t>SERV. TROCA DO MECANISMO CENTRAL</t>
  </si>
  <si>
    <t>SERV. TROCA DO CONJUNTO DE ESPELHOS</t>
  </si>
  <si>
    <t>SERV. TROCA DO CONJUNTO DE MAÇANETAS</t>
  </si>
  <si>
    <t>SERV. TROCA DE CADEADO C10</t>
  </si>
  <si>
    <t>SERV. TROCA SUPORTE AÇO ( ARM. OMIBRA )</t>
  </si>
  <si>
    <t>SERV. TROCA SUPORTE AÇO( ARM. SIEMENS  )</t>
  </si>
  <si>
    <t>SERV. TROCA DE CADEADO EH 11</t>
  </si>
  <si>
    <t>SERV. TROCA DE CADEADO G55 OU G 55 P</t>
  </si>
  <si>
    <t>SERV. TROCA DE CADEADO G47 OU G47P</t>
  </si>
  <si>
    <t>SERV. TROCA DE CILINDRO CLIQ DA PORTA 46</t>
  </si>
  <si>
    <t>SERV. TROCA DE CILINDRO DA PORTA 465</t>
  </si>
  <si>
    <t>SERV. SOCORRO P/ ABERTURA EMERGENCIAL</t>
  </si>
  <si>
    <t>SERV PLANEJAMENTO REDE PROTOCOLO IP/NRFU</t>
  </si>
  <si>
    <t>SERV. IÇAMENTO EQUIPAMENTO MECANICO</t>
  </si>
  <si>
    <t>SERV. IÇAMENTO 100-120 TONELADAS</t>
  </si>
  <si>
    <t>SERV. IÇAMENTO 80-100 TONELADAS</t>
  </si>
  <si>
    <t>SERV. IÇAMENTO 50-60 TONELADAS</t>
  </si>
  <si>
    <t>SERV. IÇAMENTO 30 TONELADAS</t>
  </si>
  <si>
    <t>SERV. DE EMBALAGEM/TRANSPORTE</t>
  </si>
  <si>
    <t>SERV. DESMOBIL./DESINSTALAÇAO JUMPER</t>
  </si>
  <si>
    <t>SERV. REMOÇAO DE TUBULAÇAO</t>
  </si>
  <si>
    <t>SERV. INSTALAÇÃO DE RUFO</t>
  </si>
  <si>
    <t>SERV. INSTALAÇÃO CUMEEIRA FIBROCIMENTO</t>
  </si>
  <si>
    <t>SERV. INSTALAÇÃO DE TELHA  FIBROCIMENTO</t>
  </si>
  <si>
    <t>SERV. PAVIMENTAÇÃO PISO CIMENTADO</t>
  </si>
  <si>
    <t>SERV. PAVIMENTAÇÃO CONCRETO ESP.10CM</t>
  </si>
  <si>
    <t>SERV. INSTALAÇAO FORRO/PVC</t>
  </si>
  <si>
    <t>SERV 07.06</t>
  </si>
  <si>
    <t>SERV. APLICAÇAO MASSA CORRIDA</t>
  </si>
  <si>
    <t>SERV. RECOMPOSIÇAO DE MUROS</t>
  </si>
  <si>
    <t>SERVIÇO DE LIMPEZA EM SITE</t>
  </si>
  <si>
    <t>SERV. REMOÇAO DE SKID</t>
  </si>
  <si>
    <t>SERV. REMOÇAO DE PORTA</t>
  </si>
  <si>
    <t>SERV. DESMONTAGEM DE PLATAFORMA</t>
  </si>
  <si>
    <t>SERV. DESMONTAGEM DE POSTE ACIMA 40M</t>
  </si>
  <si>
    <t>SERV. DESMONTAGEM DE POSTE 40M</t>
  </si>
  <si>
    <t>SERV. DESMONTAGEM DE EV ACIMA 80M</t>
  </si>
  <si>
    <t>SERV. DESMONTAGEM DE EV ACIMA 50M</t>
  </si>
  <si>
    <t>SERV. DESMONTAGEM DE EV 50M</t>
  </si>
  <si>
    <t>SERV. RECOMPOSIÇAO DE FORRO DE TETO</t>
  </si>
  <si>
    <t>SERV. RECOMPOSIÇAO DE FURO EM ESTRUTURA</t>
  </si>
  <si>
    <t>SERV. RECOMPOSIÇAO DE IMPERMEABILIZAÇAO</t>
  </si>
  <si>
    <t>SERV. RASPAGEM CAMADA TERRENO-15cm</t>
  </si>
  <si>
    <t>SERV. REMOÇAO POSTE DE ENERGIA</t>
  </si>
  <si>
    <t>SERV. REMOÇAO DE PORTAO</t>
  </si>
  <si>
    <t>SERVIÇO DE ATERRAMENTO DE VALAS EM SITES</t>
  </si>
  <si>
    <t>SERV. REMOÇAO DE ENTRADA/ENERGIA</t>
  </si>
  <si>
    <t>SERV. REMOÇAO DE ALAMBRADO</t>
  </si>
  <si>
    <t>SERV. REMOÇAO DE PAVIMENTO</t>
  </si>
  <si>
    <t>SERV. DEMOLIÇAO DE PAREDE</t>
  </si>
  <si>
    <t>SERV. DEMOLIÇAO BASE DE CONCRETO</t>
  </si>
  <si>
    <t>SERV. REMOÇAO DE FUNDAÇAO</t>
  </si>
  <si>
    <t>SERV. REMOÇAO MALHA DE ATERRAMENTO</t>
  </si>
  <si>
    <t>SERV. REMOÇAO GAIOLA</t>
  </si>
  <si>
    <t>SERV. REMOÇAO QTM-QDE</t>
  </si>
  <si>
    <t>SERV. DESMONTAGEM ANTENA RF-TX MAIS 50M</t>
  </si>
  <si>
    <t>SERV. DESMONTAGEM ANTENA RF-TX ATE 50M</t>
  </si>
  <si>
    <t>SERV. DESMONTAGEM DE CONTAINER</t>
  </si>
  <si>
    <t>SERV. DESISNTALAÇAO EQUITO OUTDOOR</t>
  </si>
  <si>
    <t>SERV. VISTORIA DE DESMOBILIZAÇÃO</t>
  </si>
  <si>
    <t>SERV. DE PROJETO DE DISTRATO DE SITE</t>
  </si>
  <si>
    <t>SERV. DESINSTALAÇAO DE CONTAINER</t>
  </si>
  <si>
    <t>SERV. CARACTERIZAÇAO ENLACE FIBRA OPTICA</t>
  </si>
  <si>
    <t>INSTALAÇÃO DE PAINEL DE EMENDA OU PATCH</t>
  </si>
  <si>
    <t>SERV. IMPLANTAÇAO SISTEMA IRRADIANTE</t>
  </si>
  <si>
    <t>ELABORAÇAO PROJETO DE ENGª P/ OBRA CIVIL</t>
  </si>
  <si>
    <t>PROJETO FINAL. INST-SISTEMA IRRADIANTE</t>
  </si>
  <si>
    <t>SERV. PROJETO INST. SISTEMA IRRADIANTE</t>
  </si>
  <si>
    <t>SERVIÇO DE PLOTAGEM</t>
  </si>
  <si>
    <t>SERVIÇOS INFRA SITE MARCRO - 2G/3G</t>
  </si>
  <si>
    <t>SERVIÇOS INFRA SITE RT - 2G/3G</t>
  </si>
  <si>
    <t>SERVIÇOS INFRA SITE GF - 2G/3G</t>
  </si>
  <si>
    <t>INSTALAÇÃO DE PAINEL DE ALIMENTAÇÃO</t>
  </si>
  <si>
    <t>INSTALAÇÃO DE ESTEIRAMENTO (JUNTO COM EQ</t>
  </si>
  <si>
    <t>INSTALAÇÃO DE DIO (JUNTO COM EQUIPAMENTO</t>
  </si>
  <si>
    <t>ATUALIZAÇÃO DE PROJETO</t>
  </si>
  <si>
    <t>ADICIONAL DE DESLOCAMENTO DE 601KM A 800</t>
  </si>
  <si>
    <t>ADICIONAL DE DESLOCAMENTO DE 401KM A 600</t>
  </si>
  <si>
    <t>ADICIONAL DE DESLOCAMENTO DE 201KM A 400</t>
  </si>
  <si>
    <t>ADICIONAL DE DESLOCAMENTO DE 100KM A 200</t>
  </si>
  <si>
    <t>MOBILIZAÇÃO EQUIPE - REGIÃO SUL</t>
  </si>
  <si>
    <t>MOBILIZAÇÃO EQUIPE - REGIÃO SUDESTE</t>
  </si>
  <si>
    <t>MOBILIZAÇÃO EQUIPE - REGIÃO CENTRO OESTE</t>
  </si>
  <si>
    <t>MOBILIZAÇÃO EQUIPE - REGIÃO NORDESTE</t>
  </si>
  <si>
    <t>MOBILIZAÇÃO EQUIPE - REGIÃO NORTE</t>
  </si>
  <si>
    <t>ATIVAÇÃO NA GERENCIA</t>
  </si>
  <si>
    <t>INSTALAÇÃO PLACA GPCHK</t>
  </si>
  <si>
    <t>INSTALAÇÃO PORTA ETHERNET</t>
  </si>
  <si>
    <t>INSTALAÇÃO PORTA E3</t>
  </si>
  <si>
    <t>INSTALAÇÃO STM1 ELETRICA</t>
  </si>
  <si>
    <t>INSTALAÇÃO PLACA 63E1</t>
  </si>
  <si>
    <t>INSTALAÇÃO PLACA 32E1</t>
  </si>
  <si>
    <t>INSTALAÇÃO PLACA 24E1</t>
  </si>
  <si>
    <t>INSTALAÇÃO PLACA 16E1</t>
  </si>
  <si>
    <t>SERV INSTAL PLACA EM SIST.TRANSM TRX MD5</t>
  </si>
  <si>
    <t>SERV INSTAL PLACA EM SIST.TRANS TRX MD29</t>
  </si>
  <si>
    <t>SERV INSTAL PLACA EM SIST.TRANS TRX MD19</t>
  </si>
  <si>
    <t>SERV. INSTAL SIST.TRANSM /EXT DE ROTA TX</t>
  </si>
  <si>
    <t>SERV. INSTAL SIST. TRANS/EXT ROTA TX MD1</t>
  </si>
  <si>
    <t>SERVIÇO DE AMPLIAÇÃO DE PLACAS</t>
  </si>
  <si>
    <t>SERVIÇO DE TESTE DO EQUIPAMENTO INSTALAD</t>
  </si>
  <si>
    <t>SERVIÇO EM HORÁRIO NOTURNO</t>
  </si>
  <si>
    <t>SERVIÇO DE INTERLIGAÇÃO DE E1 EM DID</t>
  </si>
  <si>
    <t>SERVIÇO DE INST. E SUPORTE PARA SERVIDOR</t>
  </si>
  <si>
    <t>INTEGRAÇÃO COM LIS 23</t>
  </si>
  <si>
    <t>INTEGRAÇÃO DE SISTEMAS DE INVESTIGAÇÕES</t>
  </si>
  <si>
    <t>INTEGRAÇÃO DE NOVAS CENTRAIS</t>
  </si>
  <si>
    <t>INTEGRAÇÃO DE NOVOS GGSN</t>
  </si>
  <si>
    <t>SERVIÇO DE MANUTENÇÃO DE CABO ÓPTICO</t>
  </si>
  <si>
    <t>SERVIÇO PROJETO DE QUALIFICAÇÃO DE SITE</t>
  </si>
  <si>
    <t>SERV INSTAL SISTEMA TELEC SIST GERENCIA</t>
  </si>
  <si>
    <t>SERVIÇO PROJETO E PLANEJAMENTO - DCN</t>
  </si>
  <si>
    <t>SERV PROJETO E PLANEJAMENTO-SINCRONISMO</t>
  </si>
  <si>
    <t>SERV PROJ E PLANEJAMENTO DE DCN PARA MUX</t>
  </si>
  <si>
    <t>SERVIÇO DE PROJETO DE PLANEJAMENTO - MUX</t>
  </si>
  <si>
    <t>SERV INST UPG SW(32M-100M-155M-ATIV ACM)</t>
  </si>
  <si>
    <t>MIGRAÇÃO TRÁFEGO SITES 3G/2G-RD PDH/SDH</t>
  </si>
  <si>
    <t>SERVIÇO DE TRANSPORTE MUNICIPAL</t>
  </si>
  <si>
    <t>SERV PARA EXPANSÃO DE PROCESSADOR (APZ)</t>
  </si>
  <si>
    <t>IMPLEMENTAÇÃO DE CENTRAL (MSC-SEVER)</t>
  </si>
  <si>
    <t>IMPLANTAÇÃO DE CENTRAL (MSC-SERVER/CNDW)</t>
  </si>
  <si>
    <t>SERV IMPLANTAÇÃO DE CENTRAL (MGW/CNDW)</t>
  </si>
  <si>
    <t>INST DE SISTEMAS - MSS_RNC_BSC_MGW AO OS</t>
  </si>
  <si>
    <t>INTEGRAÇÃO DE SISTEMAS - MSS_GPRS AO LIS</t>
  </si>
  <si>
    <t>DESENHO TÉCNICO DE DCN P/CENTRAL (MSC-S)</t>
  </si>
  <si>
    <t>DESENHO TÉCNICO DE DCN P/ CENTRAL (MGW)</t>
  </si>
  <si>
    <t>MIGRAÇÃO DE STM1</t>
  </si>
  <si>
    <t>SERVIÇO PARA EXPANSÃO DE LICENÇA DE HLR</t>
  </si>
  <si>
    <t>SERVIÇO PARA RECONFIGURAÇÃO DE HLR</t>
  </si>
  <si>
    <t>SERV. ACEITAÇÃO E VISTORIA DE SITE - MUX</t>
  </si>
  <si>
    <t>SERV INSTAL CONECTOR COMP CXH RD ENERGIA</t>
  </si>
  <si>
    <t>SERV INSTAL CONECTOR COM EV ATERRAMENTO</t>
  </si>
  <si>
    <t>SERV. INSTAL CONECTOR COMP EV RD ENERGIA</t>
  </si>
  <si>
    <t>SERV DE INSTAL TOM.STECK 200A RD ENERGIA</t>
  </si>
  <si>
    <t>SERV DE INSTAL TOM.STECK 125A RD ENERGIA</t>
  </si>
  <si>
    <t>SERV DE INSTAL TOM.STECK 63A RD ENERGIA</t>
  </si>
  <si>
    <t>SERV DE INSTALAÇÃO DE CABO FLEX 1K 120</t>
  </si>
  <si>
    <t>SERV DE INSTALAÇÃO DE CABO FLEX 1K 95</t>
  </si>
  <si>
    <t>SERV DE INSTALAÇÃO DE CABO FLEX 1K 70</t>
  </si>
  <si>
    <t>SERV DE INSTALAÇÃO DE CABO FLEX 1K 50</t>
  </si>
  <si>
    <t>SERV DE INSTALAÇÃO DE CABO FLEX 1K 35</t>
  </si>
  <si>
    <t>SERV. DE INSTALAÇAO DE CABO FLEX 1K 25</t>
  </si>
  <si>
    <t>SERV. DE INSTALAÇAO DE CABO FLEX 1K 16</t>
  </si>
  <si>
    <t>SERV DE INSTALAÇÃO DE CABO FLEX 1K 10</t>
  </si>
  <si>
    <t>SERV DE INSTALAÇÃO DE CABO FLEX 1K 6</t>
  </si>
  <si>
    <t>SERV DE INSTALAÇÃO DE CABO FLEX 1K 4</t>
  </si>
  <si>
    <t>SERV DE INSTALAÇÃO DE CABO FLEX 1K 2,5</t>
  </si>
  <si>
    <t>SERV DE INSTALAÇÃO DE CABO FLEX 1K 1,5</t>
  </si>
  <si>
    <t>SERV DE INSTALAÇÃO DE CABO FLEX 750V 95</t>
  </si>
  <si>
    <t>SERV INSTALAÇÃO DE CABO DE ENERGIA 70MM2</t>
  </si>
  <si>
    <t>SERV DE INSTALAÇÃO DE CABO FLEX 750V 50</t>
  </si>
  <si>
    <t>SERV DE INSTALAÇÃO DE CABO FLEX 750V 35</t>
  </si>
  <si>
    <t>SERV DE INSTALAÇÃO DE CABO FLEX 750V 25</t>
  </si>
  <si>
    <t>SERV. DE INSTALAÇAO DE CABO FLEX 750V 16</t>
  </si>
  <si>
    <t>SERV DE INSTALAÇÃO DE CABO FLEX 750V 10</t>
  </si>
  <si>
    <t>SERV DE INSTALAÇÃO DE CABO FLEX 750V 6</t>
  </si>
  <si>
    <t>SERV DE INSTALAÇÃO DE CABO FLEX 750V 4</t>
  </si>
  <si>
    <t>SERV DE INSTALAÇÃO DE CABO FLEX 750V 2,5</t>
  </si>
  <si>
    <t>SERV DE INSTALAÇÃO DE CABO FLEX 750V 1,5</t>
  </si>
  <si>
    <t>SERV INSTAL CORDOALHA ACO 7/16 R.ENERGIA</t>
  </si>
  <si>
    <t>SERV INSTAL CORDOALHA ACO 5/16 R.ENERGIA</t>
  </si>
  <si>
    <t>SERV DE INSTALAÇAO DE CORDOALHA COBRE 50</t>
  </si>
  <si>
    <t>SERV INSTAL CORDOALHA COBRE 25 R.ENERGIA</t>
  </si>
  <si>
    <t>SERV DE INSTAL. CABO PP 1K 3X6 R.ENERGIA</t>
  </si>
  <si>
    <t>SERV DE INSTAL CABO PP 750 3X4 R.ENERGIA</t>
  </si>
  <si>
    <t>SERV DE INSTAL CABO PP 750 2X4 R.ENERGIA</t>
  </si>
  <si>
    <t>SERV DE INSTAL CABO PP 750 3X2,5 R.ENERG</t>
  </si>
  <si>
    <t>SERV INSTAL CABO PP 750 2X2,5 R. ENERGIA</t>
  </si>
  <si>
    <t>SERV INSTAL CABO PP 750 3X1,5 R. ENERGIA</t>
  </si>
  <si>
    <t>SERV INSTAL CABO PP 750 2X1,5 R. ENERGIA</t>
  </si>
  <si>
    <t>SERV DE INSTAL ABRAC. CLICKON 6 CAB 3/8</t>
  </si>
  <si>
    <t>SERV. DE INSTALAÇÃO TAMPA CX E REQUADRO</t>
  </si>
  <si>
    <t>SERV. DE INSTALAÇAO DE CX 600X600 POLIET</t>
  </si>
  <si>
    <t>CONSTRUÇAO CX 600X600MM BLOCO CONCRETO</t>
  </si>
  <si>
    <t>INSTALAÇAO C/ MATERIAL CX CONDULETE ALUM</t>
  </si>
  <si>
    <t>SERV. INSTAL. ELETRODUTO KANAFLEX 3/4POL</t>
  </si>
  <si>
    <t>SERV. INSTAL. ELETRODUTO KANAFLEX 1POL</t>
  </si>
  <si>
    <t>SERV INSTAL ELETRODUTO KANAFLEX 1 1/4POL</t>
  </si>
  <si>
    <t>SERV INSTAL ELETRODUTO KANAFLEX 1 1/2POL</t>
  </si>
  <si>
    <t>SERV. INSTAL. ELETRODUTO KANAFLEX 2POL</t>
  </si>
  <si>
    <t>SERV. INSTAL. ELETRODUTO KANAFLEX 3POL</t>
  </si>
  <si>
    <t>SERV. INSTAL  DE TUBO SEALTUBE 3/4POL</t>
  </si>
  <si>
    <t>SERV ADEQ. ELETR SEALTUBE EM SITE GF 1 P</t>
  </si>
  <si>
    <t>SERV. INSTAL  DE TUBO SEALTUBE 1 1/4POL</t>
  </si>
  <si>
    <t>SERV ADEQ ELET SEALTUBE EM SITE GF 0,5 P</t>
  </si>
  <si>
    <t>SERV ADEQ. ELETR SEALTUBE EM SITE GF 2 P</t>
  </si>
  <si>
    <t>INSTALAÇAO DE SEALTUBE TUBOS DE 3POL</t>
  </si>
  <si>
    <t>SERV INSTALAÇÃO DUTO AÇO GALVANIZADO 3/4</t>
  </si>
  <si>
    <t>SERV INSTAL DE DUTO AÇO GALVANIZADO 1POL</t>
  </si>
  <si>
    <t>SERV INSTAL DE DUTO AÇO GALVANIZADO 11/4</t>
  </si>
  <si>
    <t>SERV INSTAL DE DUTO AÇO GALVANIZADO 11/2</t>
  </si>
  <si>
    <t>SERV. DE INSTALAÇAO DE DUTO AÇOGALV 2POL</t>
  </si>
  <si>
    <t>SERV DE INSTAL DUTO AÇO GALVANIZADO 3POL</t>
  </si>
  <si>
    <t>SERV. DE INSTALAÇÃO DUTO AÇO ZINCADO 3/4</t>
  </si>
  <si>
    <t>SERV DE INSTALAÇÃO DUTO AÇO ZINCADO 1POL</t>
  </si>
  <si>
    <t>SERV DE INSTALAÇÃO DUTO AÇO ZINCADO 11/4</t>
  </si>
  <si>
    <t>SERV DE INSTALAÇÃO DUTO AÇO ZINCADO 11/2</t>
  </si>
  <si>
    <t>SERV DE INSTALAÇÃO DUTO AÇO ZINCADO 2POL</t>
  </si>
  <si>
    <t>SERV DE INSTALAÇÃO DUTO AÇO ZINCADO 3POL</t>
  </si>
  <si>
    <t>SERV. DE INSTALAÇÃO DUTO PVC 3/4 POL</t>
  </si>
  <si>
    <t>SERV. DE INSTALAÇÃO DUTO PVC 1POL</t>
  </si>
  <si>
    <t>SERV. DE INSTALAÇÃO DUTO PVC 1 1/4POL</t>
  </si>
  <si>
    <t>SERV. DE INSTALAÇÃO DUTO PVC 1 1/2POL</t>
  </si>
  <si>
    <t>SERV. DE INSTALAÇÃO DUTO PVC 2POL</t>
  </si>
  <si>
    <t>SERV. DE INSTALAÇÃO DUTO PVC 3POL</t>
  </si>
  <si>
    <t>SERV DE INSTALAÇÃO KIT NORTEL P/GABINETE</t>
  </si>
  <si>
    <t>SERV. DE INSTAL. MEDIDOR TENSÃO C/SENSOR</t>
  </si>
  <si>
    <t>SERV INSTALAÇÃO FUSIVEL NH3 REDE ENERGIA</t>
  </si>
  <si>
    <t>SERV. DE INSTALAÇÃO BASE FUSIVEL NH3</t>
  </si>
  <si>
    <t>SERV. DE INSTALAÇÃO FUSIVEL NH2</t>
  </si>
  <si>
    <t>SERV. DE INSTALAÇÃO BASE FUSIVEL NH2</t>
  </si>
  <si>
    <t>SERV. DE INSTALAÇÃO FUSIVEL NH1</t>
  </si>
  <si>
    <t>SERV. DE INSTALAÇÃO BASE FUSIVEL NH1</t>
  </si>
  <si>
    <t>SERV. DE INSTALAÇÃO FUSIVEL NH00</t>
  </si>
  <si>
    <t>SERV. DE INSTALAÇÃO BASE FUSIVEL NH00</t>
  </si>
  <si>
    <t>SERV INSTAL SIST ENERG DISJ TRI 70 -125A</t>
  </si>
  <si>
    <t>SERV. INSTAL SIST ENERG. DISJ TRI 30-63A</t>
  </si>
  <si>
    <t>INSTALAÇAO SIST.ENERGIA DISJ.BI 16-63A</t>
  </si>
  <si>
    <t>INSTALAÇAO C/ MATERIAL DISJ MONO 80-125A</t>
  </si>
  <si>
    <t>INSTALAÇAO C/ MATERIAL DISJ MONO 10-63A</t>
  </si>
  <si>
    <t>SERV INSTAL DE QDE TRI  220/380VCOMPLETO</t>
  </si>
  <si>
    <t>SERV DE INSTALAÇÃO QDE BIFASICO COMPLETO</t>
  </si>
  <si>
    <t>DESMOBILIZACAO DE EQUIP. ENERG QTM E QDE</t>
  </si>
  <si>
    <t>SERV DE CONSTRUÇÃO ABRIGO ALVENAR. P/QTM</t>
  </si>
  <si>
    <t>SERV. DE INSTALAÇÃO MIOLO QTM TRIFASICO</t>
  </si>
  <si>
    <t>SERV. INSTALAÇAO SIST.ENERG.QTM TRI COMP</t>
  </si>
  <si>
    <t>SERV. DE INSTALAÇAO DE  MIOLO QTM BI</t>
  </si>
  <si>
    <t>SERV. DE INSTALAÇÃO DE QTM BI COMPL/SITE</t>
  </si>
  <si>
    <t>SERV. DE INSTALAÇÃO QDCC 60 DISJUNTOR</t>
  </si>
  <si>
    <t>SERV INSTAL EQUIP ENERGIA-QDCC(1xG+30xP)</t>
  </si>
  <si>
    <t>SERV. DE INSTALAÇAO DE ENERGIO QDCC</t>
  </si>
  <si>
    <t>SERV. DE INSTALAÇÃO QDCC 6 DISJUNTOR</t>
  </si>
  <si>
    <t>SERV DE INSTALAÇÃO QDCC 19 1U6 DISJUNTOR</t>
  </si>
  <si>
    <t>SERV.INSTAL.QUADRO ENERGIA QDCC(19 3U 6D</t>
  </si>
  <si>
    <t>SERV DE INSTALAÇÃO QDCC 23 3U6 DISJUNTOR</t>
  </si>
  <si>
    <t>SERV DESINTAL DE EQUIP ENERGIA QDCC QQTP</t>
  </si>
  <si>
    <t>MIGRAÇAO/INST CARGAS ENERGIA DC JA.MANUT</t>
  </si>
  <si>
    <t>SERV. DE INSTALAÇÃO DE MODULO DE ENERGIA</t>
  </si>
  <si>
    <t>SERV INSTALAÇÃO DE FONTE CC-REDE ENERGIA</t>
  </si>
  <si>
    <t>SERV.INST.FONTE CC EM JABELA SIST.ENERG.</t>
  </si>
  <si>
    <t>SERV.DESINST.RETIFICADOR/CONV SIST. ENER</t>
  </si>
  <si>
    <t>SERV. INSTALAÇAO RETIFICADOR E CONVERSOR</t>
  </si>
  <si>
    <t>SERV DE INSTALAÇÃO BAN. BATERIA 12V JAN.</t>
  </si>
  <si>
    <t>SERV. DE INSTALAÇÃO BAN. BATERIA 2V JAN.</t>
  </si>
  <si>
    <t>SERV DE INSTALAÇAO DE BANCO BATERIAS 12V</t>
  </si>
  <si>
    <t>SERV. DE INSTALAÇAO DE BANCO BATERIAS 2V</t>
  </si>
  <si>
    <t>DESINSTALAÇAO BASTIDOR RADIO PDH OU SDH</t>
  </si>
  <si>
    <t>SERV DESINSTALAÇAO SISTEMA IRRADIANTE RF</t>
  </si>
  <si>
    <t>SERV. DE DESINSTALAÇAO BASTIDOR TDMA</t>
  </si>
  <si>
    <t>SERV. DE REMOÇAO ANTENAS DE RF E/OU MO</t>
  </si>
  <si>
    <t>SERV. DE REMANEJAMENTO ANTENAS 3 SETORES</t>
  </si>
  <si>
    <t>SERV. DE REMANEJAMENTO ANTENAS 2 SETORES</t>
  </si>
  <si>
    <t>SERV. DE REMANEJAMENTO ANTENAS 1 SETOR</t>
  </si>
  <si>
    <t>SERV. DE OTIMIZACAO CABOS MO EM ESTEIRA</t>
  </si>
  <si>
    <t>SERV DE OTIMIZACAO CABOS RF EM ESTEIRA</t>
  </si>
  <si>
    <t>SERV. DE MEDIÇÃO ATERRAMENTO-ADEQUA.SITE</t>
  </si>
  <si>
    <t>PROJETO REFORÇO ROOF TOP-ADEQUAÇAO SITE</t>
  </si>
  <si>
    <t>PROJETO REFORÇO MASTRO-ADEQUAÇAO SITE</t>
  </si>
  <si>
    <t>PROJETO REFORÇO EV OUTROS-ADEQUAÇAO SITE</t>
  </si>
  <si>
    <t>PROJETO REFORÇO EV PROPRIA-ADEQUAÇAO SIT</t>
  </si>
  <si>
    <t>PROJETO REFORÇO FUNDAÇAO-ADEQUAÇAO SITE</t>
  </si>
  <si>
    <t>SERV LAUDO ROOF TOP SEM PROJ-ADEQUA SITE</t>
  </si>
  <si>
    <t>SERV LAUDO ROOF TOP COM PROJ-ADEQUA SITE</t>
  </si>
  <si>
    <t>SERV LAUDO MASTRO-ADEQUAÇAO SITE</t>
  </si>
  <si>
    <t>SERV LAUDO EV OUTRO SEM PROJ-ADEQUA SITE</t>
  </si>
  <si>
    <t>LAUDO EV OUTROS COM PROJ-ADEQUAÇAO SITE</t>
  </si>
  <si>
    <t>LAUDO EV PROPRIA SEM PROJ-ADEQUAÇAO SITE</t>
  </si>
  <si>
    <t>LAUDO EV PROPRIA COM PROJ-ADEQUAÇAO SITE</t>
  </si>
  <si>
    <t>SERV LAUDO FUNDAÇAO SEM PROJ-ADEQUA SITE</t>
  </si>
  <si>
    <t>LAUDO FUNDAÇAO COM PROJ-ADEQUAÇAO SITE</t>
  </si>
  <si>
    <t>SERV LAUDO VERTICALIDADE-ADEQUAÇAO SITE</t>
  </si>
  <si>
    <t>PROJETO C/ REV DE PRANCHA-ADEQUAÇAO SITE</t>
  </si>
  <si>
    <t>PROJETO COMPLETO-ADEQUAÇAO SITE</t>
  </si>
  <si>
    <t>SERV PROJ/VISTORIA E TSSR ADEQ  EM SITE</t>
  </si>
  <si>
    <t>SONDAGEM ROTATIVA-ADEQUAÇAO SITE</t>
  </si>
  <si>
    <t>SERV. DE SOND. PERCUSSÃO-ADEQUAÇÃO SITE</t>
  </si>
  <si>
    <t>SERV INSTAL. COMPART-ADEQUAÇAO SITE</t>
  </si>
  <si>
    <t>PROJETO PREFEITURA-ADEQUAÇAO SITE</t>
  </si>
  <si>
    <t>SERV DE LICENCIAMENTO-ADEQUAÇAO SITE</t>
  </si>
  <si>
    <t>ADITIVO DE CONTRATO-ADEQUAÇAO SITE</t>
  </si>
  <si>
    <t>CONSTRUÇAO BASE DE CONCRETO</t>
  </si>
  <si>
    <t>REFORÇO FUNDAÇAO - TUBULAO</t>
  </si>
  <si>
    <t>PERFURAÇAO SOLO/ESTACA RAIZ-ADICIONAL</t>
  </si>
  <si>
    <t>PERFURAÇAO ROCHA-ESTACA RAIZ-ADICIONAL</t>
  </si>
  <si>
    <t>SERV. DE MOBILIZAÇÃO DE ESTACA RAIZ-ADIC</t>
  </si>
  <si>
    <t>REFORÇO FUNDAÇAO - ESTACA RAIZ</t>
  </si>
  <si>
    <t>SERV DE REFOR FUNC C/ROMPEDOR PNEUMÁTICO</t>
  </si>
  <si>
    <t>REFORÇO FUNDAÇAO - SAPATA</t>
  </si>
  <si>
    <t>SERV DE REFOR FUNC C/ROMPEDOR ELETRICO</t>
  </si>
  <si>
    <t>REFORÇO FUNDAÇAO - RADIER</t>
  </si>
  <si>
    <t>REFORÇO ESTRUTURAL EM CONCRETO</t>
  </si>
  <si>
    <t>REFORÇO ESTRUTURAL EM AÇO</t>
  </si>
  <si>
    <t>SERV DE REFORÇO EST.VERT. POSTE METÁLICO</t>
  </si>
  <si>
    <t>REFORÇO  METALICO POSTE CONCRETO</t>
  </si>
  <si>
    <t>REFORÇO TORRE METALICA</t>
  </si>
  <si>
    <t>PLATAFORMA EM ROOF TOP</t>
  </si>
  <si>
    <t>SERV INSTAL DE PLATAFORMA AÇO P/AP TORRE</t>
  </si>
  <si>
    <t>PLATAFORMA CIRCULAR 1200CM</t>
  </si>
  <si>
    <t>PLATAFORMA CIRCULAR 60CM</t>
  </si>
  <si>
    <t>PLATAFORMA CIRCULAR 40CM</t>
  </si>
  <si>
    <t>SERV. DE INSTALAÇÃO DE PLATAFORMA TELEC.</t>
  </si>
  <si>
    <t>SERV. DESMOBILIZAÇÃO DE PLATAFORMA TELEC</t>
  </si>
  <si>
    <t>SERV. DE ADEQUAÇÃO ALTURA PLATAFORMA</t>
  </si>
  <si>
    <t>SERV. DESMOBILIZAÇÃO DE ESTEIRAMENTO EXT</t>
  </si>
  <si>
    <t>SERV DE INSTALAÇÃO DE ESTEIRA EM R.TELEC</t>
  </si>
  <si>
    <t>ESTEIRAMENTO HORIZONTAL 600MM</t>
  </si>
  <si>
    <t>ESTEIRAMENTO HORIZONTAL 200 ATE 400MM</t>
  </si>
  <si>
    <t>SERV DE INSTALAÇÃO DE CINTA BAP EM POSTE</t>
  </si>
  <si>
    <t>INSTAL ESTEIRAMENTO COSTELA SIST TELEC</t>
  </si>
  <si>
    <t>SERV DE ESTEIRAMENTO VERTICAL 600MM TELE</t>
  </si>
  <si>
    <t>ESTEIRAMENTO VERTICAL 200 ATE 400MM</t>
  </si>
  <si>
    <t>REALOCACAO DE BALIZAMENTO</t>
  </si>
  <si>
    <t>SERV. INSTALAÇAO SIST ENERG.QCAB PADRAO</t>
  </si>
  <si>
    <t>SERV. DE INSTALAÇÃO GRADIL PROTEÇÃO GMG</t>
  </si>
  <si>
    <t>SERV. DE CONSTR. DE BASE CONCRETO GMG</t>
  </si>
  <si>
    <t>SERV. DE INSTALAÇÃO CX COLETORA OLEO/GMG</t>
  </si>
  <si>
    <t>SERV. DE INSTALAÇÃO DPS VCL RDE ENERGIA</t>
  </si>
  <si>
    <t>SERV INSTALAÇÃO DISJUNTOR GI125 TRI 25KA</t>
  </si>
  <si>
    <t>SERV INSTAL. DISJUNTOR CX MOLD TRI 65KA</t>
  </si>
  <si>
    <t>SERV. DE INSTALAÇÃO CABO CONTROLE 10X1,5</t>
  </si>
  <si>
    <t>SERV. DE INSTALAÇÃO CABO CONTROLE 6X1,5</t>
  </si>
  <si>
    <t>SERV. DE INSTALAÇÃO CABO CONTROLE 3X1,5</t>
  </si>
  <si>
    <t>SERV DE INSTALAÇÃO DE CABO CONTROLE 10X1</t>
  </si>
  <si>
    <t>SERV. DE INSTALAÇÃO DE CABO CONTROLE 6X1</t>
  </si>
  <si>
    <t>SERV. DE INSTALAÇÃO DE CABO CONTROLE 3X1</t>
  </si>
  <si>
    <t>SERV INSTALAÇÃO CABO CONTR. 10X1,5 BLIND</t>
  </si>
  <si>
    <t>SERV. DE INSTAL. CABO CONTR. 6X1,5 BLIND</t>
  </si>
  <si>
    <t>SERV. DE INSTAL. CABO CONTR. 3X1,5 BLIND</t>
  </si>
  <si>
    <t>INSTALAÇAO C/ MAT CABO CONT 10X1 BLIND</t>
  </si>
  <si>
    <t>SERV. DE INSTALAÇÃO CABO CONTR 6X1 BLIND</t>
  </si>
  <si>
    <t>SERV. DE INSTALAÇÃO CABO CONTR 3X1 BLIND</t>
  </si>
  <si>
    <t>SERV DE INSTALAÇÃO DE CABO CI60 10 PARES</t>
  </si>
  <si>
    <t>SERV. DE INSTALAÇÃO DE CABO CI60 5 PARES</t>
  </si>
  <si>
    <t>SERV. DE INSTALAÇÃO DE CABO CI60 3 PARES</t>
  </si>
  <si>
    <t>SERV DE INSTALAÇÃO DE CABO CI40 10 PARES</t>
  </si>
  <si>
    <t>SERV. DE INSTALAÇÃO DE CABO CI40 5 PARES</t>
  </si>
  <si>
    <t>SERV. DE INSTALAÇÃO DE CABO CI40 3 PARES</t>
  </si>
  <si>
    <t>SERV. DE INSTALAÇÃO DE BIX P/CABEAMENTO</t>
  </si>
  <si>
    <t>SERV. DE INSTALAÇÃO BLOCO COOK P/CABEAM.</t>
  </si>
  <si>
    <t>SERV. INSTALAÇÃO QUADRO BYPASS R.ENERGIA</t>
  </si>
  <si>
    <t>MIGRACAO CARGAS AC EM JANELA</t>
  </si>
  <si>
    <t>SERVIÇO DE GMG PARA MANOBRA ENERGIA</t>
  </si>
  <si>
    <t>AMPLIACAO ENTRADA AC 380/220V ATE 75KVA</t>
  </si>
  <si>
    <t>SERV. AMPLIAÇÃO ENT.AC 220/127V-AT-75KVA</t>
  </si>
  <si>
    <t>INSTALAÇAO C/ MATERIAL HASTE DE COBRE</t>
  </si>
  <si>
    <t>INSTALAÇAO C/ MATERIAL CONECTOR COMP CXC</t>
  </si>
  <si>
    <t>SERV DE INSTALAÇÃO SUP.CINTA 2 RF 4POL3M</t>
  </si>
  <si>
    <t>SERV DE INSTALAÇÃO SUP.CINTA 2 RF 3POL3M</t>
  </si>
  <si>
    <t>SERV DE INSTALAÇÃO SUP.CINTA 2 RF 2POL3M</t>
  </si>
  <si>
    <t>SERV DE INSTALAÇÃO SUP.CINTA 2 RF 4POL2M</t>
  </si>
  <si>
    <t>SERV DE INSTALAÇÃO SUP.CINTA 2 RF 3POL2M</t>
  </si>
  <si>
    <t>SERV DE INSTALAÇÃO SUP.CINTA 2 RF 2POL2M</t>
  </si>
  <si>
    <t>SERV. INST SUP CINTA 1 RFOU1MO1.2 4POL3M</t>
  </si>
  <si>
    <t>SERV INST SUP. CINTA 1 RFOU1MO1.2 3POL3M</t>
  </si>
  <si>
    <t>SERV. INST SUP.CINTA 1 RFOU1MO1.2 2POL3M</t>
  </si>
  <si>
    <t>SERV. DE INSTAL SUPORTE TP CINTA P/POSTE</t>
  </si>
  <si>
    <t>SERV. INST SUP.CINTA 1 RFOU1MO1.2 3POL2M</t>
  </si>
  <si>
    <t>SERV. INST SUP.CINTA 1 RFOU1MO1.2 2POL2M</t>
  </si>
  <si>
    <t>SERV. INSTAL. SUP. BANDEIRA ATE 5M HORIZ</t>
  </si>
  <si>
    <t>SERV. INST SUP. BANDEIRA ATE 2,5M HORIZ</t>
  </si>
  <si>
    <t>SERV INST SUP FACE2M 1 RFOU1MO1.2 4POL3M</t>
  </si>
  <si>
    <t>SERV INST SUP FACE2M 1 RFOU1MO1.2 3POL3M</t>
  </si>
  <si>
    <t>SERV INST SUP.FACE2M 1 RFOU1MO1.2 2POL3M</t>
  </si>
  <si>
    <t>SERV. DE INSTAL DE SUPORTE FACE DE TORRE</t>
  </si>
  <si>
    <t>SERV INST SUP.FACE2M 1 RFOU1MO1.2 3POL2M</t>
  </si>
  <si>
    <t>SERV INST SUP FACE2M 1 RFOU1MO1.2 2POL2M</t>
  </si>
  <si>
    <t>SERV.DE INST SUP FACE2A5M 1MO2.4 PE PATO</t>
  </si>
  <si>
    <t>SERV INST SUP 1 RFOU1MO1.2 4POL3M TORRE</t>
  </si>
  <si>
    <t>SERV INST SUP. 1 RFOU1MO1.2 3POL3M TORRE</t>
  </si>
  <si>
    <t>SERV INST SUP. 1 RFOU1MO1.2 2POL3M TORRE</t>
  </si>
  <si>
    <t>SERV DE INSTAL SUPORTE DE CANTO DE TORRE</t>
  </si>
  <si>
    <t>SERV INST SUP. 1 RFOU1MO1.2 3POL2M TORRE</t>
  </si>
  <si>
    <t>SERV INST SUP. 1 RFOU1MO1.2 2POL2M TORRE</t>
  </si>
  <si>
    <t>SERV MOBILIZAÇAO/PREP P/INST SUP. PON. B</t>
  </si>
  <si>
    <t>SERV. DE INSTALAÇÃO SUPORTE  P/ANTENA</t>
  </si>
  <si>
    <t>SERV DE INSTALAÇÃO SUPORTE EM PLATAFORMA</t>
  </si>
  <si>
    <t>SERV. DE DESINSTALAÇÃO DE SUPORTE ANTENA</t>
  </si>
  <si>
    <t>SERV. DE ADEQUAÇÃO DE ALTURA DE SUPORTE</t>
  </si>
  <si>
    <t>SERV. DE INSTALAÇÃO MASTRO PARA ANTENAS</t>
  </si>
  <si>
    <t>SERV DE INSTALAÇÃO DE MASTRO EQP TELECOM</t>
  </si>
  <si>
    <t>SERV. DE DESINSTALAÇÃO DE MASTRO ANTENA</t>
  </si>
  <si>
    <t>CONSTRUÇAO ESTRUTURA METÁLICA</t>
  </si>
  <si>
    <t>PAVIMENTACAO TERRENO COM BRITA</t>
  </si>
  <si>
    <t>SERV. DE INSTALAÇÃO DE PORTÃO PEDESTRES</t>
  </si>
  <si>
    <t>CONSTRUÇAO ALAMBRADO</t>
  </si>
  <si>
    <t>SERV. DE REMOÇÃO ALAMBRADO DE SITE</t>
  </si>
  <si>
    <t>DEMOLICAO BASE CONCRETO ARMADO</t>
  </si>
  <si>
    <t>SERV DE INSTALAÇÃO DE CONCERTINA EM SITE</t>
  </si>
  <si>
    <t>SERVIÇO DE CONSTRUÇAO DE MURO</t>
  </si>
  <si>
    <t>SERV. DE DEMOLIÇÃO DE MURO</t>
  </si>
  <si>
    <t>TRASPORTE DE GABINETE DE SERV E FONTE</t>
  </si>
  <si>
    <t>SERV. DE IÇAMENTO ATÉ 1 TONELADA</t>
  </si>
  <si>
    <t>SERV. DE IÇAMENTO GUINDASTE 100 A 120TON</t>
  </si>
  <si>
    <t>ICAMENTO GUINDASTE 80 A 100TON</t>
  </si>
  <si>
    <t>SERV. DE IÇAMENTO GUINDASTE 50 A 60TON</t>
  </si>
  <si>
    <t>SERV. DE IÇAMENTO GUINDASTE 30TON</t>
  </si>
  <si>
    <t>SERV GERENCIAM/FISCAL. INST.GMG E ABRIGO</t>
  </si>
  <si>
    <t>SERV. DE REMANEJAMENTO LUMINÁRIA EM SITE</t>
  </si>
  <si>
    <t>SERV. REMANEJAMENTO TOMADA AC RD ENERGIA</t>
  </si>
  <si>
    <t>REMANEJAMENTO DE PRESSURIZADOR</t>
  </si>
  <si>
    <t>SERV INSTALAÇÃO DE PLACA SKID EM TELECOM</t>
  </si>
  <si>
    <t>SERV INSTALAÇÃO DE PLACA ROXTEC TELECOM</t>
  </si>
  <si>
    <t>SERV INSTALAÇÃO DE BOOT 2 FUROS EM TELEC</t>
  </si>
  <si>
    <t>SERV DE CORTE/FURAÇÃO DE PLACA INST BOOT</t>
  </si>
  <si>
    <t>SERV INSTAL PDU19POL COMP EM SIST ENERG.</t>
  </si>
  <si>
    <t>SERV. DE INSTALAÇÃO RACK 19 TELECOM</t>
  </si>
  <si>
    <t>SERV.INSTALAÇAO RACK 19POL EM SIST.TELEC</t>
  </si>
  <si>
    <t>SERV. DE INSTALAÇÃO GABINETE SERV JANELA</t>
  </si>
  <si>
    <t>INSTALAÇAO GABINETE DE SERVIÇO</t>
  </si>
  <si>
    <t>SERV. DE VIGILÂNCIA NÃO ARMADA EM SITE</t>
  </si>
  <si>
    <t>INSTALAÇAO C/ MATERIAL REQUADRO</t>
  </si>
  <si>
    <t>SERV DE ADEQUAÇÃO GAIOLA GABINETE OUTDO.</t>
  </si>
  <si>
    <t>ADEQUAÇAO GRADIL GABINETE OUTDOOR</t>
  </si>
  <si>
    <t>INSTALAÇAO GRADIL GABINETE</t>
  </si>
  <si>
    <t>SERV. DE INSTALAÇÃO MULTL CONT EM SITE</t>
  </si>
  <si>
    <t>SERV DE INSTALAÇÃO TUBO 4POL ATE 4M SUPO</t>
  </si>
  <si>
    <t>SV SERRALH.  P/TROCA TUBO 3POL 4M EM SUP</t>
  </si>
  <si>
    <t>SERV 14.13</t>
  </si>
  <si>
    <t>SERV DE INSTALAÇÃO TUBO 2POL AT 4M/SUPOR</t>
  </si>
  <si>
    <t>SERV. DE INST.TUBO 4POL 5M OU M/SUPORTE</t>
  </si>
  <si>
    <t>SERV. DE INST.TUBO 3POL 5M OU M/SUPORTE</t>
  </si>
  <si>
    <t>SERV. DE INST.TUBO 2POL 5M OU M/SUPORTE</t>
  </si>
  <si>
    <t>SERV DE INSTALAÇÃO SUPORT POSTE ST.LEVEL</t>
  </si>
  <si>
    <t>SERV DE INSTALAÇÃO SUP CINTA 3 RF 4POL3M</t>
  </si>
  <si>
    <t>SERV DE INSTALAÇÃO SUP.CINTA 3 RF 3POL3M</t>
  </si>
  <si>
    <t>SERV DE INSTALAÇÃO SUP.CINTA 3 RF 2POL3M</t>
  </si>
  <si>
    <t>SERV DE INSTALAÇÃO SUP .INTA 3 RF 4POL2M</t>
  </si>
  <si>
    <t>SERV DE INSTALAÇÃO SUP.CINTA 3 RF 3POL2M</t>
  </si>
  <si>
    <t>SERV DE INSTALAÇÃO SUP.CINTA 3 RF 2POL2M</t>
  </si>
  <si>
    <t>SERV. DE INSTALAÇÃO DE REQUADRO EM SITE</t>
  </si>
  <si>
    <t>SERVIÇO DE INSTAL. MASTRO 8M</t>
  </si>
  <si>
    <t>SERVIÇO DESINSTALAÇÃO GAB.ANTIGO</t>
  </si>
  <si>
    <t>SERVIÇO DE INSTALAÇÃO CABOS AC</t>
  </si>
  <si>
    <t>SERVIÇO DESINSTALAÇÃO FONTE/SWAP</t>
  </si>
  <si>
    <t>DESINSTALAÇÃO E DESCARTE IRRADIANTE RF</t>
  </si>
  <si>
    <t>DESINSTALAÇÃO E DESCARTE BAST TDMA</t>
  </si>
  <si>
    <t>SERV INST.CERCA AREA NAO OCUP ALAMBRADO</t>
  </si>
  <si>
    <t>SERV INST.CERCA AREA NAO OCUP ARAME</t>
  </si>
  <si>
    <t>SERV INST.AMP 380/220VCA COMP REUSO / RT</t>
  </si>
  <si>
    <t>SERV INST.AMP 220/127VCA COMP REUSO / RT</t>
  </si>
  <si>
    <t>SERV INST.TRANSF TRI 75KVA EXT REDE 25KV</t>
  </si>
  <si>
    <t>SERV INST.TRANSF TRI 45KVA EXT REDE 25KV</t>
  </si>
  <si>
    <t>SERV INST.TRANSF TRI 30KVAEXT REDE 25KV</t>
  </si>
  <si>
    <t>SERV INST.TRANSF TRI 15KVA EXT REDE 25KV</t>
  </si>
  <si>
    <t>SERV INST.TRANSF MON 10KVA EXT REDE 25KV</t>
  </si>
  <si>
    <t>SERV INST.TRANSF BI 10KVA EXT REDE 25KV</t>
  </si>
  <si>
    <t>SERV INST.TRANSF TRI 75KVA EXT REDE 15KV</t>
  </si>
  <si>
    <t>SERV INST.TRANSF TRI 45KVA EXT REDE 15KV</t>
  </si>
  <si>
    <t>SERV INST.TRANSF TRI 30KVA EXT REDE 15KV</t>
  </si>
  <si>
    <t>SERV INST.TRANSF TRI 15KVA EXT REDE 15KV</t>
  </si>
  <si>
    <t>SERV INST. TRANSF MON 10KVAEXT REDE 15KV</t>
  </si>
  <si>
    <t>SERV INST. TRANSF BI 10KVA EXT REDE 15KV</t>
  </si>
  <si>
    <t>SERVIÇO EXT REDE BAIXA CONVENC TRI</t>
  </si>
  <si>
    <t>SERVIÇO EXT REDE BAIXA CONVENC MON</t>
  </si>
  <si>
    <t>SERVIÇO  EXT REDE BAIXA CONVENC BI</t>
  </si>
  <si>
    <t>SERVIÇO  EXT REDE BAIXA COMP TRI</t>
  </si>
  <si>
    <t>SERVIÇO EXT REDE BAIXA COMP MON</t>
  </si>
  <si>
    <t>SERVIÇO EXT REDE BAIXA COMP BI</t>
  </si>
  <si>
    <t>SERVIÇO  EXT REDE ALTA 25KV CONVENC MON</t>
  </si>
  <si>
    <t>SERVIÇO  EXT REDE ALTA 25KV CONVENC BI</t>
  </si>
  <si>
    <t>SERVIÇO EXT REDE ALTA 25KV COMP MON</t>
  </si>
  <si>
    <t>SERVIÇO EXT REDE ALTA 15KV CONVENC MON</t>
  </si>
  <si>
    <t>SERVIÇO EXT REDE ALTA 15KV CONVENC BI</t>
  </si>
  <si>
    <t>SERVIÇO EXT REDE ALTA 15KV COMP MON</t>
  </si>
  <si>
    <t>SERVIÇO EXT REDE ALTA 25KV CONVENC TRI</t>
  </si>
  <si>
    <t>SERVIÇO EXT REDE ALTA 25KV COMP TRI</t>
  </si>
  <si>
    <t>SERVIÇO EXT REDE ALTA 25KV COMP BI</t>
  </si>
  <si>
    <t>SERVIÇO EXT REDE ALTA 15KV CONVENC TRI</t>
  </si>
  <si>
    <t>SERVIÇO EXT REDE ALTA 15KV COMP TRI</t>
  </si>
  <si>
    <t>SERVIÇO  EXT REDE ALTA 15KV COMP BI</t>
  </si>
  <si>
    <t>SERVIÇO  EXT REDE EST DERIV CONVENC TRI</t>
  </si>
  <si>
    <t>SERVIÇO  EXT REDE EST DERIV CONVENC MON</t>
  </si>
  <si>
    <t>SERVIÇO EXT REDE EST DERIV CONVENC BI</t>
  </si>
  <si>
    <t>SERVIÇO EXT REDE EST DERIV COMP TRI</t>
  </si>
  <si>
    <t>SERVIÇO  EXT REDE EST DERIV COMP MON</t>
  </si>
  <si>
    <t>SERVIÇO  EXT REDE EST DERIV COMP BI</t>
  </si>
  <si>
    <t>SERV. INSTAL QCAB P/SITE ROOF TOP</t>
  </si>
  <si>
    <t>SERV. INSTAL PLATAFORMA METÁL. DE ACESSO</t>
  </si>
  <si>
    <t>SERV. INSTAL MASTRO METAL.P/ANTENAS</t>
  </si>
  <si>
    <t>SERVIÇO DE REFORÇO ESTRUTURAL CONCRETO</t>
  </si>
  <si>
    <t>SERVIÇO DE REFORÇO ESTRUTURAL AÇO</t>
  </si>
  <si>
    <t>SERVIÇO DE FUNDAÇAO  NOVA TUBULAO</t>
  </si>
  <si>
    <t>SERVIÇO DE REFORÇO FUND TUBULAO</t>
  </si>
  <si>
    <t>SERVIÇO ROMPEDOR PNEUM P/ SAPATA</t>
  </si>
  <si>
    <t>SERVIÇO DE FUNDAÇAO NOVA SAPATA</t>
  </si>
  <si>
    <t>SERVIÇO DE REFORÇO FUND SAPATA</t>
  </si>
  <si>
    <t>SERVIÇO ROMPEDOR ELET P/ RADIER</t>
  </si>
  <si>
    <t>SERVIÇO DE FUNDAÇAO  NOVA RADIER</t>
  </si>
  <si>
    <t>SERVIÇO DE REFORÇO FUNDAÇAO  RADIER</t>
  </si>
  <si>
    <t>SERVIÇO DE PERFURAÇAO  SOLO ESTACA RAIZ</t>
  </si>
  <si>
    <t>SERVIÇO DE PERFURAÇAO  ROCHA ESTACA RAIZ</t>
  </si>
  <si>
    <t>SERVIÇO DE MOBILIZAÇAO ESTACA RAIZ</t>
  </si>
  <si>
    <t>SERVIÇO DE FUNDAÇAO  NOVA ESTACA RAIZ</t>
  </si>
  <si>
    <t>SERVIÇO DE REFORÇO FUND ESTACA RAIZ</t>
  </si>
  <si>
    <t>SERVIÇO DE REFORÇO  POSTE METALICO</t>
  </si>
  <si>
    <t>SERVIÇO DE REFORÇO  MET POSTE CONCRETO</t>
  </si>
  <si>
    <t>SERVIÇO DE REFORÇO TORRE</t>
  </si>
  <si>
    <t>SERVIÇO VIA DE ACESSO</t>
  </si>
  <si>
    <t>SERVIÇO DE  ARRIMO E CONTENÇAO</t>
  </si>
  <si>
    <t>SERV DE ADIC LAUDO VERTICALIDADE</t>
  </si>
  <si>
    <t>SERV PROJETO P/ENCERRAM.DE SITE-DISTRATO</t>
  </si>
  <si>
    <t>SERV ESTUDO VIAB. ADICI. COMAR ESPECIAL</t>
  </si>
  <si>
    <t>SERV ESTUDO VIAB ADIC PLANO CONT AMB-PCA</t>
  </si>
  <si>
    <t>SERV ADIC PLANO CONT AMB - PCA</t>
  </si>
  <si>
    <t>SERV. ESTUDO ADIC REL IMPACTO AMB - RIMA</t>
  </si>
  <si>
    <t>SERV. ADICONAL REL IMPACTO AMB - RIMA</t>
  </si>
  <si>
    <t>SERV ESTUDO ADIC EST IMPACTO AMB - EIA</t>
  </si>
  <si>
    <t>SERV ESTUDO ADIC EST IMPACTO VIZINHANÇA</t>
  </si>
  <si>
    <t>SERV ADIC AUDIENCIA PUBLICA</t>
  </si>
  <si>
    <t>CONST SITE NOVO CONC TX NOVO</t>
  </si>
  <si>
    <t>CONST SITE NOVO CONC TX COMPARTILHADO</t>
  </si>
  <si>
    <t>CONST SITE NOVO GF COMPARTILHADO</t>
  </si>
  <si>
    <t>SERV. DE CONSTRUÇÃO SITE NOVO GF REUSO</t>
  </si>
  <si>
    <t>CONST SITE NOVO GF ACIMA 300M2 C/ ALAMB</t>
  </si>
  <si>
    <t>CONST SITE NOVO GF ACIMA 300M2 C/ MURO</t>
  </si>
  <si>
    <t>CONST SITE NOVO GF 150 A 300M2 C/ ALAMB</t>
  </si>
  <si>
    <t>CONST SITE NOVO GF 150 A 300M2 C/ MURO</t>
  </si>
  <si>
    <t>CONST SITE NOVO GF ATE 150M2 C/ ALAMB</t>
  </si>
  <si>
    <t>CONST SITE NOVO GF ATE 150M2 C/ MURO</t>
  </si>
  <si>
    <t>CONST SITE NOVO RT PREDIO ACIMA 15 PAV</t>
  </si>
  <si>
    <t>CONST SITE NOVO RT PREDIO ATE 15 PAV</t>
  </si>
  <si>
    <t>ENGENHARIA INSTALAÇÃO (POR FRAME DC)</t>
  </si>
  <si>
    <t>ENGENHARIA INST (BASTIDOR/GAVETA C7000)</t>
  </si>
  <si>
    <t>SERVIÇO-INSTALAÇAO LAN SWITCH APG</t>
  </si>
  <si>
    <t>SERV-CONFIG/INSTAL/ACEITAÇAO/TESTE-BSC</t>
  </si>
  <si>
    <t>SERVIÇO DE IMPLEMENTAÇÃO-SISTEMA DE RF</t>
  </si>
  <si>
    <t>SERV PROJETO E PLANEJAMENTO IP (UPG RNC)</t>
  </si>
  <si>
    <t>ADEQUAÇÃO DE SITE ROOFTOP</t>
  </si>
  <si>
    <t>ADEQUAÇÃO DE SITE GRENNFIELD</t>
  </si>
  <si>
    <t>SERV PLANEJAMENT REDE PROTOCOLO IP/FASE2</t>
  </si>
  <si>
    <t>SERVIÇO-PLANO DE IMPLEMENTAÇÃO NIP-FASE2</t>
  </si>
  <si>
    <t>SERV PROJETO E PLANEJAMENTO LLD-IP FASE2</t>
  </si>
  <si>
    <t>SERVIÇO DE  PLANEJAMENTO HLD -IP FASE2</t>
  </si>
  <si>
    <t>SERV. PASSAGEM DE CABO OPTICO 4 PARES</t>
  </si>
  <si>
    <t>SERV PASSAGEM CORDAO MONO 1PAR TELECOM</t>
  </si>
  <si>
    <t>SUPORTE TÉCNICO EM INFORMÁTICA UP SW</t>
  </si>
  <si>
    <t>WORKSHOP INTEGRAÇAO STARENT</t>
  </si>
  <si>
    <t>SERVIÇO INTEGRAÇAO EQTOS REDE-SI-SPCAS01</t>
  </si>
  <si>
    <t>SERVIÇO INTEGRAÇAO EQTOS REDE-SI-SPJAG01</t>
  </si>
  <si>
    <t>SERVIÇO INTEGRAÇAO EQTOS REDE-SI-RJMTE01</t>
  </si>
  <si>
    <t>SERVIÇO INTEGRAÇAO EQTOS REDE SI-RJMCK01</t>
  </si>
  <si>
    <t>SERVIÇO-INSTALAÇAO E CONFIGURAÇAO SUN</t>
  </si>
  <si>
    <t>SERVIÇO CONFIGURAÇAO PLATAFORMA GGSN</t>
  </si>
  <si>
    <t>SERVIÇO INSTALAÇAO PLATAFORMA GGSN</t>
  </si>
  <si>
    <t>SERVIÇO DE ENG. E INTEGRAÇÃO GGSN (CALA)</t>
  </si>
  <si>
    <t>SERVIÇO DE PROJ. UPDATE DE RADIO COMM</t>
  </si>
  <si>
    <t>SERVIÇO DE INSTALAÇAO DE EBBC</t>
  </si>
  <si>
    <t>SERVIÇO-INSTALAÇAO DE PLATAFORMA SMSC</t>
  </si>
  <si>
    <t>SERV MANUT E SUPORTE TECNICO EM EQUIP.</t>
  </si>
  <si>
    <t>SERV. INSTALAÇAO DE UPG RNC C/ GABINETE</t>
  </si>
  <si>
    <t>SERV. INSTALAÇAO DE UPG RNC C/ SUB RACK</t>
  </si>
  <si>
    <t>SERV. INSTALAÇAO DE RNC NOVA</t>
  </si>
  <si>
    <t>SERVIÇO DE MANUTENÇAO DE EXTINTORES</t>
  </si>
  <si>
    <t>SERVIÇO DE RECUPERAÇAO DE ALAMBRADO</t>
  </si>
  <si>
    <t>SERV-INSTAL. BTS SITE NOVO 3G MOD. 2(NO)</t>
  </si>
  <si>
    <t>SERVIÇO DE RELIGAÇAO DE FUSIVEL  AT</t>
  </si>
  <si>
    <t>SERV. CONSULTORIA/DESENVOLVIMENTO-IP RAN</t>
  </si>
  <si>
    <t>SERV-INSTAL. BBU3900 C/REMOÇAO BBU3806</t>
  </si>
  <si>
    <t>SERV. TESTE DE ACEITAÇAO EQUIPTO OSN7500</t>
  </si>
  <si>
    <t>SERV. TESTE DE ACEITAÇAO EQUIPTO OSN3500</t>
  </si>
  <si>
    <t>SERV. TESTE DE ACEITAÇAO EQUIPTO OSN2500</t>
  </si>
  <si>
    <t>SERVIÇO DE MANUTENÇÃO DE EQUIPTOS</t>
  </si>
  <si>
    <t>SERVIÇO DE CALIBRAÇAO DE EQUIPAMENTO</t>
  </si>
  <si>
    <t>SERVIÇO TECNICO EM INFORMATICA</t>
  </si>
  <si>
    <t>SERV ELABORA PROJ DE ENGENHARIA DE DADOS</t>
  </si>
  <si>
    <t>SERV-VERIFICAÇAO DE PERFORMANCE -ENERGIA</t>
  </si>
  <si>
    <t>SERV. REMOCAO/INST. ANTENA-NO/AC/RO/MT</t>
  </si>
  <si>
    <t>ANTE PROJETO ATERRAMENTO-NO/AC/RO/MT</t>
  </si>
  <si>
    <t>PROJETO ESTRUT. TORRE/FUND-NO/AC/RO/MT</t>
  </si>
  <si>
    <t>ANTE PROJETO TORRE/FUND-NO/AC/RO/MT</t>
  </si>
  <si>
    <t>PROJETO EXECUTIVO - NO/AC/RO/MT</t>
  </si>
  <si>
    <t>SERV PLANEJ. REDE BASE DADOS NO-AC-RO-MT</t>
  </si>
  <si>
    <t>SERV.ADEQUAÇAO SITES RT-NO/AC/RO/MT</t>
  </si>
  <si>
    <t>SERV.ADEQUAÇAO SITES GF-NO/AC/RO/MT</t>
  </si>
  <si>
    <t>SERV.REMOÇAO/INST ANTENA-SUL/SE/NE/GO/MS</t>
  </si>
  <si>
    <t>ANTE PROJ. ATERRAMENTO-SUL/SE/NE/GO/MS</t>
  </si>
  <si>
    <t>PROJ ESTRUT. TORRE/FUND-SUL/SE/NE/GO/MS</t>
  </si>
  <si>
    <t>ANTE PROJETO TORRE/FUND-SUL/SE/NE/GO/MS</t>
  </si>
  <si>
    <t>SERV.PROJETO EXECUTIVO-SUL/SE/NE/GO/MS</t>
  </si>
  <si>
    <t>SERV. PROJETO ENG ATUAL BASE DADOS</t>
  </si>
  <si>
    <t>SERV ADEQUAÇAO SITES RT-SUL/SE/NE/GO/MS</t>
  </si>
  <si>
    <t>SERV.ADEQUAÇAO SITES GF-SUL/SE/NE/GO/MS</t>
  </si>
  <si>
    <t>SERV EXECUÇAO DE INFRA - INSTALAÇAO FSME</t>
  </si>
  <si>
    <t>SERV INSTALAÇAO DO EQUIPAMENTO CORE2010</t>
  </si>
  <si>
    <t>SERV INSTAL/EXPANSAO TRX-NO/AC/RO/MT</t>
  </si>
  <si>
    <t>SERV INSTAL/EXPANSAO TRX-NE/GO/MS</t>
  </si>
  <si>
    <t>SERV-INSTAL. 2ªPORTADORA/TROCA DE BBU</t>
  </si>
  <si>
    <t>SERV-INSTALAÇAO/INFRA SITE 2G ROOFTOP</t>
  </si>
  <si>
    <t>SERV-INSTALAÇAO/INFRA SITE 2G GREENFIELD</t>
  </si>
  <si>
    <t>SERVIÇO DE ADEQUAÇAO DE PROJETO LOGICO</t>
  </si>
  <si>
    <t>SERVIÇO DE INTEGRAÇÃO DE TMS (SI)</t>
  </si>
  <si>
    <t>SERVIÇO DE INTEGRAÇAO DE SCE (SI)</t>
  </si>
  <si>
    <t>SERVIÇO DE INTEGRAÇAO PEAKFLOW (SI)</t>
  </si>
  <si>
    <t>SERVIÇO DE IMPLANTAÇÃO DE PROJETO</t>
  </si>
  <si>
    <t>SERVIÇO DE DETALHAMENTO DE PROJETO</t>
  </si>
  <si>
    <t>SERVIÇO DE CABEAMENTO WAN</t>
  </si>
  <si>
    <t>REPARO TIMESOURCE 3600</t>
  </si>
  <si>
    <t>SUPORTE NÍVEL II  GPS</t>
  </si>
  <si>
    <t>SUPORTE NÍVEIS II E III, TIMEPICTRA</t>
  </si>
  <si>
    <t>TREINAMENTO GPS</t>
  </si>
  <si>
    <t>TREINAMENTO TIME PICTRA</t>
  </si>
  <si>
    <t>IMPLEMENTAÇAO SINCRONISMO RS</t>
  </si>
  <si>
    <t>PLANEJAMENTO SINCRONISMO RS</t>
  </si>
  <si>
    <t>LEVANTAMENTO SINCRONISMO RS</t>
  </si>
  <si>
    <t>IMPLEMENTAÇAO SINCRONISMO NE</t>
  </si>
  <si>
    <t>PLANEJAMENTO SINCRONISMO NE</t>
  </si>
  <si>
    <t>LEVANTAMENTO SINCRONISMO NE</t>
  </si>
  <si>
    <t>IMPLEMENTAÇAO SINCRONISMO MG</t>
  </si>
  <si>
    <t>PLANEJAMENTO SINCRONISMO MG</t>
  </si>
  <si>
    <t>LEVANTAMENTO SINCRONISMO MG</t>
  </si>
  <si>
    <t>IMPLEMENTAÇAO SINCRONISMO RJ/ES</t>
  </si>
  <si>
    <t>PLANEJAMENTO SINCRONISMO RJ/ES</t>
  </si>
  <si>
    <t>LEVANTAMENTO SINCRONISMO RJ/ES</t>
  </si>
  <si>
    <t>IMPLEMENTAÇAO SINCRONISMO SP</t>
  </si>
  <si>
    <t>PLANEJAMENTO SINCRONISMO SP</t>
  </si>
  <si>
    <t>LEVANTAMENTO SINCRONISMO SP</t>
  </si>
  <si>
    <t>IMPLEMENTAÇAO SINCRONISMO NO</t>
  </si>
  <si>
    <t>PLANEJAMENTO SINCRONISMO NO</t>
  </si>
  <si>
    <t>TAMENTO SINCRONISMO NO</t>
  </si>
  <si>
    <t>IMPLEMENTAÇAO SINCRONISMO CO</t>
  </si>
  <si>
    <t>PLANEJAMENTO SINCRONISMO CO</t>
  </si>
  <si>
    <t>LEVANTAMENTO SINCRONISMO CO</t>
  </si>
  <si>
    <t>IMPLEMENTAÇAO SINCRONISMO PR/SC</t>
  </si>
  <si>
    <t>PLANEJAMENTO SINCRONISMO PR/SC</t>
  </si>
  <si>
    <t>LEVANTAMENTO SINCRONISMO PR/SC</t>
  </si>
  <si>
    <t>IMPLEMENTAÇAO SINCRONISMO BA/SE</t>
  </si>
  <si>
    <t>PLANEJAMENTO SINCRONISMO BA/SE</t>
  </si>
  <si>
    <t>LEVANTAMENTO SINCRONISMO BA/SE</t>
  </si>
  <si>
    <t>ACEITAÇAO (TAP E TAD)</t>
  </si>
  <si>
    <t>SERVIÇO DE INSTALAÇAO DE AR CONDICIONADO</t>
  </si>
  <si>
    <t>SERV. PLANEJAMENTO DE REDE CORE 2010</t>
  </si>
  <si>
    <t>SERV. GERENCIAMENTO PROJETO CORE 2010</t>
  </si>
  <si>
    <t>SERV PROJ E PLANEJAMENTO REDE-BALAN ROTA</t>
  </si>
  <si>
    <t>SERVIÇO DE IMPLEMENTAÇAO DE ROTA TX</t>
  </si>
  <si>
    <t>SERVIÇO DE REPARO DE FIBRA OPTICA</t>
  </si>
  <si>
    <t>SERVIÇO-REAPERTO DE ESTRUTURA VERTICAL</t>
  </si>
  <si>
    <t>SERV REFORÇO ESTRUT. LAJE RT-NO/AC/RO/MT</t>
  </si>
  <si>
    <t>SERV REFORÇO ESTRUT.FUNDAÇAO-NO/AC/RO/MT</t>
  </si>
  <si>
    <t>SERV REFORÇO TORRE-NO/AC/RO/MT</t>
  </si>
  <si>
    <t>SERV REFORÇO ESTRUTUR RT-SUL/SE/NE/GO/MS</t>
  </si>
  <si>
    <t>SERV REFOR ESTRUT.FUNDAÇ-SUL/SE/NE/GO/MS</t>
  </si>
  <si>
    <t>SERV. REFORÇO TORRE-SUL/SE/NE/GO/MS</t>
  </si>
  <si>
    <t>SERV INSTAL/EXPANSAO TRX-SUL/SE</t>
  </si>
  <si>
    <t>SERV INSTAL DE BTS EXPANSAO 2G/3G (NO)</t>
  </si>
  <si>
    <t>SERV INSTAL BTS SITE NOVO 3G MOD 1 (NO)</t>
  </si>
  <si>
    <t>SERV INSTAL BTS NOVA 2G (SEM ANT) -NE</t>
  </si>
  <si>
    <t>SERV INSTAL BTS NOVA 2G (SEM ANT) -NO</t>
  </si>
  <si>
    <t>SERV INST BTS NOVA 2G (COM ANT) -NO</t>
  </si>
  <si>
    <t>SERV INST BTS NOVA 2G (C/ANT)-(NE/CO/BA)</t>
  </si>
  <si>
    <t>SERV INST FSME+SEG. PORT(FEEDERLESS)</t>
  </si>
  <si>
    <t>SERV INSTAL EXP BSC3I ADICIONAL</t>
  </si>
  <si>
    <t>SERV INSTAL EXP BSC3I SEM GABINETE</t>
  </si>
  <si>
    <t>SERV INSTAL EXP BSC3I 1 GABINETE</t>
  </si>
  <si>
    <t>SERV INSTAL EQPTO(E-TRAU ATÉ 11.000 TCH)</t>
  </si>
  <si>
    <t>SERV INSTAL RD ACESSO EXP TCSM3I PLUGIN</t>
  </si>
  <si>
    <t>SERV INSTAL BSC3I 200 TRX, 75 OHM, DID I</t>
  </si>
  <si>
    <t>SERV INSTAL DSX SUBRACK (56 E1)-ADD</t>
  </si>
  <si>
    <t>SERV INSTAL DSX RACK (12SUBRAKS)-ADD</t>
  </si>
  <si>
    <t>SERV INSTAL EQPTO(EXP BSC3I )</t>
  </si>
  <si>
    <t>SERV INSTAL EQPTO (TCSM CONFIG INICIAL)</t>
  </si>
  <si>
    <t>SERV INSTAL EQPTO (BSC3I CONFIG INICIAL)</t>
  </si>
  <si>
    <t>SERV INSTAL NOVO GAB EXPTRX(B)-A-4 TPII</t>
  </si>
  <si>
    <t>SERV INST SITE NOVO - AREA 4 TII</t>
  </si>
  <si>
    <t>SERV INSTAL GAB C EXP TRX(B) AREA 4 TP I</t>
  </si>
  <si>
    <t>SERV INSTAL EQ (EXP E-TRAU/E-BSC 2-STM1)</t>
  </si>
  <si>
    <t>SERV INSTAL EQPTO (EXP E-TRAU 1000CH)</t>
  </si>
  <si>
    <t>SERV INSTAL EQPTO (EXP E-BSC 850 PDTS)</t>
  </si>
  <si>
    <t>SERV INSTAL DE EQP S. TELEC EBSC 2000TRX</t>
  </si>
  <si>
    <t>SERV INST BSC3I TRX75 - FC</t>
  </si>
  <si>
    <t>SERV INSTAL SIST TRANSMISSÃO/ACESSO TCSM</t>
  </si>
  <si>
    <t>SERV INSTAL BSC3i 800 trx, 75OHM</t>
  </si>
  <si>
    <t>SERV INSTAL BSC3i 600 trx-75OHM c/DID</t>
  </si>
  <si>
    <t>SERVIÇO DE CABEAMENTO LAN</t>
  </si>
  <si>
    <t>SERVIÇO DE UPGRADE/CONFIGURAÇAO-SOFTWARE</t>
  </si>
  <si>
    <t>SERVIÇO DE INSTALAÇAO DE MODULO TELEC.</t>
  </si>
  <si>
    <t>SERVIÇO DE GERENCIAMENTO DE DOCUMENTAÇAO</t>
  </si>
  <si>
    <t>SERV. GERENCIAMENTO PROJETO LOGICO-GGSN</t>
  </si>
  <si>
    <t>SERVIÇO DE CABEAMENTO-LOGICO E ELETRICO</t>
  </si>
  <si>
    <t>SERV INSTALAÇAO/INIC. EQUIP. INFORMATICA</t>
  </si>
  <si>
    <t>SERVIÇO DE ELABORAÇAO DE PROJETO LOGICO</t>
  </si>
  <si>
    <t>SERV. INSTAL. BTS 2G (S/ ANTENA) SUL/SE</t>
  </si>
  <si>
    <t>SERV. INSTAL. BTS 2G (C/ ANTENA) SUL/SE</t>
  </si>
  <si>
    <t>SERVIÇO DE MANUTENÇAO EQUIPTO GMG</t>
  </si>
  <si>
    <t>SERV AMPLIAÇÃO TCMS3I-48PCM-ACIMA 960CH</t>
  </si>
  <si>
    <t>SERV AMPLIAÇÃO TCMS3I-48PCM - ATÉ 960CH</t>
  </si>
  <si>
    <t>SERV INSTALAÇAO TCMS3I 960 CANAIS-48PCM</t>
  </si>
  <si>
    <t>SERV INSTALAÇAO TCMS3I 480PCM-FULL</t>
  </si>
  <si>
    <t>SERV INSTALAÇAO BSC3I PLUG IN UNIT</t>
  </si>
  <si>
    <t>SERV INSTALAÇAO BSC3I2000-75,800-FULL</t>
  </si>
  <si>
    <t>SERV INSTALAÇAO BSC3I1600-75 OHM,384PCM</t>
  </si>
  <si>
    <t>SERV INSTALAÇAO BSC3I1400-75 OHM,336PCM</t>
  </si>
  <si>
    <t>SERV INSTALAÇAO BSC3I1000TRX-75-240PCM</t>
  </si>
  <si>
    <t>SERV INSTALAÇAO PLACA TCU</t>
  </si>
  <si>
    <t>SERV INSTALAÇAO/COMISSIONAMENTO-TRAFFIC</t>
  </si>
  <si>
    <t>SERV INSTALAÇAO E COMISSIONAMENTO - RNC</t>
  </si>
  <si>
    <t>SERV INSTALAÇAO E COMISSIONAMENTO - OSS</t>
  </si>
  <si>
    <t>SERV INSTALAÇAO RNC</t>
  </si>
  <si>
    <t>SERV INSTALAÇAO BSC3I2000TRX,75OHM-C/DID</t>
  </si>
  <si>
    <t>SERV INSTALAÇAO BSC3I1800TRX,75OHM-C/DID</t>
  </si>
  <si>
    <t>SERV INSTALAÇAO BSC3I1200TRX,75OHM-C/DID</t>
  </si>
  <si>
    <t>SERV INSTALAÇAO BSC3I400TRX,75OHM-C/DID</t>
  </si>
  <si>
    <t>"SERV REMOÇÃO FLEXI EDGE BTS 3 SET 1/2""</t>
  </si>
  <si>
    <t>SERV INSTALAÇAO DE EQUIPAMENTO (BBU)</t>
  </si>
  <si>
    <t>SERV INSTAL RADIO SRT1F 6GHZ 4+1-ANT1,8M</t>
  </si>
  <si>
    <t>SERV INSTAL RADIO SRT1F 6GHZ 3+1-ANT1,8M</t>
  </si>
  <si>
    <t>SERV INSTAL RADIO SRT1F 6GHZ 2+1-ANT1,8M</t>
  </si>
  <si>
    <t>SERV INSTAL RADIO SRT1F6G 2X(2+0)ANT1,8M</t>
  </si>
  <si>
    <t>SERV INSTALAÇAO FLEXIME SRA41+1-&gt;3+1</t>
  </si>
  <si>
    <t>SERV INSTALAÇAO FLEXIME SRA43+0-&gt;4+0</t>
  </si>
  <si>
    <t>SERV INSTALAÇAO FLEXIME SRA42+1-&gt;3+1</t>
  </si>
  <si>
    <t>SERV INSTALAÇAO FLEXIM SRA41+1-&gt;2+1</t>
  </si>
  <si>
    <t>SERV INSTALAÇAO FLEXIMET SRA4 3+1ANT0,6M</t>
  </si>
  <si>
    <t>SERV INSTALAÇAO FLEXIMET SRA42+1-ANT0,6M</t>
  </si>
  <si>
    <t>SERV INSTALAÇAO FLEXIMET SRA41+1-ANT0,6M</t>
  </si>
  <si>
    <t>SERV INSTAL RADIO UPG FLEXHYB1+0 -&gt;1+1</t>
  </si>
  <si>
    <t>SERV INSTAL RADIO UPG FLEXHYB16E1-&gt;42E1</t>
  </si>
  <si>
    <t>SERV INSTAL RADIO UPG FLEXHYB16E1-&gt;32E1</t>
  </si>
  <si>
    <t>SERV INSTAL RADIO SRALXD16E1(1+0)ANT1,2M</t>
  </si>
  <si>
    <t>SERV INSTAL RADIO SRALXD 8E1(1+0)ANT1,2M</t>
  </si>
  <si>
    <t>SERV INSTAL RADIO SRAL XD16E11+1-ANT1,2M</t>
  </si>
  <si>
    <t>SERV INSTAL RADIO SRALXD 8E1(1+1)ANT1,2M</t>
  </si>
  <si>
    <t>SERV INSTAL RADIO FHYB 16E1(1+0)ANT1,2M</t>
  </si>
  <si>
    <t>SERV INSTAL RADIO FHYB 16E1(1+1)ANT1,2M</t>
  </si>
  <si>
    <t>SERV INSTAL RADIO 32E1-8/18GHZ1+1ADEQTOR</t>
  </si>
  <si>
    <t>SERV INSTAL RADIO 16E1-11(1+1)-ADEQTOR</t>
  </si>
  <si>
    <t>SERV INSTAL RADIO 16E1-7/8/18G1+1-ADTOR</t>
  </si>
  <si>
    <t>SERV INSTAL RADIO 18G1+0SB-PI/ND8E1-16E1</t>
  </si>
  <si>
    <t>SERV INSTAL RADIO SRAL1+0 PI ND/HD8/16E1</t>
  </si>
  <si>
    <t>SERV INSTALAÇAO CONVERSOR-CONECTOR SFP</t>
  </si>
  <si>
    <t>SERV. INSTAL ROTEADOR EM SIST. TELECOM</t>
  </si>
  <si>
    <t>SERV INSTALAÇAO ROTEADOR 7609</t>
  </si>
  <si>
    <t>SERV INSTALAÇAO ROTEADOR 7606</t>
  </si>
  <si>
    <t>SERV DE INSTALAÇÃO/ADEQUAÇÃO IP 450-2600</t>
  </si>
  <si>
    <t>SERV. DE INSTALAÇÃO/ADEQUAÇÃO IP RNC450</t>
  </si>
  <si>
    <t>SERV INSTALAÇAO BTS 2G-NE/CO/BA</t>
  </si>
  <si>
    <t>SERV DE INSTAL DE EQUIP DE TELEC.FSME SP</t>
  </si>
  <si>
    <t>SERV DE INSTAL DE EQUIP DE TELECOM. FSME</t>
  </si>
  <si>
    <t>SERV INSTAL SIST TRANSMISSÃO CARTÃO RNC</t>
  </si>
  <si>
    <t>"SERV INSTALAÇAO E TRANSP BAST19""RD/NOD</t>
  </si>
  <si>
    <t>SERV INSTALAÇAO E-BSC APPLICAT PROC</t>
  </si>
  <si>
    <t>SERV INSTALAÇAO E-BSC 32 LINKS E1</t>
  </si>
  <si>
    <t>SERV INSTALAÇAO BASTIDOR ELTEK</t>
  </si>
  <si>
    <t>SERV DE INSTAL EM SIST TELEC. SEG SYSTEM</t>
  </si>
  <si>
    <t>SERV INSTALAÇAO ANTENA-(ADIC ACIMA 1.8M)</t>
  </si>
  <si>
    <t>SERV INSTALAÇAO CATALYST2950 24PORTAS-DC</t>
  </si>
  <si>
    <t>SERV INSTALAÇAO MUX HIT 7070 7XFE</t>
  </si>
  <si>
    <t>SERV INSTAL MUX HIT 7070 8XSTM-1 7XFE</t>
  </si>
  <si>
    <t>SERV INSTAL MUX HIT 7060 1XGE 8XFE</t>
  </si>
  <si>
    <t>SERV INSTAL MUX HIT7060 2XSTM-1 1GE 8XFE</t>
  </si>
  <si>
    <t>SERV INSTAL MUX HIT7035 8XFE</t>
  </si>
  <si>
    <t>SERV INSTAL MUXHIT7035 63XE1 2XSTM-1 8XF</t>
  </si>
  <si>
    <t>SERV INSTALAÇAO RADIO SRT 1F 3 RF</t>
  </si>
  <si>
    <t>SERV INSTALAÇAO RADIO SRT 1F 2 RF</t>
  </si>
  <si>
    <t>SERV INSTALAÇAO RADIO SRT 1F 1 RF</t>
  </si>
  <si>
    <t>SERV INSTAL RADIO SRT1F 6GHZ 5+1-ANT1,8M</t>
  </si>
  <si>
    <t>SERVIÇO-IMPLEMENTAÇAO DE SONDA(PROBE)</t>
  </si>
  <si>
    <t>SERVIÇO - INTEGRAÇAO/TESTE/SUPORTE</t>
  </si>
  <si>
    <t>SERV. IMPLEMENTAÇAO DE LINKS GLR</t>
  </si>
  <si>
    <t>SERV. IMPLEMENTAÇAO DE LINKS IPN</t>
  </si>
  <si>
    <t>SERV-DESENVOLVIM./IMPLEMENTAÇAO-SW VIGIA</t>
  </si>
  <si>
    <t>SERV. INSTALAÇAO SOFTWARE BSC S12 - S13</t>
  </si>
  <si>
    <t>COMISS./INSTAL/ATIVA. SDH ST P/RADIO/MUX</t>
  </si>
  <si>
    <t>COMISSI./INSTAL. /ATIVA. SDH SPLIT P/MUX</t>
  </si>
  <si>
    <t>COMISSI./INSTAL/ATIVA. SDH SPLIT P/RADIO</t>
  </si>
  <si>
    <t>COMISSIONAMENTO /INSTAL. RADIO SDH SPLIT</t>
  </si>
  <si>
    <t>COMISSI./INSTAL./ ATIVA. SDH P/RADIO/MUX</t>
  </si>
  <si>
    <t>COMISSI. / INSTAL / ATIVAÇÃO SDH P/MUX</t>
  </si>
  <si>
    <t>COMISSI. / INSTAL / ATIVAÇÃO SDH P/RADIO</t>
  </si>
  <si>
    <t>COMISSIONAMENTO / INSTAL. RADIO SDH</t>
  </si>
  <si>
    <t>COMISSI./INSTAL./ ATIVA. PDH P/RADIO/MUX</t>
  </si>
  <si>
    <t>COMISSI. / INSTAL / ATIVAÇÃO PDH P/MUX</t>
  </si>
  <si>
    <t>COMISSI. / INSTAL / ATIVAÇÃO PDH P/RADIO</t>
  </si>
  <si>
    <t>COMISSIONAMENTO / INSTAL. RADIO PDH</t>
  </si>
  <si>
    <t>INSTAL.RADIO FHYB 32E1 (1+1) ANTENA 1,2m</t>
  </si>
  <si>
    <t>INSTAL/CONFIG/INTEGRAÇAO-PLATFORMA RTC</t>
  </si>
  <si>
    <t>SERVIÇO - GERENCIAMENTO DE SOLUÇAO SMS</t>
  </si>
  <si>
    <t>SERVIÇO DE IMPLEMENTAÇAO - CLUSTER</t>
  </si>
  <si>
    <t>SERV-DESENVOLVIMENTO/INTEGRAÇÃO-SW VIGIA</t>
  </si>
  <si>
    <t>SERV. ALINHAMENTO/ACEITAÇAO-PLATAFORMA</t>
  </si>
  <si>
    <t>SERVIÇO DE IMPLANTAÇAO APG</t>
  </si>
  <si>
    <t>SERVIÇO DE DIMENSIONAMENTO TECNICO</t>
  </si>
  <si>
    <t>SERV-VERIFICAÇAO DE PERFORMANCE MIGRAÇAO</t>
  </si>
  <si>
    <t>SERV-ADEQUAÇAO DE BALANCEAMENTO-ENERGIA</t>
  </si>
  <si>
    <t>SERVIÇO DE IMPLEMENTAÇAO DE SOFTWARE</t>
  </si>
  <si>
    <t>SERVIÇO DE MIGRAÇAO DE EQUIPAMENTOS</t>
  </si>
  <si>
    <t>SOFTWARE CHANNEL ELEMENT UP/DOWNLINK</t>
  </si>
  <si>
    <t>LICENÇA DE USO DE SOFTWARE</t>
  </si>
  <si>
    <t>SERVIÇO DE TRANSMISSAO RNC</t>
  </si>
  <si>
    <t>SOFTWARE - CENTRAL DE COMUTAÇAO</t>
  </si>
  <si>
    <t>SERV. EXECUÇAO GRADIL GABINETE ADICIONAL</t>
  </si>
  <si>
    <t>LICENÇA SW XENSERVER ENTERPRISE</t>
  </si>
  <si>
    <t>LICENÇA SW XENAPP PLATINUM</t>
  </si>
  <si>
    <t>LICENÇA SW NETSCALER MPX9500 ENTERPRISE</t>
  </si>
  <si>
    <t>SERVIÇO DE ATIVAÇAO DE SITE</t>
  </si>
  <si>
    <t>SERVIÇO DE CAPACITAÇAO PLATAFORMA CDR</t>
  </si>
  <si>
    <t>SERVIÇO DE PARAMETRIZAÇAO MODULO CDR</t>
  </si>
  <si>
    <t>SERVIÇO DE CONFIGURAÇAO DE CORE-RNC</t>
  </si>
  <si>
    <t>SERVIÇO DE ADAPTAÇAO DE RNC CORE</t>
  </si>
  <si>
    <t>LICENÇA DE SW RNC 675-1200MBPS</t>
  </si>
  <si>
    <t>SOFTWARE DE BACKUP EXADATA</t>
  </si>
  <si>
    <t>SOFTWARE PARTICIONAMENTO DISCOS EXADATA</t>
  </si>
  <si>
    <t>SOFTWARE CLUSTER EXADATA</t>
  </si>
  <si>
    <t>SOFTWARE. GERENC. BANCO DE DADOS EXADATA</t>
  </si>
  <si>
    <t>SOFTW. PLANEJAMENTO CAPACIDADE EXADATA</t>
  </si>
  <si>
    <t>SOFTWARE DE PERFORMANCE EXADATA</t>
  </si>
  <si>
    <t>SOFTWARE DIAGNOSTICO PROB. EXADATA</t>
  </si>
  <si>
    <t>SOFTWARE GERENCIAMENTO STORAGE EXADATA</t>
  </si>
  <si>
    <t>SERV. INSTAL/DOC.-RADIO/SISTEMA IRRAD.</t>
  </si>
  <si>
    <t>SOFTWARE DE CONTROLE DE ROAMING SG7</t>
  </si>
  <si>
    <t>LICENÇA DE SW-REDE WBS CHART PRO</t>
  </si>
  <si>
    <t>LICENÇA DE SOFTWARE-ANALISE DE VINCULOS</t>
  </si>
  <si>
    <t>LICENÇA DE SOFTWARE TEAM MATE</t>
  </si>
  <si>
    <t>SOFT. GERENCIAMENTO DE IDENTIDADE ORACLE</t>
  </si>
  <si>
    <t>SERVIÇO DE MONTAGEM DE TORRE</t>
  </si>
  <si>
    <t>SERVIÇO DE MONTAGEM DE POSTE</t>
  </si>
  <si>
    <t>SERVIÇO DE IMPLANTAÇAO DE SOFTWARE</t>
  </si>
  <si>
    <t>LICENÇA SW - PARTICIONAMENTO ORACLE</t>
  </si>
  <si>
    <t>SOFTWARE PARA MINERAÇAO DE DADOS-MINER</t>
  </si>
  <si>
    <t>SOFTW-APLICAÇAO DE TECNICAS ESTATISTICAS</t>
  </si>
  <si>
    <t>SW-SOLUÇAO ANALISE DE REDES SOCIAIS</t>
  </si>
  <si>
    <t>SOFTWARE MAP INFO PROF PORT CD</t>
  </si>
  <si>
    <t>SERV. INSTALAÇAO FLEXI BSC 192E1 120OHMS</t>
  </si>
  <si>
    <t>SERV. INSTALAÇAO FLEXI BSC 192E1 75OHMS</t>
  </si>
  <si>
    <t>SERVIÇO DE INSTALAÇÃO SOFTWARE BSC</t>
  </si>
  <si>
    <t>SOFTWARE DE RADIO COMMANDER RG10</t>
  </si>
  <si>
    <t>SOFTWARE OFFICE PROFESSIONAL 2007</t>
  </si>
  <si>
    <t>SOFTWARE IRONPORT</t>
  </si>
  <si>
    <t>LICENÇA DE SOFTWARE P/ SERVIDOR - 3PP</t>
  </si>
  <si>
    <t>SOFTWARE ADOBE ILLUSTRATOR</t>
  </si>
  <si>
    <t>SOFTWARE ADOBE PHOTOSHOP</t>
  </si>
  <si>
    <t>SOFTWARE DE DEPURAÇAO-TOTALVIEW DEBU</t>
  </si>
  <si>
    <t>SOFTWARE SORT UTILITY - SORTEIO DE DADOS</t>
  </si>
  <si>
    <t>LICENÇA SOFTWARE SETTLER</t>
  </si>
  <si>
    <t>LICENÇA SOFTWARE INTERMEDIATE</t>
  </si>
  <si>
    <t>LICENÇA SOFTWARE CIBERLINK POWER 8.3</t>
  </si>
  <si>
    <t>LICENÇA SOFTWARE AMDOCS MOBILE 4.5</t>
  </si>
  <si>
    <t>SOFTWARE SOLARIS  10 11/06</t>
  </si>
  <si>
    <t>SOFTWARE OPERACIONAL PARA PCS XG80</t>
  </si>
  <si>
    <t>SOFTWARE-FUNCIONALIDADE VIRTUAL VISION</t>
  </si>
  <si>
    <t>SOFTWARE HP UX 11i V.3 HP9000</t>
  </si>
  <si>
    <t>LICENÇA DE SOFTWARE THINK CELL CHART 5.1</t>
  </si>
  <si>
    <t>SOFTWARE DE CONTROLE REMOTO-SEM 300</t>
  </si>
  <si>
    <t>SOFTWARE DE REPLICAÇAO DE DADOS TF CLO</t>
  </si>
  <si>
    <t>SOFTWARE MANAGEMENT CONSOLE DELL</t>
  </si>
  <si>
    <t>SERV. LICENÇA USO SOFTWARE DE ATIV. IBM</t>
  </si>
  <si>
    <t>SOFTWARE ROXIO CREATOR DELL EDITION</t>
  </si>
  <si>
    <t>LICENÇA DE SOFTWARE ACISION 1455-2255FDA</t>
  </si>
  <si>
    <t>LICENÇA DE SOFTWARE ACISION 1695-2295MDA</t>
  </si>
  <si>
    <t>LICENÇA SOFTWARE (RTU) - EXPANSÃO CS 3.0</t>
  </si>
  <si>
    <t>SOFTWARE DE GRAVAÇAO - GRAVACOMM</t>
  </si>
  <si>
    <t>LICENCA DE SOFTWARE CS3.0 - 1,1&lt;BHCA&lt;1,2</t>
  </si>
  <si>
    <t>LICENÇA DE SOFTWARE MODELO  CS3.0 - BHCA</t>
  </si>
  <si>
    <t>LICENÇA DE SOFTWARE CITRIX</t>
  </si>
  <si>
    <t>LICENÇA-SOFTWARE ARRAY WIZARD-GSM/UMTS</t>
  </si>
  <si>
    <t>LICENÇA DE SOFTWARE ASSET PARA UMTS</t>
  </si>
  <si>
    <t>SOFTWARE CONFIG. RADIO 8,5GHZ (1+1)16E1</t>
  </si>
  <si>
    <t>SOFTWARE CONFIG. RADIO 8,5GHZ (1+0)16E1</t>
  </si>
  <si>
    <t>LICENÇA SOFTWARE AGGREGATOR 9500 MPR</t>
  </si>
  <si>
    <t>SOFTWARE AGREGADOR 9500 MPR 1.1- 7,5/8,5</t>
  </si>
  <si>
    <t>LICENÇA DE SOFTWARE POR ELEMENTO OSN2</t>
  </si>
  <si>
    <t>LICENÇA DE SOFTWARE POR ELEMENTO OSN3</t>
  </si>
  <si>
    <t>LICENÇA DE SOFTWARE POR ELEMENTO OSN75</t>
  </si>
  <si>
    <t>SOFTWARE OSN 7500 V100R007 SSTS0VBSWF0</t>
  </si>
  <si>
    <t>SOFTWARE OSN 3500 V100R007 SSNS0VBSWF</t>
  </si>
  <si>
    <t>SOFTWARE OSN 2500 V100R007 SSQS0VBSWF0</t>
  </si>
  <si>
    <t>LICENÇA DE SOFTWARE SAR RELEASE 1.1 OS</t>
  </si>
  <si>
    <t>PACOTE DE FUNCIONALIDADES DE SOFTWARE</t>
  </si>
  <si>
    <t>LICENÇA DE SOFTWARE  BSS - R12</t>
  </si>
  <si>
    <t>LICENÇA DE SOFTWARE OPCIONAL-BSCSWR6A</t>
  </si>
  <si>
    <t>SOFTWARE BASICO DE  OSS RC 4.1- RAN</t>
  </si>
  <si>
    <t>SOFTWARE DE APLICATIVOS PACKAGE-PER TRX</t>
  </si>
  <si>
    <t>BSC00089 - SOFTW. UNID. CONTR. BSC3I 200</t>
  </si>
  <si>
    <t>RNC314310-SOFTWARE RNC BASICO RNC150</t>
  </si>
  <si>
    <t>BSC00088- SOFTW. UNID. CONTR. BSC3I 200</t>
  </si>
  <si>
    <t>SOFTW  MGW U3C</t>
  </si>
  <si>
    <t>SOFTWARE FW CHECKPOINT - DIAMOND2 LEVEL</t>
  </si>
  <si>
    <t>SOFTWARE FW CHECKPOINT - ACCESS PLUS</t>
  </si>
  <si>
    <t>SOFTWARE FW CHECKPOINT - SUBSCRIPTION L</t>
  </si>
  <si>
    <t>SOFTWARE DE INSTALAÇAO DELL WEBCAN 1.4</t>
  </si>
  <si>
    <t>FAL10442366 - SOFTWARE  RAU 2 N15</t>
  </si>
  <si>
    <t>LICENÇA DE SOFTWARE ODU - 80m</t>
  </si>
  <si>
    <t>SOFTW DE FUNCIONALIDADE OSS</t>
  </si>
  <si>
    <t>SOFTWARE INTRINSECO EVOLUTION METRO</t>
  </si>
  <si>
    <t>SOFTW LICENCA P/ UMA RAU 7 GHZ  (RAU 1 N</t>
  </si>
  <si>
    <t>SOFTW ML BAS ADAP ELEM REDE PARA ML</t>
  </si>
  <si>
    <t>SOFTW DE USO P/ UMA MMU 2X2-34+2</t>
  </si>
  <si>
    <t>LICENÇA SOFT. AUMENTO CAPAC. 6800GTT</t>
  </si>
  <si>
    <t>LIC SOTF-AUMENTO CAPACIDADE 3125 P 6800</t>
  </si>
  <si>
    <t>CHAVE ACESSO FEATURE 6800 TPS E5-SM4G</t>
  </si>
  <si>
    <t>LICENÇA SOFT. - EAGLE - SUPORTE A BICC</t>
  </si>
  <si>
    <t>LIC SOFT. - EAGLE-MULTIPLOS LINKSET PC</t>
  </si>
  <si>
    <t>LICENÇA SOFT - IAS - PROTOCOLO BICC</t>
  </si>
  <si>
    <t>LICENÇA SOFT.-IAS - PROTOCOLO INAP ETSI</t>
  </si>
  <si>
    <t>LICENÇA SOFT. PROPERF NSP</t>
  </si>
  <si>
    <t>LICENÇA COL-UP-TRAFSLA5-D250-D750-F1440</t>
  </si>
  <si>
    <t>LICENÇA SW COL-TRAFSLA5 PARA COLETOR</t>
  </si>
  <si>
    <t>LICENÇA IAS - TRÁFEGO NSP POR MBITS/S</t>
  </si>
  <si>
    <t>LICENCA IAS - APLIC PROTRAQ POR MBITS/S</t>
  </si>
  <si>
    <t>LICENCA IAS - APLIC PROTRACE NSP POR MBI</t>
  </si>
  <si>
    <t>LICENÇA IAS - ESTATiSTICAS SCTP IP</t>
  </si>
  <si>
    <t>LICENÇA IAS - SUDR 6.2.0 - PROTOCOLO M2P</t>
  </si>
  <si>
    <t>LICENÇA IAS - SUDR NAO REL CHAM - PROT M</t>
  </si>
  <si>
    <t>LICENÇA IAS - ESTATÍSTICAS M3UA</t>
  </si>
  <si>
    <t>LICENÇA IAS - ESTATÍSTICAS M2PA</t>
  </si>
  <si>
    <t>LICENÇA IAS XB - PROTOCOLO ISUP</t>
  </si>
  <si>
    <t>LICENÇA IAS - PROTOCOLO MAP ETSI</t>
  </si>
  <si>
    <t>SOFTWARE DISPOSITIVO ARMAZENAMENTO BASE</t>
  </si>
  <si>
    <t>SOFTWARE DISPOSITIVO ARMAZENAMENTO PDU</t>
  </si>
  <si>
    <t>SOFTWARE DISPOSITIVO ARMAZENAMENTO XDR</t>
  </si>
  <si>
    <t>LICENÇA DE USO SOFTWARE PMF BASE</t>
  </si>
  <si>
    <t>LICENÇA DE USO SOFTWARE PMF POR MBITS/S</t>
  </si>
  <si>
    <t>LICENÇA IPSG  POR PLACA E5-ENET</t>
  </si>
  <si>
    <t>SW.-RECUPERAÇAO DE DADOS INICIAL BIBLIOT</t>
  </si>
  <si>
    <t>SW.-RECUPERAÇAO DE DADOS EXPRESS BIBLIOT</t>
  </si>
  <si>
    <t>SW.-RECUPERAÇAO DE DADOS INICIAL CLIENT</t>
  </si>
  <si>
    <t>SW.-RECUPERAÇAO DE DADOS EXPRESS CLIENT</t>
  </si>
  <si>
    <t>LICENÇA AUTOMATOS AIM -GESTAO DE ATIVOS</t>
  </si>
  <si>
    <t>LICENÇA-SEGURANÇA ANTI-VIRUS TRENDMICRO</t>
  </si>
  <si>
    <t>LICENÇA WINDOWS SERVER ENTERPRISE ALNG</t>
  </si>
  <si>
    <t>LICENÇA CORE CALALNG ALNG</t>
  </si>
  <si>
    <t>LICENÇA OFFICE STANDARD ALNG</t>
  </si>
  <si>
    <t>LICENÇA OFFICE PROFESSIONAL PLUS ALNG</t>
  </si>
  <si>
    <t>LICENÇA DE SOFTWARE IVAS</t>
  </si>
  <si>
    <t>SERV. CUSTOMIZAÇAO DE EQUIPAMENTOS</t>
  </si>
  <si>
    <t>SOFTWARE APLICATIVO PCRF</t>
  </si>
  <si>
    <t>SERV. CUSTOMIZAÇAO P/GERAÇAO DE RELATORI</t>
  </si>
  <si>
    <t>SW.-RECUPERAÇAO DE DADOS INICIAL SERVIDO</t>
  </si>
  <si>
    <t>SW.-RECUPERAÇAO DE DADOS EXPRESS SERVIDO</t>
  </si>
  <si>
    <t>SW.-RECUPERAÇAO DE DADOS INICIAL EMPRESA</t>
  </si>
  <si>
    <t>SW.-RECUPERAÇAO DE DADOS EXPRESS EMPRESA</t>
  </si>
  <si>
    <t>LICENÇA SW INSIGHT CTL HP</t>
  </si>
  <si>
    <t>MIDIA DE SW OV DATA PROT CELL MANAGER HP</t>
  </si>
  <si>
    <t>LICENÇA SW DE MANAGER MANAGERS HP</t>
  </si>
  <si>
    <t>LICENÇA DE SW WIN/NETWARE/LINUX HP</t>
  </si>
  <si>
    <t>LICENÇA DE SW TRAFSLA5</t>
  </si>
  <si>
    <t>LICENÇA DE SOFTWARE SNAPSHOT MD32X0</t>
  </si>
  <si>
    <t>SERV PROJ DE GERAÇAO DE SCRIPT CORE 2011</t>
  </si>
  <si>
    <t>SERVIÇO DE TREINAMENTO MSS SR3.3</t>
  </si>
  <si>
    <t>SERVIÇO DE TREINAMENTO MSS SR3.1</t>
  </si>
  <si>
    <t>SERVIÇO DE TREINAMENTO SCNSIG</t>
  </si>
  <si>
    <t>SERVIÇO DE TREINAMENTO SCNITG</t>
  </si>
  <si>
    <t>SERVIÇO DE TREINAMENTO SCNOM</t>
  </si>
  <si>
    <t>SERVIÇO DE TREINAMENTO SWITCHING PLAT</t>
  </si>
  <si>
    <t>CRIAÇAO DE ROTA ISDN EM MGW</t>
  </si>
  <si>
    <t>CRIAÇAO DE ROTA SIP EM MSS</t>
  </si>
  <si>
    <t>SERVIÇO DE UPDATE DE SW CORE 2011</t>
  </si>
  <si>
    <t>SERV IMP BALANC DE ROTA 200 JUMPERS</t>
  </si>
  <si>
    <t>CONFIG ATIVAÇÃO DE SOFTWARE NETACT</t>
  </si>
  <si>
    <t>SERV DE UPDATE DE SW NOVOS ELEMENTOS</t>
  </si>
  <si>
    <t>CONFIG ATIVAÇÃO DE SOFTWARE MSS</t>
  </si>
  <si>
    <t>SERV PROJETO E PLANEJAM DE CARACT. SMSC</t>
  </si>
  <si>
    <t>ATIVAÇAO DE SW FEATURE ISDN EM MGW</t>
  </si>
  <si>
    <t>ATIVAÇAO DE SW FEATURE ISDN EM MSS</t>
  </si>
  <si>
    <t>ATIVAÇAO SW FEATURE G.729 (SIP) EM MGW</t>
  </si>
  <si>
    <t>ATIVAÇAO SW FEATURE G.729 (SIP) EM MSS</t>
  </si>
  <si>
    <t>ATIVAÇAO DE SW FEATURE SMSC</t>
  </si>
  <si>
    <t>ATIV SW FEATURE VIRTUAL CIRCUITS SUP SIP</t>
  </si>
  <si>
    <t>SERV INSTALAÇAO DO EQUIPAMENTO CORE2011</t>
  </si>
  <si>
    <t>SERV PROJ PLANEJAMENTO  REDE CORE2011 CM</t>
  </si>
  <si>
    <t>SERV INSTALAÇAO EQUIPAMENTO CORE2011 CMN</t>
  </si>
  <si>
    <t>SERV DE PLANEJAMENTO DE REDE CORE2011</t>
  </si>
  <si>
    <t>SERV DE GERENCIA DE PROJETO CORE2011</t>
  </si>
  <si>
    <t>Metro1000 - LICENÇA DE USO DE SOFTWARE</t>
  </si>
  <si>
    <t>SERV 01.05.01</t>
  </si>
  <si>
    <t>OSN1800 - LICENÇA DE USO DE SOFTWARE</t>
  </si>
  <si>
    <t>SOFTWARE BASICO METRO1000</t>
  </si>
  <si>
    <t>SERVIÇO DE ROUTE DATA E DESIGN DWDM</t>
  </si>
  <si>
    <t>SERVIÇO EXTRA DE IMPLANTAÇAO 2G</t>
  </si>
  <si>
    <t>LICENÇA DE SOFTWARE SURICATO CONTROLADOR</t>
  </si>
  <si>
    <t>SOFTW AG CONTROL-M/FORECAST ENTERPRISE 2</t>
  </si>
  <si>
    <t>SOFTW AG CONTROL-M/FORECAST ENTERPRISE 1</t>
  </si>
  <si>
    <t>SOFT AG CONTROL-M/FORECAST DEPARTAMENTAL</t>
  </si>
  <si>
    <t>LICENÇA SW HP RED HAT ULTD SKT</t>
  </si>
  <si>
    <t>LICENÇA SW HP RED HAT ENTERPRISE LINUX</t>
  </si>
  <si>
    <t>LICENÇA SW OV OMNIBACK HP</t>
  </si>
  <si>
    <t>SOFTWARE FUSION CHARTS ENTERPRISE</t>
  </si>
  <si>
    <t>LICENÇA DE SOFTWARE CISCO AR5.0 - 200TPS</t>
  </si>
  <si>
    <t>LICENÇA DE SOFTWARE CISCO AR5.0 - 100TPS</t>
  </si>
  <si>
    <t>SERVIÇO TECNICO-INTEGRAÇAO EQUIPAMENTOS</t>
  </si>
  <si>
    <t>LIC. SOFTWARE OMA-DM FOTA SMARTTRUST</t>
  </si>
  <si>
    <t>LIC. SOFTW.OMA-DM SMARMANAGE SMARTTRUST</t>
  </si>
  <si>
    <t>LIC. SOFTW.OMA-DM SECURITY SMARTTRUST</t>
  </si>
  <si>
    <t>LIC.SOFTW. OMA-DM DIAGNOSTICS SMARTRUST</t>
  </si>
  <si>
    <t>LIC. SOFTWARE OMA-DM SMARTTRUST</t>
  </si>
  <si>
    <t>LIC.SOFTWARE BAS. SMARTMANAGE SMARTTRUST</t>
  </si>
  <si>
    <t>LIC SOFTWARE SP- CLIENT PROV.SMASRTTRUST</t>
  </si>
  <si>
    <t>LIC.SOFTWARE BASICA ST SMARTPROVISIONING</t>
  </si>
  <si>
    <t>LIC. SOFTWARE VERITAS  HA TIER G SYMANTE</t>
  </si>
  <si>
    <t>LIC. SOFTWARE VERITAS HA TIER E SYMANTEC</t>
  </si>
  <si>
    <t>ANALISE/DESEN -MPLANTAÇAO MODULO PLATAF.</t>
  </si>
  <si>
    <t>LICENÇA-SOFTWARE ULTRA EDIT STANDARD IDM</t>
  </si>
  <si>
    <t>SISTEMA OPERACIONAL AIX PARA SERVIDOR</t>
  </si>
  <si>
    <t>LICENÇA DE SOFTWARE ETHERNET SINCRONICO</t>
  </si>
  <si>
    <t>LIC.-FUNCIONALIDADE DISCOVERY REDE OSX</t>
  </si>
  <si>
    <t>SERVIVO DE  INSTALAÇAO/ATIVAÇAO NETACT</t>
  </si>
  <si>
    <t>LICENÇA SOFTWARE OSN 500  NE (NMS)</t>
  </si>
  <si>
    <t>SOFTWARE BASICO OSN 500 POR SUBRACK</t>
  </si>
  <si>
    <t>SERVIÇO DE INSTALAÇÃO COMPLETA BBU3900</t>
  </si>
  <si>
    <t>LICENÇA DE SOFTWARE SRM-BMC REMEDY</t>
  </si>
  <si>
    <t>SERVIÇO DE ATUALIZAÇAO DE BASE DE DADOS</t>
  </si>
  <si>
    <t>SERVIÇO DE IMPLEMENTAÇAO DE SMS</t>
  </si>
  <si>
    <t>SOFTWARE HP-GERENC. TI MC/SERVICEGUARD</t>
  </si>
  <si>
    <t>LICENÇA DE SOFTWARE ERICSSON CS 1,4 BHCA</t>
  </si>
  <si>
    <t>LICENÇA DE SOFTWARE ERICSSON CS 2,0 BHCA</t>
  </si>
  <si>
    <t>LICENÇA DE SOFTWARE ERICSSON CS 1,8 BHCA</t>
  </si>
  <si>
    <t>LICENÇA DE SOFTWARE ERICSSON CS 1,7 BHCA</t>
  </si>
  <si>
    <t>LICENÇA DE SOFTWARE ERICSSON CS 1,6 BHCA</t>
  </si>
  <si>
    <t>SOFTWARE 3PP PARA SERVIDOR DE RECARGA</t>
  </si>
  <si>
    <t>LICENÇA DE GERENCIAMENTO NETACT</t>
  </si>
  <si>
    <t>LICENÇA DE SOTWARE PARA DADOS</t>
  </si>
  <si>
    <t>SOFTWARE DE ATIVAÇAO DE CTF</t>
  </si>
  <si>
    <t>SOFTWARE DE ATIVAÇAO DE  P2K</t>
  </si>
  <si>
    <t>SOFTWARE NETACT OSS 5.2</t>
  </si>
  <si>
    <t>SEV. INTEGRAÇAO E ADEQUAÇAO DE SISTEMAS</t>
  </si>
  <si>
    <t>TESTE ACEITAÇAO FINAL EQUITO SDH-METRO</t>
  </si>
  <si>
    <t>SERV.ACEITAÇAO FINAL EQUIPTO SDH-OSN2500</t>
  </si>
  <si>
    <t>SERV. TESTE DE ACEITAÇAO FINAL OSN1800</t>
  </si>
  <si>
    <t>LICENÇA SOFTWARE TRX -BASICO / ADICIONAL</t>
  </si>
  <si>
    <t>LICENÇA SOFTW. APLICAÇA BASICA POR TRX</t>
  </si>
  <si>
    <t>SW FUNCIONALIDADE  BR8 ATE 45000 TRX</t>
  </si>
  <si>
    <t>SW  PACOTE BASICO DE FEATURES</t>
  </si>
  <si>
    <t>SOFTW-FLEX CARRIER UNIT BANCO DE RADIOS</t>
  </si>
  <si>
    <t>EDGE SOFTWARE (POR TRX) - AMPLIACAO TRX</t>
  </si>
  <si>
    <t>SOFTWARE EDGE</t>
  </si>
  <si>
    <t>LICENÇA DE SOFTWARE BASICO BR9</t>
  </si>
  <si>
    <t>SW-PLATAF. FLEXI EDGE 3+3+3-STACK BBU 4H</t>
  </si>
  <si>
    <t>BSC00088- SOFTW. UNID. CONTR. BSC3I 2000</t>
  </si>
  <si>
    <t>SOFTWARE DE EXPANSAO DE E1</t>
  </si>
  <si>
    <t>SW DE FUNCIONALIDADE OSS</t>
  </si>
  <si>
    <t>SW FUNCIONALIDADE HSPA-BASICA/ADICIONAL</t>
  </si>
  <si>
    <t>SW FUNCIONALIDADE DL - R99 NODE BS e RNC</t>
  </si>
  <si>
    <t>SW FUNCIONALIDADE UL - R99 NODE BS e RNC</t>
  </si>
  <si>
    <t>SINCRONISMO DE FREQUENCIA NTP SOBRE IP</t>
  </si>
  <si>
    <t>PACOTE DE SW BSC - R9A E 10A/B</t>
  </si>
  <si>
    <t>LICENÇA DE SOFTWARE ENHANCED LAYER 2</t>
  </si>
  <si>
    <t>LICENÇA DE SOFTWARE RNC 3820 2GBPS</t>
  </si>
  <si>
    <t>LICENÇA DE CAPACIDADE-UPLINK RBS6000</t>
  </si>
  <si>
    <t>LICENÇA DE CAPACIDADE-DOWNLINK RBS600</t>
  </si>
  <si>
    <t>LICENÇA DE CAPACIDADE HSDPA -DOWNLINK</t>
  </si>
  <si>
    <t>SOFTWARE FUNCIONALIDADES HSDPA MBR QoS</t>
  </si>
  <si>
    <t>KIT DE MIDIA WIN FIOL</t>
  </si>
  <si>
    <t>LICENÇA DE SOFTWARE -  BSC 7&amp;8A/B</t>
  </si>
  <si>
    <t>LICENÇA DE SOFTWARE WIN FIOL SINGLE</t>
  </si>
  <si>
    <t>LICENÇA DE USO DE SW - HSDPA DOWNLINK</t>
  </si>
  <si>
    <t>LICENÇA DE USO DE SW - DOWNLINK</t>
  </si>
  <si>
    <t>LICENÇA DE USO DE SW. - UPLINK</t>
  </si>
  <si>
    <t>SOFTWARE DE FUNCIONALIDADES OSS</t>
  </si>
  <si>
    <t>SW. DE FUNCIONALIDADES HSPA45 BAS &amp; ADD</t>
  </si>
  <si>
    <t>SOFTWARE DE FUNCIONALIDADES R99</t>
  </si>
  <si>
    <t>LICENÇA DE SOFTWARE EXTREMEXOS CORE</t>
  </si>
  <si>
    <t>LICENÇA DE SOFTWARE PARA 1TRX</t>
  </si>
  <si>
    <t>LICENÇA DE ATIVAÇAO DE BSC - 1TRX</t>
  </si>
  <si>
    <t>LICENÇA SW-GERENCIAMENTO DE CONEXAO APN</t>
  </si>
  <si>
    <t>SODTWARE RNC BASICO RNC150</t>
  </si>
  <si>
    <t>SW. SIST. OPERACIONAL RNC585 P/ RNC1170</t>
  </si>
  <si>
    <t>SOFTWARE DE FUNCIONALIDADE OSS-W0461</t>
  </si>
  <si>
    <t>SOFTWARE EBSC 2000TRX - 8STM1</t>
  </si>
  <si>
    <t>SOFTWARE EBSC 1500TRX - 6STM1</t>
  </si>
  <si>
    <t>SOFTWARE EBSC 1000TRX - 4STM1</t>
  </si>
  <si>
    <t>SOFTWARE EBSC 500TRX - 25STM1</t>
  </si>
  <si>
    <t>SOFTWARE UNID. CONTROLE BSC3I 1600</t>
  </si>
  <si>
    <t>SOFTWARE UNID. CONTROLE BSC3I 1400</t>
  </si>
  <si>
    <t>SOFTWARE UNID. CONTROLE BSC3I 1200</t>
  </si>
  <si>
    <t>SOFTWARE UNID. CONTROLE BSC3I 1000</t>
  </si>
  <si>
    <t>SOFTWARE UNID. CONTROLE BSC3I 800</t>
  </si>
  <si>
    <t>SOFTWARE UNID. CONTROLE BSC3I 200</t>
  </si>
  <si>
    <t>SERV INSTAL DE 8 RABICHOS ÓPTICOS</t>
  </si>
  <si>
    <t>SERV INSTAL DE 10 RABICHOS 120 OHMS</t>
  </si>
  <si>
    <t>SERV INSTAL DE 10 RABICHOS 75 OHMS</t>
  </si>
  <si>
    <t>SERV INSTAL. E BASTIDOR 19 POL PARA DIO</t>
  </si>
  <si>
    <t>BSC00088- SOFTW. UNID. CONTR. BSC3I 600</t>
  </si>
  <si>
    <t>BSC00088- SOFTW. UNID. CONTR. BSC3I 1800</t>
  </si>
  <si>
    <t>BSC00088 - SOFTW. UNID. CONTR. BSC3I 400</t>
  </si>
  <si>
    <t>SW-PLATAF. FLEXI EDGE 4+4+4-STACK BBU 4H</t>
  </si>
  <si>
    <t>SW-PLATAF. FLEXI EDGE 2+2+2-STACK BBU 4H</t>
  </si>
  <si>
    <t>SW EXPANSÃO DE RNC DE 195 MBPS/585 MBPS</t>
  </si>
  <si>
    <t>RNC3161 - SW. PCT. FUNCIONALIDADES-HSPA</t>
  </si>
  <si>
    <t>LICENÇA SW-ATIVAÇAO UPM850 PDTCH P/eBSC</t>
  </si>
  <si>
    <t>SW FUNCIONALIDADE  BR8 ATE 55000 TRX</t>
  </si>
  <si>
    <t>SW FUNCIONALIDADE  BR8 ATE 50000 TRX</t>
  </si>
  <si>
    <t>SW FUNCIONALIDADE  BR8 ATE 40000 TRX</t>
  </si>
  <si>
    <t>SW FUNCIONALIDADE  BR8 ATE 35000 TRX</t>
  </si>
  <si>
    <t>SW FUNCIONALIDADE  BR8 ATE 30000 TRX</t>
  </si>
  <si>
    <t>SW FUNCIONALIDADE  BR8 ATE 25000 TRX</t>
  </si>
  <si>
    <t>SW FUNCIONALIDADE  BR8 ATE 20000 TRX</t>
  </si>
  <si>
    <t>SW FUNCIONALIDADE  BR8 ATE 15000 TRX</t>
  </si>
  <si>
    <t>SW FUNCIONALIDADE  BR8 ATE 10000 TRX</t>
  </si>
  <si>
    <t>SW FUNCIONALIDADE  BR8 ATE 5000 TRX</t>
  </si>
  <si>
    <t>SOFTWARE PCU2</t>
  </si>
  <si>
    <t>EXPANSAO DE 110TRX SW PCU 2</t>
  </si>
  <si>
    <t>SERV INST ADIC 10M ESPELHAM DIO 24 FIBRA</t>
  </si>
  <si>
    <t>SERV INST DE ESPELHAM DIO 24 FIBRAS 30M</t>
  </si>
  <si>
    <t>SERV INST ADIC 10M ESPELHAM DSX 120 56E1</t>
  </si>
  <si>
    <t>SERV INST DE ESPELHAM DSX 120 56E1 30M</t>
  </si>
  <si>
    <t>SERV INST ADIC 10M ESPELHAM DSX 120 64E1</t>
  </si>
  <si>
    <t>SERV INST DE ESPELHAM DSX 120 64E1 30M</t>
  </si>
  <si>
    <t>SERV INST ADIC 10M ESPELHAM DID 75OHM 64</t>
  </si>
  <si>
    <t>SERV INST DE ESPELHAM DID 75OHM 64E1 30M</t>
  </si>
  <si>
    <t>LICENÇA DE SOFTWARE-GERENCIAMENTO BLADE</t>
  </si>
  <si>
    <t>SOFTWARE HP-UX 11i V3 VSE-OE</t>
  </si>
  <si>
    <t>LICENÇA DE SOFTWARE POR FE/GB</t>
  </si>
  <si>
    <t>LICENÇA DE SOFTWARE HIT POR STM1</t>
  </si>
  <si>
    <t>SOFTWARE DE ATIVAÇAO ACM</t>
  </si>
  <si>
    <t>SOFTWARE DE UPGRADE 100M para 155M</t>
  </si>
  <si>
    <t>SW ATIVAÇAO-EXPANSAO DE CAPACIDADE 16E1</t>
  </si>
  <si>
    <t>SW-ATIVAÇAO RADIO 16X2/34 MB/S (1+0) ND</t>
  </si>
  <si>
    <t>LICENÇA DE SOFTWARE CONEXAO FLEXIHYBRID</t>
  </si>
  <si>
    <t>SOFTWARE NETVIEWER 9.7</t>
  </si>
  <si>
    <t>LICENÇA DE SW BUSINESS COPY EVA6400</t>
  </si>
  <si>
    <t>LICENÇA DE SW HP-COMMANDVIEW EVA6400</t>
  </si>
  <si>
    <t>SOFTWARE COMMANDVIEW EVA</t>
  </si>
  <si>
    <t>LICENÇA DE SW-MIGRAÇAO DE DADOS EVA</t>
  </si>
  <si>
    <t>SERVIÇO DE SUPORTE EM EQUIPAMENTOS</t>
  </si>
  <si>
    <t>SOFTWARE DE PROGRAMAÇAO ELETRONICA STF</t>
  </si>
  <si>
    <t>LICENÇA SW-GERENC. DE PROCESSOS BPM</t>
  </si>
  <si>
    <t>SERV. ELABORAÇAO-PROJETO DETALHADO REDE</t>
  </si>
  <si>
    <t>SERV. ELABORAÇAO DE PROJETO BASICO-REDE</t>
  </si>
  <si>
    <t>SERV. DE INSTALAÇÃO DE SOFTWARE REMOTO</t>
  </si>
  <si>
    <t>SERV PROJETO E PLANEJAMENTO FLEXI BSC</t>
  </si>
  <si>
    <t>LICENÇA DE PLATAFORMAS DE DADOS VISENT</t>
  </si>
  <si>
    <t>LICENÇA DE PLATAFORMAS DE VOZ VISENT</t>
  </si>
  <si>
    <t>LICENÇA DE PLATAFORMAS DE VMS VISENT</t>
  </si>
  <si>
    <t>LICENÇA DE FUNCIONALIDADES CDRVIEW VISEN</t>
  </si>
  <si>
    <t>LICENÇA DE PLATAFORMAS DE VA VISENT</t>
  </si>
  <si>
    <t>LICENÇA DE SOFTWARE DE ELEMENTO NET</t>
  </si>
  <si>
    <t>LICENÇA DE SOFTWARE SINCRONISMO P/ IP-10</t>
  </si>
  <si>
    <t>LICENÇA DE SOFTWARE QOS P/ IP-10</t>
  </si>
  <si>
    <t>LICENÇA DE SOFTWARE RESILIENCIA P/ IP-10</t>
  </si>
  <si>
    <t>SERVIÇO DE INTEGRAÇAO DNS</t>
  </si>
  <si>
    <t>SERVIÇO DE INTEGRAÇAO DDoS</t>
  </si>
  <si>
    <t>SERVIÇO INTEGRAÇAO CISCO ANA - GRUPO 8</t>
  </si>
  <si>
    <t>SERVIÇO INTEGRAÇAO CISCO ANA - GRUPO 6</t>
  </si>
  <si>
    <t>SERVIÇO INTEGRAÇAO CISCO ANA - GRUPO 2</t>
  </si>
  <si>
    <t>SERVIÇO INTEGRAÇAO CISCO ANA - GRUPO 0</t>
  </si>
  <si>
    <t>SERV-DESENVOLVIMENTO SOFTWARE BDRAF</t>
  </si>
  <si>
    <t>LICENÇA SW TELLABS GERENCIA 6355 FP 1.3</t>
  </si>
  <si>
    <t>LICENÇA DE SW GERENCIA 6340 TRIBUTARIO</t>
  </si>
  <si>
    <t>LICENÇA DE SW GERENCIA 6340 PRINCIPAL</t>
  </si>
  <si>
    <t>LICENÇA DE SW TELLABS TRIBUTARIO 6340</t>
  </si>
  <si>
    <t>LICENÇA DE SW TELLABS PRINCIPAL 6340</t>
  </si>
  <si>
    <t>LICENÇA SOFTWARE TELLABS GERENCIA 8600</t>
  </si>
  <si>
    <t>SOFTWARE ESW PARA PLACA CDC</t>
  </si>
  <si>
    <t>SOFTWARE ESW PARA PLACA IFC</t>
  </si>
  <si>
    <t>LICENÇA DE SOFTWARE DE EMULAÇAO EMC</t>
  </si>
  <si>
    <t>LICENÇA DE SOFTWARE DE REPLICAÇAO EMC</t>
  </si>
  <si>
    <t>LICENÇA DE SOFTWARE P/ BACKUP NETWORKER</t>
  </si>
  <si>
    <t>LICENÇA DPA P/ MONITORAMENTO 1TB EMC</t>
  </si>
  <si>
    <t>LICENÇA DPA P/ MONITORAMENTO EMC</t>
  </si>
  <si>
    <t>SERV ADEQUAÇÃO P/VERIFICAÇAO PLATAFORMA</t>
  </si>
  <si>
    <t>LICENÇA -ORACLE ARMAZAMENTO STOREDGE</t>
  </si>
  <si>
    <t>LICENÇA-GESTAO CORPORATIVA WEBFULL  USER</t>
  </si>
  <si>
    <t>LICENÇA-GESTAO CORPORATIVA WEBFULL  ADM</t>
  </si>
  <si>
    <t>SERVIÇO DE REFILIAÇAO - TURN KEY</t>
  </si>
  <si>
    <t>LICENÇA DE SOFTWARE-ARRAY MANAGER 1TB</t>
  </si>
  <si>
    <t>DOCUMENTAÇAO OSN 8800 TN5I000DOC05</t>
  </si>
  <si>
    <t>PACOTE SW P/OSN 8800I TN5S0000SW61</t>
  </si>
  <si>
    <t>LICENÇA CAPAC.(720G-1.28T) NSDS0XC12801</t>
  </si>
  <si>
    <t>LICENÇA CAPACID.(360G-720G) NSDS0XC72001</t>
  </si>
  <si>
    <t>LICENÇA DE SOFTW.-GERENCIA TELLABS 8600</t>
  </si>
  <si>
    <t>LIÇENÇA DE SOFTW.-GERENCIA TELLABS 6335</t>
  </si>
  <si>
    <t>LICENÇA DE SOFTWARE TELLABS 6350</t>
  </si>
  <si>
    <t>LICENÇA DE SOFTWARE TELLABS 6350 P/ NMS</t>
  </si>
  <si>
    <t>SERVIÇO DE MIGRAÇAO DE VOZ / DADOS</t>
  </si>
  <si>
    <t>SERVIÇOS TECNICOS INTEG.PLATAFORNA BDRAF</t>
  </si>
  <si>
    <t>SERVIÇOS TÉCNICOS REVISAO BASE INSTALADA</t>
  </si>
  <si>
    <t>SERVIÇO GERENCIAMENTO DE PROJETO ENGENH</t>
  </si>
  <si>
    <t>SERV DE INSTAL EQUIP INTEGRAÇAO ANA</t>
  </si>
  <si>
    <t>ASSESSORIA OPERAÇAO CUSTOMIZAÇAO CIC</t>
  </si>
  <si>
    <t>SOFTWARE INTERNO IDU SRAL XD</t>
  </si>
  <si>
    <t>LICENÇA DE SOFT.CONEXAO FLEXIHYBRID-BSW</t>
  </si>
  <si>
    <t>LICENÇA DE CONEXAO SRAL XD - BSW</t>
  </si>
  <si>
    <t>LICENÇA DE SOFTWARE CONEXAO SRA 4-BSW</t>
  </si>
  <si>
    <t>LICENÇA DE SOFTWARE-CONEXAO SRT 1F-BSW</t>
  </si>
  <si>
    <t>SERVIÇO-EXTENSAO DE ROTA DE TRANSMISSAO</t>
  </si>
  <si>
    <t>TESTE DE ACEITAÇAO FINAL - OSN 500</t>
  </si>
  <si>
    <t>INSTALAÇAO/COMISSIONAMENTO/TESTE-OSN 500</t>
  </si>
  <si>
    <t>SOFTWARE CAPACIDADE (STM-1)</t>
  </si>
  <si>
    <t>SOFTWARE CAPACIDADE (4FE)</t>
  </si>
  <si>
    <t>LICENÇA DE SOFTWARE 32E1 P/ IP-10</t>
  </si>
  <si>
    <t>LICENÇA DE SOFTWARE 16E1 P/ IP-10</t>
  </si>
  <si>
    <t>LICENÇA DE SOFTWARE CAP. MAXIMA P/ IP-10</t>
  </si>
  <si>
    <t>LICENÇA DE SOFTWATE 300MBPS P/ IP-10</t>
  </si>
  <si>
    <t>LICENÇA DE SOFTWARE 100MBPS P/ IP-10</t>
  </si>
  <si>
    <t>LICENÇA DE SOFTWARE METRO SWITCH P/ IP-1</t>
  </si>
  <si>
    <t>LICENÇA DE SOFTWARE ACM P/ IP-10</t>
  </si>
  <si>
    <t>SERVIÇO DE REFILIAÇAO NODE-B RNC</t>
  </si>
  <si>
    <t>INSTALAÇAO / COMISSIONAMENTO DE PLACAS</t>
  </si>
  <si>
    <t>SERVIÇO DE EXPANSAO DE LINK SGSN</t>
  </si>
  <si>
    <t>LICENÇA CAPACIDADE.OSN 8800 NSDS0XC36001</t>
  </si>
  <si>
    <t>LICENÇA DE SW OSN 8800 NSDS0XCOTN01</t>
  </si>
  <si>
    <t>INSTALAÇAO/SUBSTITUIÇAO-CABOS DE ENERGIA</t>
  </si>
  <si>
    <t>LICENÇA DE SOFTWARE ENVISION LS</t>
  </si>
  <si>
    <t>SERVIÇO DE CONSULTORIA EM INFORMATICA</t>
  </si>
  <si>
    <t>SERV FISC/SUPERV CONFIG REDE TRANSMISS.</t>
  </si>
  <si>
    <t>SOFTWARE OPERACIONAL SCOPIA 24P20</t>
  </si>
  <si>
    <t>LICENÇA SW-HABILITAÇAO CORE/PROCESSADOR</t>
  </si>
  <si>
    <t>LICENÇA SW - HABILITAÇAO DE MEMORIA HP</t>
  </si>
  <si>
    <t>LICENÇA SW - HABILITAÇAO DE CELULA HP</t>
  </si>
  <si>
    <t>SOFTWARE CAPACIDADE (16E1)</t>
  </si>
  <si>
    <t>SOFTWARE BASICO (32E1+350M 1+1)</t>
  </si>
  <si>
    <t>SOFTWARE BASICO (STM-1 1+1)</t>
  </si>
  <si>
    <t>SOFTWARE BASICO (2XSTM-1 2+1)</t>
  </si>
  <si>
    <t>SOFTWARE BASICO (16E1+64M+4FE 1+1)</t>
  </si>
  <si>
    <t>SOFTWARE BASICO (16E1+64M+4FE 1+0)</t>
  </si>
  <si>
    <t>SOFTWARE BASICO (16E1+350 1+1 MA)</t>
  </si>
  <si>
    <t>SOFTWARE BASICO (16E1+150M+4FE 1+1 MA)</t>
  </si>
  <si>
    <t>SOFTWARE BASICO (16E1+350 1+0 MA)</t>
  </si>
  <si>
    <t>SOFTWARE BASICO (16E1+150M+4FE 1+0 MA)</t>
  </si>
  <si>
    <t>SOFTWARE BASICO (16E1 TDM 1+0)</t>
  </si>
  <si>
    <t>SERVIÇO DE IMPLEMENTAÇAO DE ROTA FETH TX</t>
  </si>
  <si>
    <t>SERV DOCUMENTAÇAO ROUTE DATA ROTAS 2G/3G</t>
  </si>
  <si>
    <t>SERV. MIGRAÇAO/ ATIVAÇAO TRAFEGO MUX/AGR</t>
  </si>
  <si>
    <t>SERV.  EXPANSAO CAPACIDADE PDH/SDH SPLIT</t>
  </si>
  <si>
    <t>INSTAL PDH/SDH SPLIT C/ ANTENA 1,2M A 3M</t>
  </si>
  <si>
    <t>INSTAL PDH/SDH SPLIT C/ ANTENA ATE 0,6M</t>
  </si>
  <si>
    <t>SERV LAUDO DE RT SEM PROJETO DISPONIVEL</t>
  </si>
  <si>
    <t>SERV LAUDO DE RT COM PROJETO DISPONIVEL</t>
  </si>
  <si>
    <t>INSTAL E FORN QDE TRIFASICO COMPLETO</t>
  </si>
  <si>
    <t>INSTAL E FORN QDE BIFASICO COMPLETO</t>
  </si>
  <si>
    <t>ABRIGO ALVENARIA PARA QTM</t>
  </si>
  <si>
    <t>INSTAL E FORN MIOLO QTM TRIFASICO</t>
  </si>
  <si>
    <t>INSTAL E FORN QTM TRIFASICO COMPLETO</t>
  </si>
  <si>
    <t>INSTAL E FORN MIOLO QTM BIFASICO</t>
  </si>
  <si>
    <t>INSTAL E FORN QTM BIFASICO COMPLETO</t>
  </si>
  <si>
    <t>INSTAL E FORNECIMENTO QDCC 60 DISJ</t>
  </si>
  <si>
    <t>SERVIÇO ADEQ. BASICA DE INFRAESTRUTURA</t>
  </si>
  <si>
    <t>SOFTWARE GSM ACCESS TO MGW</t>
  </si>
  <si>
    <t>SOFT. BSC-PACT OPT R6A/B America Movil</t>
  </si>
  <si>
    <t>RBS6000 3G LICENÇA CAPACIDADE 20W_60W_1S</t>
  </si>
  <si>
    <t>RBS6000 3G LICENÇA CAP CELULA S/IP</t>
  </si>
  <si>
    <t>RBS6000 3G LICENÇA CAPACIDADE CELULA</t>
  </si>
  <si>
    <t>RBS6000 2G LICENÇA CAPACIDADE TRX</t>
  </si>
  <si>
    <t>RBS6000 3G LICENÇA CAPACIDADE 40W_60W_3S</t>
  </si>
  <si>
    <t>ATIVAÇAO DE SERVIÇOS SOBRE PLATAFORMA</t>
  </si>
  <si>
    <t>SW-GERENCIAMENTO LOCAL WINFIOL HW</t>
  </si>
  <si>
    <t>SW-GERENCIAMENTO LOCAL WINFIOL 6.4</t>
  </si>
  <si>
    <t>INSTAL/INTEGR. NOVOS EQUIP.IPRAN PLAT.AN</t>
  </si>
  <si>
    <t>LICENÇA SW COMBO CAP. MAX. MW PDH MOD.16</t>
  </si>
  <si>
    <t>LICENÇA SW COMBO CAP. MAX. MW PDH MOD.15</t>
  </si>
  <si>
    <t>LICENÇA SW COMBO CAP. MAX. MW PDH MOD.10</t>
  </si>
  <si>
    <t>LICENÇA SW COMBO CAP. MAX. MW PDH MOD.9</t>
  </si>
  <si>
    <t>LICENÇA SW COMBO CAP. MAX. MW SDH MOD.8</t>
  </si>
  <si>
    <t>LICENÇA SW COMBO CAP. MAX. MW PDH  MOD.7</t>
  </si>
  <si>
    <t>LICENÇA SW COM.CAP. MAX. MW PDH  M.6 NEC</t>
  </si>
  <si>
    <t>LICENÇA SW COMBO CAP. MAX. MW PDH MOD.5</t>
  </si>
  <si>
    <t>LICENÇA SW COMBO CAP. MAX. MW PDH MOD.4</t>
  </si>
  <si>
    <t>LICENÇA SW AUMENTO CAPACIDADE 100 Mb/s</t>
  </si>
  <si>
    <t>LICENÇA SW AUMENTO CAPACIDADE 50 Mb/s</t>
  </si>
  <si>
    <t>LICENÇA SW BAS TRANSCEPTOR SDH INT COMPL</t>
  </si>
  <si>
    <t>LICENÇA SW BASICA ODU PDH/SDH DISTRIB</t>
  </si>
  <si>
    <t>LICENÇA SW 350M 1+1 AM 1588v2</t>
  </si>
  <si>
    <t>LICENÇA SW 350M 1+0 AM 1588v2</t>
  </si>
  <si>
    <t>LICENÇA SW 150M 1+1 AM 1588v2</t>
  </si>
  <si>
    <t>LICENÇA SW 150M 1+0 AM 1588v2</t>
  </si>
  <si>
    <t>LICENÇA SW 100M 1+1 AM 1588v2</t>
  </si>
  <si>
    <t>LICENÇA SW 100M 1+0 AM 1588v2</t>
  </si>
  <si>
    <t>LICENÇA SOFTWARE 350M 1+1 TDM</t>
  </si>
  <si>
    <t>LICENÇA SOFTWARE 150M 1+1 TDM</t>
  </si>
  <si>
    <t>LICENÇA SOFTWARE 100M 1+1 TDM</t>
  </si>
  <si>
    <t>LICENÇA SOFTWARE 350M 1+0 TDM</t>
  </si>
  <si>
    <t>LICENÇA SOFTWARE 150M 1+0 TDM</t>
  </si>
  <si>
    <t>LICENÇA SOFTWARE 100M 1+0 TDM</t>
  </si>
  <si>
    <t>LICENÇA DE SOFTWARE CHARGING -SDP</t>
  </si>
  <si>
    <t>LICENÇA DE SOFTWARE CHARGING -TESTE</t>
  </si>
  <si>
    <t>LICENÇA DE SOFTWARE CHARGING SYSTEM-NMT</t>
  </si>
  <si>
    <t>LICENÇA SW INTERFACE GigabitETH MOD.8/15</t>
  </si>
  <si>
    <t>SOFTWARE  EXPANSAO BSC 500 -&gt; 750 TRX SW</t>
  </si>
  <si>
    <t>SOFTWARE MODULO PPXX SW</t>
  </si>
  <si>
    <t>SOFTWARE BSC 900 TRX SW</t>
  </si>
  <si>
    <t>SOFTWARE FRAME TRAU SW</t>
  </si>
  <si>
    <t>SOFTWARE MODULO COSA SW</t>
  </si>
  <si>
    <t>SOFTWARE FLEXCU</t>
  </si>
  <si>
    <t>SW  EDGECU 1800/900 MHz SOFTWARE</t>
  </si>
  <si>
    <t>SOFTWARE PACOTE BASICO DE FEATURES</t>
  </si>
  <si>
    <t>LICENCA P/ UMA RAU 18GHZ HP (RAU 2</t>
  </si>
  <si>
    <t>LICENCA P/ UMA RAU 7 GHZ  (RAU 1 L</t>
  </si>
  <si>
    <t>LICENCA P/ UMA RAU 38GHZ ST (RAU 2</t>
  </si>
  <si>
    <t>LICENCA P/ UMA RAU 23 GHZ HP (RAU2</t>
  </si>
  <si>
    <t>LICENCA P/ PROTECAO 1+1 RADIO</t>
  </si>
  <si>
    <t>LICENCA DE SOFTWARE P/ UMA SAU IP</t>
  </si>
  <si>
    <t>SOFTWARE BSC OPCIONAL R12</t>
  </si>
  <si>
    <t>SW BSC PACT OPT AMERICA MOVIL DELTA R10-</t>
  </si>
  <si>
    <t>SOFTWARE SGSN</t>
  </si>
  <si>
    <t>SOFTWARE  BASICO R11 HLR</t>
  </si>
  <si>
    <t>SOFTWARE DE CONEXAO AIC - URA IVR</t>
  </si>
  <si>
    <t>SOFTW BES V4.0/MICROSOFT EXCHANGE-20 USU</t>
  </si>
  <si>
    <t>SOFTWARE CONJUNTO DE MIDIA IMPORTADO</t>
  </si>
  <si>
    <t>LICENCA OPC CS3.0-COMMUNITY CHARG.</t>
  </si>
  <si>
    <t>SOFTWARE SDP SF4800 EXPANSAO 4CPUS</t>
  </si>
  <si>
    <t>SOFTW CONJ. DE INSTALACAO PARA WINFIOL</t>
  </si>
  <si>
    <t>SOFTWARE  WINFIOL &amp; TOOLS LICENCE (NEW)</t>
  </si>
  <si>
    <t>LICENCA DE SW CS3.0-0 9</t>
  </si>
  <si>
    <t>LICENCA DE SW CS3.0 - BHCA&lt;0 7</t>
  </si>
  <si>
    <t>SOFTWARE CONJUNTO DE MIDIA NACIONAL</t>
  </si>
  <si>
    <t>LICENCA USO UMA UNIDADE RADIO 15HP</t>
  </si>
  <si>
    <t>SOFTW HLR SW PACKAGE R11 OPT. R10 FOR AM</t>
  </si>
  <si>
    <t>SOFTWARE  WINFIOL &amp; TOOLS</t>
  </si>
  <si>
    <t>SOFTWARE  VERITAS</t>
  </si>
  <si>
    <t>SOFTWARE USO UMA UNIDADE RADIO 15 HP</t>
  </si>
  <si>
    <t>LICENCA DE USO SOFTWARE PARA SAU EXP 1</t>
  </si>
  <si>
    <t>SOFTWARE  USO PARA SMU 16X2</t>
  </si>
  <si>
    <t>SOFTWARE USO UMA UNIDADE RADIO 8HP</t>
  </si>
  <si>
    <t>SOFTWARE UMA UNIDADE DE RADIO 7 HP</t>
  </si>
  <si>
    <t>SOFTWARE   MEDIA GATEWAY</t>
  </si>
  <si>
    <t>SOFTWARE RAD SRAL XD8E1(1+0)15-38G SB8E1</t>
  </si>
  <si>
    <t>SOFTWARE  OSS NOKIA</t>
  </si>
  <si>
    <t>SOFTWARE  MSS</t>
  </si>
  <si>
    <t>SOFTWARE  MGW</t>
  </si>
  <si>
    <t>SOFTWARE DA PLATAFORMA VM</t>
  </si>
  <si>
    <t>LICENÇA DE SOFTWARE SRAL</t>
  </si>
  <si>
    <t>LICENCA DE SOFTWARE P/SMU 8X2</t>
  </si>
  <si>
    <t>LICENCA  DE SOFTWARE P/RAU2-23 STD</t>
  </si>
  <si>
    <t>SOFTWARE BASICO</t>
  </si>
  <si>
    <t>DESINSTALAÇAO EQUIPTO NB3000 EM SITE</t>
  </si>
  <si>
    <t>LICENÇA EVO XPAND 4-11GHZ 20E1 1+0</t>
  </si>
  <si>
    <t>LICENCA P/ USUÁRIOS</t>
  </si>
  <si>
    <t>SOFTWARE SIEM RSA ENVISION - LC</t>
  </si>
  <si>
    <t>SOFTWARE TDM BACKBONE BETWEEN MGWs</t>
  </si>
  <si>
    <t>SOFTWARE BASICO DE MGW (U2)</t>
  </si>
  <si>
    <t>SOFTWARE NUMBER OF IP BACKBONE PORTS</t>
  </si>
  <si>
    <t>SOFTWARE NIC EXPRESS  - V.4.0</t>
  </si>
  <si>
    <t>SOFTWARE NIC EXPRESS SUPPORT</t>
  </si>
  <si>
    <t>SOFTWARE MGW UGG FROM U2 TO U3BC</t>
  </si>
  <si>
    <t>SOFTW RAD SRAL XD8E1(1+0)15-38G SB8E1</t>
  </si>
  <si>
    <t>FAPB - LICENÇA DE SOFTWARE HLR R8 - R12</t>
  </si>
  <si>
    <t>CDCESW-SOFTWARE FUNCIONAMENTO PLACA CDC</t>
  </si>
  <si>
    <t>LICENÇA DE GERENCIAMENTO - TIMESCAN PC</t>
  </si>
  <si>
    <t>FAPB13015 - SW CAPACITAÇAO HW UPLINK</t>
  </si>
  <si>
    <t>FAPB13015 - SW CAPACITAÇAO HW DOWNLINK</t>
  </si>
  <si>
    <t>SW-SUPORTE CAPACIDADE DE PACOTE DOWNLINK</t>
  </si>
  <si>
    <t>SW-FUNCIONALIDADES/CARACTERISTICAS R99</t>
  </si>
  <si>
    <t>LICENÇA SOFTWARE ASSET 3G-PLANEJ. DE RF</t>
  </si>
  <si>
    <t>FAPB130080RNOP-SW.PCT. OPC. OSS RC4.1</t>
  </si>
  <si>
    <t>FAPB130080RN1-SW.PCT. BASICO OSS RC4.1</t>
  </si>
  <si>
    <t>SW. INTEGRAÇAO DE PLATAFORMAS HP UX-11i</t>
  </si>
  <si>
    <t>NLUPGFDADD1-SW. RADIO SDH INTERL. FD-1RF</t>
  </si>
  <si>
    <t>SOFTW. DE FUNCIONALIDADES OPCIONAIS U40P</t>
  </si>
  <si>
    <t>SOFTWARE DE APLICATIVO OPCIONAL - M14OA</t>
  </si>
  <si>
    <t>FAPB13015B0007-SOFT. CARACTERITICA DELTA</t>
  </si>
  <si>
    <t>SOFTWARE- MONITORAMENTO DE AUDIO - QTECH</t>
  </si>
  <si>
    <t>SOFTWARE DE GERENCIAMENTO - SOO</t>
  </si>
  <si>
    <t>LICENÇA DE SOFTWARE MUX</t>
  </si>
  <si>
    <t>LICENÇA DE SOFTWARE RADIO PDH</t>
  </si>
  <si>
    <t>FAPB1300863097-LICENÇA DE SOFTWARE MGW</t>
  </si>
  <si>
    <t>FAPB1300863095-LICENÇA DE SOFTWARE MGW</t>
  </si>
  <si>
    <t>FAPB1300863094-LICENÇA DE SOFTWARE MGW</t>
  </si>
  <si>
    <t>FAPB1300863093-LICENÇA DE SOFTWARE MGW</t>
  </si>
  <si>
    <t>FAPB1300863096-LICENÇA DE SOFTWARE MGW</t>
  </si>
  <si>
    <t>FAPB130994 - LICENÇA DE SOFTWARE MSC</t>
  </si>
  <si>
    <t>FAPB130995 - LICENÇA DE SOFTWARE - HLR</t>
  </si>
  <si>
    <t>LICENÇA DE SOFTWARE ETHERNET ACVESS IFU</t>
  </si>
  <si>
    <t>LICENÇA DE SOFTWARE ETHERNET XPAND</t>
  </si>
  <si>
    <t>LICENÇA DE SOFTWARE ODU  80 - 100m</t>
  </si>
  <si>
    <t>LICENÇA DE SOFTWARE POR ODU - 150m</t>
  </si>
  <si>
    <t>FAPB130994014-LICENÇA DE SOFTWARE MSS</t>
  </si>
  <si>
    <t>FAL10458891-LICENÇA- SOFTWARE  WINFIOL</t>
  </si>
  <si>
    <t>FAL10452882-LIC.DE SOFTWARE LI-IMS (IAP)</t>
  </si>
  <si>
    <t>FAPB1300863092-LICENÇA DE SOFTWARE MGW</t>
  </si>
  <si>
    <t>SW. DE DESENVOLVIMENTO DE REDE NETACT</t>
  </si>
  <si>
    <t>SOFTWARE LNP OPERADORA MOVEL - CHAMADAS</t>
  </si>
  <si>
    <t>SOFTWARE DE GERENCIAMENTO - QWIN 2000</t>
  </si>
  <si>
    <t>SOFTWARE DNS</t>
  </si>
  <si>
    <t>SOFTW DE MANUTENCAO - DAC TRCKNG CODE</t>
  </si>
  <si>
    <t>SOFTWARE DIALOG DESIGNER 4X VP/IR</t>
  </si>
  <si>
    <t>SOFTWARE IR 3.X</t>
  </si>
  <si>
    <t>FAPB13918S0220 - SW. T ROUTING AMM 2P</t>
  </si>
  <si>
    <t>FAL1041557-LIC.  01 LTU 16/1 (ML TN R3)</t>
  </si>
  <si>
    <t>FALB1048012-LIC.  01 LTU3 12/1- ML TN R3</t>
  </si>
  <si>
    <t>FALB1048008-LIC. 01 MMU2 D Kit-ML TN R3</t>
  </si>
  <si>
    <t>FALB1048007-LIC.01 MMU2 C Kit 4Mbit/s-ML</t>
  </si>
  <si>
    <t>FALB1048003-LIC. 01 AMM 6p C-(ML TN R3)</t>
  </si>
  <si>
    <t>FALB1048001-LIC. 01 AMM 2p B-(ML TN R3)</t>
  </si>
  <si>
    <t>FALB1048018 - SW PLACA ETU2 ML TN R3</t>
  </si>
  <si>
    <t>FALB1048016- SW PLACA LTU B E/O 155MBITS</t>
  </si>
  <si>
    <t>FALB1048015 - SW  PLACA LTU E/O 155MBITS</t>
  </si>
  <si>
    <t>FALB1048009 - SW MAGAZINE MMU2 E155</t>
  </si>
  <si>
    <t>FALB1048005-SW MAGAZINE AMM 20P ML TN R3</t>
  </si>
  <si>
    <t>SW-GERENCIAMENTO NEGOCIO LTU - BRMS</t>
  </si>
  <si>
    <t>FAPB13008632XX-LICENÇA DE SOFTWARE MGW</t>
  </si>
  <si>
    <t>FAPB13918S0207-SW. 8 para 128 MMU2 MLTN</t>
  </si>
  <si>
    <t>FAL1041558 - SOFTWARE LTU E/O 155Mbits</t>
  </si>
  <si>
    <t>FAB8016817 - SOFTWARE  SFP - STM1 ML TN</t>
  </si>
  <si>
    <t>FAPB13918S0224 - SW. ELP MMU2 E/F 155</t>
  </si>
  <si>
    <t>FAPB13918S0223-SW. 1+1 SDH MMU2- ML TN</t>
  </si>
  <si>
    <t>FALB1048036-SOFTWARE 1 LTU3 12/1</t>
  </si>
  <si>
    <t>FALB1048013-SOFTWARE 1 LTU 16/1 ML TN R3</t>
  </si>
  <si>
    <t>FAL1046340-SOFTWARE ML TN R2 - R3</t>
  </si>
  <si>
    <t>FAPB13918S0222 - SW. T ROUTING AMM 2OP</t>
  </si>
  <si>
    <t>FAPB13918S0208-SW. ETU2 ML TN</t>
  </si>
  <si>
    <t>FAPB13918S0221-SW. AMM 20P EXTENSAO</t>
  </si>
  <si>
    <t>FAPB13918S0211-SW. T.ROUTING AMM6P</t>
  </si>
  <si>
    <t>FAPB13918S0212-SW. PARA MODULAO EM QAM</t>
  </si>
  <si>
    <t>FAPB13918S0238-SW. 4 para 64 MMU2 MLTN</t>
  </si>
  <si>
    <t>FAPB13918S0237-SW. 4 para 32 MMU2 MLTN</t>
  </si>
  <si>
    <t>FAPB13918S0210-SW. 1+1 PDH MMU2- ML TN</t>
  </si>
  <si>
    <t>LICENÇA PARA 1 MMU2 F 155 (ML TN R3)</t>
  </si>
  <si>
    <t>LICENÇA PARA 1 MMU2 E 155 (ML TN R3)</t>
  </si>
  <si>
    <t>LICENÇA PARA 1 MMU2 D (ML TN R3)</t>
  </si>
  <si>
    <t>LICENÇA PARA 1 MMU2 C 4MBIT/S (ML TN R3)</t>
  </si>
  <si>
    <t>LICENÇA PARA 1 AMM 2P B (ML TN R3)</t>
  </si>
  <si>
    <t>LICENÇA DE USO PARA UMA SMU 16X2</t>
  </si>
  <si>
    <t>LICENÇA DE USO DE SW UMA RAU 15GHZ HP</t>
  </si>
  <si>
    <t>LICENÇA DE USO DE SW UMA RAU 8GHZ</t>
  </si>
  <si>
    <t>LICENÇA USO UMA UNIDADE RADIO 8 HP</t>
  </si>
  <si>
    <t>LICENÇA DE USO DE SW UMA RAU 7GHZ</t>
  </si>
  <si>
    <t>LICENÇA USO UMA UNIDADE DE RADIO 7 HP</t>
  </si>
  <si>
    <t>LICENÇA PARA UMA RAU N 6 L</t>
  </si>
  <si>
    <t>LICENÇA PARA UMA LTU 16X2</t>
  </si>
  <si>
    <t>LICENÇA DE USO PARA UMA MMU 2X2-34+2</t>
  </si>
  <si>
    <t>LICENÇA DE FEATURE ELP PARA MMU2 E/F 155</t>
  </si>
  <si>
    <t>LICENÇA DE FEATURE ETU2 ML TN</t>
  </si>
  <si>
    <t>LICENÇA PARA MODULAÇÃO EM QAM</t>
  </si>
  <si>
    <t>LICENÇA DE FEATURE 4 PARA 64 MMU2 MLTN</t>
  </si>
  <si>
    <t>LICENÇA DE USO DE SW MEDIA GATEWAY</t>
  </si>
  <si>
    <t>LICENÇA SW- VLAN SWITCHING EDGE</t>
  </si>
  <si>
    <t>LICENÇA -MODULAÇAO ADAPATATIVA EDGE</t>
  </si>
  <si>
    <t>LICENÇA SW - 20E1s - EDGE</t>
  </si>
  <si>
    <t>LICENÇA PARA MODULAÇAO ADAPTATIVA XPAND</t>
  </si>
  <si>
    <t>SW BASICO RADIO  EDGE 1+0, 15-38GHz</t>
  </si>
  <si>
    <t>LICENÇA P/CRIAÇÃO DE 4 STORAGE 2540</t>
  </si>
  <si>
    <t>SOFTWARE PDC8171-REDIRECION.DE CHAMADA</t>
  </si>
  <si>
    <t>971-4245-01 - LICENÇA DE SW. ALTA VELOC.</t>
  </si>
  <si>
    <t>NJ52C - LICENÇA DE CONEXAO MV36</t>
  </si>
  <si>
    <t>SOFTWARE APLICATIVO MDRS155EC</t>
  </si>
  <si>
    <t>SOFTWARE DE MANUTENÇAO LOCAL TML</t>
  </si>
  <si>
    <t>SW BASICO PARA M-MGW R5.1</t>
  </si>
  <si>
    <t>SW BASICO DE MSC SERVER WCDMA</t>
  </si>
  <si>
    <t>SW BASICO P/UPGRADE MGW R4 PARA R5.1</t>
  </si>
  <si>
    <t>SW P/HLR OPT R12 P/R13.2 - NO PRINCIPAL</t>
  </si>
  <si>
    <t>LICENÇA DE SOFTWARE SOO P/ OMS1600</t>
  </si>
  <si>
    <t>LICENÇA DE CONEXÃO OMS1664</t>
  </si>
  <si>
    <t>LICENÇA PARA 1 ETU2 (ML TN R3)</t>
  </si>
  <si>
    <t>LICENÇA PARA 1 LTU3 12/1 (ML TN R3)</t>
  </si>
  <si>
    <t>LIC. REMOTA ROTEAMENTO TRAFEGO P/AMM 6P</t>
  </si>
  <si>
    <t>LIC. REMOTA ROTEAMENTO TRAFEGO P/AMM 2P</t>
  </si>
  <si>
    <t>LICENÇA DE PROTEÇÃO DE RADIOS PDH 1+1</t>
  </si>
  <si>
    <t>SW. ADDITIONAL ETU ETHERNET LINKS</t>
  </si>
  <si>
    <t>SOFTW DE FUNCIONALIDADE OSS - W0461</t>
  </si>
  <si>
    <t>SOFTWARE BASICO NETACT PARA EDGE</t>
  </si>
  <si>
    <t>SW PARA REDE INTELIGENTE - M14</t>
  </si>
  <si>
    <t>SOFTWARE OPERACIONAL PARA MSS</t>
  </si>
  <si>
    <t>SOFTWARE - FEATURES PARA MEDIA GATEWAY</t>
  </si>
  <si>
    <t>LICENÇA DE SOFTWARE U4</t>
  </si>
  <si>
    <t>SW DO SISTEMA DE GERENCIA</t>
  </si>
  <si>
    <t>LICENÇA DE SOFTWARE - MGW KY</t>
  </si>
  <si>
    <t>SW ENDEREÇAMENTO VANTIO BASE SERVER</t>
  </si>
  <si>
    <t>LICENÇA SECUNDARIA CISCO AR 5.0</t>
  </si>
  <si>
    <t>LICENÇA SW CISCO AR 5.0 PARA 100 TPS</t>
  </si>
  <si>
    <t>LICENÇA SW AVANÇADA PLACA ES+</t>
  </si>
  <si>
    <t>LICENÇA PARA UM MMU2 H KIT (ML TN R4)</t>
  </si>
  <si>
    <t>LICENÇA P/MMU2 E 155 KIT (ML TN R4)</t>
  </si>
  <si>
    <t>LICENÇA PARA UM MMU2 D KIT (ML TN R4)</t>
  </si>
  <si>
    <t>LICENÇA P/MMU2 C KIT 4MBIT/S (ML TN R4)</t>
  </si>
  <si>
    <t>LICENÇA DE EXTENSÃO PARA AMM 20P</t>
  </si>
  <si>
    <t>LICENÇA P/AMM 20P B KIT (ML TN R4)</t>
  </si>
  <si>
    <t>LICENÇA P/AMM 20P D W NPU1C KIT(MLTNR4)</t>
  </si>
  <si>
    <t>LICENÇA P/AMM 6P C R4 W NPU3BKIT(MLTNR4)</t>
  </si>
  <si>
    <t>LICENÇA P/AMM 2P B R4 W NPU3BKIT(MLTNR4)</t>
  </si>
  <si>
    <t>LICENÇA PARA UM RAU2 N 38</t>
  </si>
  <si>
    <t>LICENÇA PARA UM RAU2 X 23</t>
  </si>
  <si>
    <t>LICENÇA PARA UM RAU2 X 18</t>
  </si>
  <si>
    <t>LICENÇA PARA UM RAU2 X 15</t>
  </si>
  <si>
    <t>LICENÇA PARA UM RAU2 X 8</t>
  </si>
  <si>
    <t>LICENÇA PARA UM RAU2 X 7</t>
  </si>
  <si>
    <t>LICENÇA PARA UM RAU2 X 6U</t>
  </si>
  <si>
    <t>LICENÇA ATE 200 MBPS</t>
  </si>
  <si>
    <t>LICENÇA ATE 100 MBPS</t>
  </si>
  <si>
    <t>LICENÇA ATE 50 MBPS</t>
  </si>
  <si>
    <t>SW. PARA RADIO XPAND 4-11GHZ 20E1 1+1</t>
  </si>
  <si>
    <t>SW RADIO  EDGE 1+0, 15-38GHZ</t>
  </si>
  <si>
    <t>SW RADIO  EDGE 1+0, 7-8GHZ</t>
  </si>
  <si>
    <t>LICENÇA DE SOFTWARE POR ELEMENTO OSN2500</t>
  </si>
  <si>
    <t>LICENÇA DE SOFTWARE POR ELEMENTO OSN3500</t>
  </si>
  <si>
    <t>LICENÇA DE SOFTWARE POR ELEMENTO OSN7500</t>
  </si>
  <si>
    <t>SOFTWARE OSN 7500 V100R007 SSTS0VBSWF03</t>
  </si>
  <si>
    <t>SOFTWARE OSN 3500 V100R007 SSNS0VBSWF03</t>
  </si>
  <si>
    <t>SOFTWARE OSN 2500 V100R007 SSQS0VBSWF03</t>
  </si>
  <si>
    <t>LICENÇA SW(SAM)-7750 SRC12 MIDIUM RAN</t>
  </si>
  <si>
    <t>SW. DE FUNCIONALIDADES OSS</t>
  </si>
  <si>
    <t>SW.  DE FUNCIONALIDADES R99</t>
  </si>
  <si>
    <t>LICENÇA GERÊNCIA PLACA IFC TELLABS 8600</t>
  </si>
  <si>
    <t>LICENÇA MAGAZINE DE BBU FOR 1 TO 5 RF CH</t>
  </si>
  <si>
    <t>LICENÇA-UNIDADE DE RADIO 11GHZ/64QAM</t>
  </si>
  <si>
    <t>LICENÇA MDRS 155ECSE-GERÊNCIA SOM R8SP2</t>
  </si>
  <si>
    <t>LICENÇA DE ROTEAMENTO ETHERNET P/NPU3B</t>
  </si>
  <si>
    <t>LICENÇA-SAU-IP P/GERÊNCIA ML MANAGER7.1</t>
  </si>
  <si>
    <t>LICENÇA USO ML E/TN P/GERÊNCIA SOM R8SP2</t>
  </si>
  <si>
    <t>LICENÇA PARA UM ETU2B (ML TN R4)</t>
  </si>
  <si>
    <t>LICENÇA PARA UM ETU3 (ML TN R4)</t>
  </si>
  <si>
    <t>LICENÇA PARA UMA LTU E/O 155MBIT/S</t>
  </si>
  <si>
    <t>LICENÇA P/LTU E 155MBIT/S (ML TN R4)</t>
  </si>
  <si>
    <t>LICENÇA PARA UMA LTU 32/1 (ML TN R4)</t>
  </si>
  <si>
    <t>LICENÇA PARA UMA LTU 16/1 (ML TN R4)</t>
  </si>
  <si>
    <t>LICENÇA PARA UMA LTU3 12/1 (ML TN R4)</t>
  </si>
  <si>
    <t>LICENÇA PARA UM NPU1 C (ML TN R4)</t>
  </si>
  <si>
    <t>LICENCA ROTEAMENTO TRÁFEGO-AMM 20P</t>
  </si>
  <si>
    <t>LICENÇA PARA UM SAU IPEX</t>
  </si>
  <si>
    <t>LICENÇA PARA MODULAÇÃO ADAPTATIVA</t>
  </si>
  <si>
    <t>SW. 300M POR ODU EM 56MHZ</t>
  </si>
  <si>
    <t>LINCEÇA DE SW. 150M POR ODU</t>
  </si>
  <si>
    <t>SW. EXP RF+SUBRACK FD INTERLINK</t>
  </si>
  <si>
    <t>SW. PARA RÁDIO LH 4-11GHZ 155 MB/S, 7+1</t>
  </si>
  <si>
    <t>SW. PARA RÁDIO LH 4-11GHZ 155 MB/S, 5+1</t>
  </si>
  <si>
    <t>SW. RÁDIO LH 4-11GHZ 155 MB/S, 4+1 SD</t>
  </si>
  <si>
    <t>SW. PARA RÁDIO LH 4-11GHZ 155 MB/S, 4+1</t>
  </si>
  <si>
    <t>SW. RÁDIO LH 4-11GHZ 155 MB/S, 3+1 SD</t>
  </si>
  <si>
    <t>SW. PARA RÁDIO LH 4-11GHZ 155 MB/S, 3+1</t>
  </si>
  <si>
    <t>SW. RÁDIO LH 4-11GHZ 155 MB/S, 2+1 SD</t>
  </si>
  <si>
    <t>SW. PARA RÁDIO LH 4-11GHZ 155 MB/S, 2+1</t>
  </si>
  <si>
    <t>SW. PARA RADIO METRO 18-38GHZ STM-1 1+1</t>
  </si>
  <si>
    <t>SW. RADIO METRO 4-11GHZ STM-1 3+1 HP</t>
  </si>
  <si>
    <t>SW. PARA RADIO METRO 4-11GHZ STM-1 3+1</t>
  </si>
  <si>
    <t>SW. PARA RADIO METRO 4-11GHZ STM-1 2+1</t>
  </si>
  <si>
    <t>SW. PARA RADIO METRO 4-11GHZ STM-1 2+0</t>
  </si>
  <si>
    <t>SW. PARA RADIO METRO 4-11GHZ STM-1 1+1</t>
  </si>
  <si>
    <t>SW. PARA RADIO XPAND 15-38GHZ 50E1 1+1</t>
  </si>
  <si>
    <t>SW. PARA RADIO XPAND 15-38GHZ 40E1 1+1</t>
  </si>
  <si>
    <t>SW. PARA RADIO XPAND 15-38GHZ 40E1 1+0</t>
  </si>
  <si>
    <t>SW. PARA RADIO XPAND 15-38GHZ 20E1 1+1</t>
  </si>
  <si>
    <t>SW. PARA RADIO XPAND 15-38GHZ 20E1 1+0</t>
  </si>
  <si>
    <t>SW. PARA RADIO XPAND 4-11GHZ 75E1 1+1</t>
  </si>
  <si>
    <t>SW. PARA RADIO XPAND 4-11GHZ 50E1 1+1</t>
  </si>
  <si>
    <t>SW. PARA RADIO XPAND 4-11GHZ 40E1 1+1</t>
  </si>
  <si>
    <t>LICENÇA POR TRANSAÇAO DE APLICAÇAO SSR</t>
  </si>
  <si>
    <t>LICENÇA APLICAÇAO BASE SSR POR SERVIDOR</t>
  </si>
  <si>
    <t>LICENÇA DE SOFTWARE TPD POR SERVIDOR</t>
  </si>
  <si>
    <t>LICENÇA SOFTWARE DE REDE/OAMP EAGLE XG</t>
  </si>
  <si>
    <t>LICENÇA DE SW -SP RESOURCE MANAGEMENT</t>
  </si>
  <si>
    <t>LICENÇA DE SOFTWARE VOICE MAIL TECNOMEN</t>
  </si>
  <si>
    <t>SOFTWARE OMC</t>
  </si>
  <si>
    <t>SW SIST. OPERACIONAL RNC585 PARA RNC1170</t>
  </si>
  <si>
    <t>SOFTWARE HTTP HEADER ENRICHMENT</t>
  </si>
  <si>
    <t>SOFTWARE MOBILE E ROUTER</t>
  </si>
  <si>
    <t>LICENÇA DE SOFTWARE SGSN</t>
  </si>
  <si>
    <t>SW. CUSTOMIZAÇAO E EXPANSAO CDRVIEW</t>
  </si>
  <si>
    <t>LICENÇA DE CONEXAO FLEXIHYBRID - BSW</t>
  </si>
  <si>
    <t>LICENÇA DE CONEXAO SRA 4 - BSW</t>
  </si>
  <si>
    <t>LICENÇA DE CONEXAO FLEXIHYBRID</t>
  </si>
  <si>
    <t>LICENÇA SOFTWARE-CONEXAO OMS1600 CS 60G</t>
  </si>
  <si>
    <t>LICENÇA SOFTWARE-CONEXAO OMS1600 SS 60G</t>
  </si>
  <si>
    <t>LICENÇA SOFTWARE-CONEXAO OMS1600 CS 20G</t>
  </si>
  <si>
    <t>SOFTWARE DE CONTROLE MSS PARA MLTN R4</t>
  </si>
  <si>
    <t>SW. GERENCIADOR SNMP/MIB</t>
  </si>
  <si>
    <t>SW.-VLAN SW.ITCHING EDGE</t>
  </si>
  <si>
    <t>SW. MODULAÇAO ADAPATATIVA EDGE</t>
  </si>
  <si>
    <t>LICENÇA SW. - 20E1S - EDGE</t>
  </si>
  <si>
    <t>SW. MODULAÇAO ADAPTATIVA XPAND</t>
  </si>
  <si>
    <t>SW. PARA ETHERNET NO XPAND</t>
  </si>
  <si>
    <t>SW. DE 100-150M POR ODU</t>
  </si>
  <si>
    <t>SW. DE 80-100M POR ODU</t>
  </si>
  <si>
    <t>LICENÇA DE SW. 150M POR ODU</t>
  </si>
  <si>
    <t>LICENÇA DE SW. 80M POR ODU</t>
  </si>
  <si>
    <t>SW. PARA XPIC POR ODU</t>
  </si>
  <si>
    <t>LICENÇA DE SOFTWARE CHECKPOINT</t>
  </si>
  <si>
    <t>LICENÇA SW REDE CISCO ANA-GRUPO 8</t>
  </si>
  <si>
    <t>LICENÇA SW REDE CISCO ANA-GRUPO 6</t>
  </si>
  <si>
    <t>LICENÇA SW REDE CISCO ANA-Grupo 0</t>
  </si>
  <si>
    <t>LICENÇA SW ELEMENTO CISCO ANA-GRUPO 8</t>
  </si>
  <si>
    <t>LICENÇA SW ELEMENTO CISCO ANA-GRUPO 6</t>
  </si>
  <si>
    <t>LICENÇA SW ELEMENTO CISCO ANA-GRUPO 0</t>
  </si>
  <si>
    <t>LICENÇA DE SOFTWARE PARA DADOS</t>
  </si>
  <si>
    <t>SOFTWARE GERENCIAMENTO DADOS-WEBMETHODS</t>
  </si>
  <si>
    <t>SOFTWARE COMPILADOR IBM - XL C/C</t>
  </si>
  <si>
    <t>SW FAST UNLOAD - EXTRAÇAO BANCO DE DADOS</t>
  </si>
  <si>
    <t>SOFTWARE SCOPIA 10 3G GW ENTERPRISE</t>
  </si>
  <si>
    <t>LICENÇA SW-SISTEMA OPERACIONAL HP UX V3</t>
  </si>
  <si>
    <t>SOFTWARE   MASTERSAF DW</t>
  </si>
  <si>
    <t>LICENÇA-SOFTWARE VMWARE ENTERPRISE PLUS</t>
  </si>
  <si>
    <t>SOFTWARE DE GERENCIAMENTO SAP</t>
  </si>
  <si>
    <t>SOFTWARE NOKIA IP 2455</t>
  </si>
  <si>
    <t>SW IMAGEM PRE-INSTALADA SOLARIS</t>
  </si>
  <si>
    <t>CERTIFICADO DE LICENCA DE SOFTWARE RH</t>
  </si>
  <si>
    <t>SOFTWARE DE PLATAFORMA RBT</t>
  </si>
  <si>
    <t>LICENÇA SW/. ATIVAÇAO DE DOMINIO STORAGE</t>
  </si>
  <si>
    <t>SOFTWARE SYMMETRICOM TIMEPICTRA</t>
  </si>
  <si>
    <t>LICENÇA SW OPC. INS 2.2MAXI-CAPV2 REDUND</t>
  </si>
  <si>
    <t>LICENÇA DE OPERAÇOES OAMP EAGLE XG</t>
  </si>
  <si>
    <t>SW DE GERENCIAMENTO-TIMEPICTRA C/ SNMP</t>
  </si>
  <si>
    <t>SERV TECNICO GERENCIA/CAPACIDADE DE REDE</t>
  </si>
  <si>
    <t>SERVIÇO TECNICO DE OTIMIZAÇAO DE REDE</t>
  </si>
  <si>
    <t>SW PROTOCOLO SNMP FM EXPORT. PARA MLM7.1</t>
  </si>
  <si>
    <t>LICENÇA-EXPANSAO  R3 PARA R4 AMM 20P</t>
  </si>
  <si>
    <t>SERV-INFRAESTRUTURA BASICA P/ RADIO TX</t>
  </si>
  <si>
    <t>SERV.INSTALAÇAO EXTRAS AMPLIAÇAO 4P ETH</t>
  </si>
  <si>
    <t>SERV.INSTALAÇAO 1RF SDH TRONCO</t>
  </si>
  <si>
    <t>SERV.INSTALAÇAO SDH TRONCO 5+1 75OHMS</t>
  </si>
  <si>
    <t>SERV. INSTALAÇAO SDH TRONCO 4+1 75OHMS</t>
  </si>
  <si>
    <t>SERV.INSTALAÇAO SDH TRONCO 3+1 75OHMS</t>
  </si>
  <si>
    <t>SERV.INSTALAÇAO SDH DISTRIBUIDO 75OHMS</t>
  </si>
  <si>
    <t>SERV.INSTALAÇAO PDH 1+1 32E1 75OHMS</t>
  </si>
  <si>
    <t>SERV.INSTALAÇAO PDH 1+0 32E1 75OHMS</t>
  </si>
  <si>
    <t>SERV.INSTALAÇAO PDH 1+1 16E1 75OHMS</t>
  </si>
  <si>
    <t>SERV. INSTALAÇAO PDH 1+0 16E1 75OHMS</t>
  </si>
  <si>
    <t>SERV.INSTALAÇAO SUPORTE DE FACE IIIB</t>
  </si>
  <si>
    <t>SERV.INSTALAÇAO SUPORTE DE FACE IIIA</t>
  </si>
  <si>
    <t>SERV.INSTALAÇAO SUPORTE DE FACE IIB</t>
  </si>
  <si>
    <t>SERV.INSTALAÇAO SUPORTE DE FACE IIA</t>
  </si>
  <si>
    <t>SERV.INSTALAÇAO SUPORTE DE FACE IB</t>
  </si>
  <si>
    <t>SERV.INSTALAÇAO SUPORTE DE FACE IA</t>
  </si>
  <si>
    <t>SERV.INSTALAÇAO SUPORTE CANTO P/ANTENA</t>
  </si>
  <si>
    <t>SERV. INSTALAÇAO DCN P/ GERENCIA</t>
  </si>
  <si>
    <t>SERV.INSTALAÇAO AMPLIAÇAO 3RF SDH TRONCO</t>
  </si>
  <si>
    <t>SERV.INSTALAÇAO AMPLIAÇAO 2RF SDH TRONCO</t>
  </si>
  <si>
    <t>SERV.INSTALAÇAO AMPLIAÇAO 16E1 75OHMS</t>
  </si>
  <si>
    <t>SERV.INSTALAÇAO AMPLIAÇAO 1 RF DISTIB.</t>
  </si>
  <si>
    <t>TREINAMENTO DE EQUIPAMENTOS</t>
  </si>
  <si>
    <t>TREINAMENTO-GERENCIAMENTO DE SIST.</t>
  </si>
  <si>
    <t>SERV.EXPANSAO DE ROTA P/ TRANSMISSAO</t>
  </si>
  <si>
    <t>GERAÇAO DE ROTA DADOS NO BDRAF</t>
  </si>
  <si>
    <t>MIGRAÇAO DE TRAFEGO-RADIOS PDH E SDH</t>
  </si>
  <si>
    <t>INSTALAÇAO EQUIP/SIST IRRAD-SDH TRONCO</t>
  </si>
  <si>
    <t>INSTALAÇAO EQUIP/SIST IRRAD-PDH/SDH DIST</t>
  </si>
  <si>
    <t>SERV.INSTALAÇAO DE MASTRO ID</t>
  </si>
  <si>
    <t>SERV.INSTALAÇAO DE MASTRO IC</t>
  </si>
  <si>
    <t>SERV.INSTALAÇAO DE MASTRO IB</t>
  </si>
  <si>
    <t>SERV.INSTALAÇAO DE MASTRO IA</t>
  </si>
  <si>
    <t>SERV.INSTALAÇAO SUPORTE DE PLATAFORMA</t>
  </si>
  <si>
    <t>SERV.INSTALAÇAO SUPORTE DE POSTE IC</t>
  </si>
  <si>
    <t>SERV.INSTALAÇAO SUPORTE DE POSTE IB</t>
  </si>
  <si>
    <t>SERV.INSTALAÇAO SUPORTE DE POSTE IA</t>
  </si>
  <si>
    <t>LICENÇA PARA FEATURE 1+1 PDH MMU2- ML TN</t>
  </si>
  <si>
    <t>LICENÇA P/FEATURE ETHERNET T. ON NPU2</t>
  </si>
  <si>
    <t>LICENÇA P/FEATURE AMM 20P SLOT EXTENSION</t>
  </si>
  <si>
    <t>LICENÇA PARA FEATURE SNCP - ML TN</t>
  </si>
  <si>
    <t>LICENÇA DE SW  MINI-LINK E/TN CAP</t>
  </si>
  <si>
    <t>LICENÇA PARA ETHERNET SOBRE SDH</t>
  </si>
  <si>
    <t>LICENÇA PARA UM SXU3B (ML TN R4)</t>
  </si>
  <si>
    <t>LICENÇA P/MMU2 B KIT 4MBIT/S (ML TN R4)</t>
  </si>
  <si>
    <t>LICENÇA PARA UM AMM 6P D KIT (ML TN R4)</t>
  </si>
  <si>
    <t>LICENÇA PARA UM AMM 6P C KIT (ML TN R4)</t>
  </si>
  <si>
    <t>LICENÇA PARA UM AMM 2P B KIT (ML TN R4)</t>
  </si>
  <si>
    <t>LICENÇA P/AMM 6P D R4 W NPU3BKIT(MLTNR4)</t>
  </si>
  <si>
    <t>LICENÇA PARA UM AMM 2P KIT (ML TN R4)</t>
  </si>
  <si>
    <t>LICENÇA DE SOFTWARE PARA UM RAU2 X 11</t>
  </si>
  <si>
    <t>LICENÇA DE SOFTWARE ATE 350 MBPS</t>
  </si>
  <si>
    <t>LICENÇA DE SOFTWARE ATE 25 MBPS</t>
  </si>
  <si>
    <t>LICENÇA DE SOFTWARE ATE 10 MBPS</t>
  </si>
  <si>
    <t>LICENÇA DE USÁRIO P/CONFIGURAÇÃO DA NPU</t>
  </si>
  <si>
    <t>LICENÇA DE PROTEÇÃO DE RÁDIOS SDH 1+1</t>
  </si>
  <si>
    <t>LICENÇA DE SOFTWARE 21XE1</t>
  </si>
  <si>
    <t>SOFTWARE FTP PM PARA EXPORTAÇAO DE DADOS</t>
  </si>
  <si>
    <t>LICENÇA MINILINK SERVICE SOFTWARE P/O&amp;M</t>
  </si>
  <si>
    <t>SOFTWARE P/ SERVIDOR HP RP3440-4 CLARO</t>
  </si>
  <si>
    <t>LICENÇA PARA 1 AAU (ML TN R3)</t>
  </si>
  <si>
    <t>LICENÇA PARA 1 LTU E 155MBIT/S ML TN R3</t>
  </si>
  <si>
    <t>LICENÇA PARA 1 SMU2 (ML TN R3)</t>
  </si>
  <si>
    <t>LICENÇA PARA 1 MMU2 B 4MBIT/S (ML TN R3)</t>
  </si>
  <si>
    <t>LICENÇA PARA 1 AMM 6P D (ML TN R3)</t>
  </si>
  <si>
    <t>LICENÇA DE USO DE SW UMA RAU 18GHZ HP</t>
  </si>
  <si>
    <t>LICENÇA USO UMA UNIDADE RADIO 15 HP</t>
  </si>
  <si>
    <t>LICENÇA PARA UMA LTU 12X2</t>
  </si>
  <si>
    <t>LICENÇA PARA UMA RAU2 N 38 LP</t>
  </si>
  <si>
    <t>LICENÇA PARA UMA RAU2 N 23 HP</t>
  </si>
  <si>
    <t>LICENÇA FEATURE REMOTE T ROUTING AMM 2OP</t>
  </si>
  <si>
    <t>LICENÇA P/FEATURE REMOTE T.ROUTING AMM6P</t>
  </si>
  <si>
    <t>LICENÇA P/FEATURE REMOTE T.ROUTING AMM2P</t>
  </si>
  <si>
    <t>LICENÇA DE UPG 16 PARA 34 MMU2- ML TN</t>
  </si>
  <si>
    <t>LICENÇA DE FEATURE 8 PARA 128 MMU2 MLTN</t>
  </si>
  <si>
    <t>LICENÇA DE FEATURE 4 PARA 32 MMU2 MLTN</t>
  </si>
  <si>
    <t>LICENÇA DE FEATURE 4 PARA 16 MMU2 MLTN</t>
  </si>
  <si>
    <t>LICENÇA DE FEATURE 4 PARA 8 MMU2 MLTN</t>
  </si>
  <si>
    <t>LICENÇA DO SOO NM 64 CORE2</t>
  </si>
  <si>
    <t>SW SOO GERENCIA DE ELEMENTO OMS1600 2.1</t>
  </si>
  <si>
    <t>LICENÇA DE CONEXÃO LAYER 2 AGREGAÇÃO</t>
  </si>
  <si>
    <t>LICENÇA DE CONEXÃO PLACA GIGABITETH</t>
  </si>
  <si>
    <t>LICENÇA EM SOO</t>
  </si>
  <si>
    <t>LICENÇA EM SOO CORE2 DE ATUALIZAÇÃO</t>
  </si>
  <si>
    <t>LICENÇA SOO FUS PFM I/F</t>
  </si>
  <si>
    <t>LICENÇA LITE CORE (64 ELEMENTOS)</t>
  </si>
  <si>
    <t>MIDIA CD+MANUAL DE OPERAÇÃO NMS SON</t>
  </si>
  <si>
    <t>LIC.SOO PARA EMULADOR DE TERMINAL EXCEED</t>
  </si>
  <si>
    <t>LICENÇA SOO PARA REDUNDÂNCIA GEOGRÁFICA</t>
  </si>
  <si>
    <t>LICENÇA DE SW - SOO EM PIL MDRS155EC/S 2</t>
  </si>
  <si>
    <t>LICENÇA GERENCIA DE ELEMENTOS(SOO) PLUG</t>
  </si>
  <si>
    <t>LIC. CORE 2 PARA PLATAFORMA DE SERVIDOR</t>
  </si>
  <si>
    <t>MIDIA CD+MANUAL DE OPERAÇÃO EM SERVICEON</t>
  </si>
  <si>
    <t>LICENÇA SOO FUS PUI</t>
  </si>
  <si>
    <t>LICENÇA SOO FUSION PFM SNMP I/F</t>
  </si>
  <si>
    <t>LICENÇA USO MUX OMS860P/GERÊNCIA R8SP2</t>
  </si>
  <si>
    <t>LICENÇA BÁSICA PARA MDRS155EC</t>
  </si>
  <si>
    <t>LICENÇA DE USO DE SW LMT PARA MDRS155EC</t>
  </si>
  <si>
    <t>LICENÇA PARA FEATURE 1+1 SDH MMU2- ML TN</t>
  </si>
  <si>
    <t>LICENÇA EXP MAGAZINE BBU P/6-10 RF CH</t>
  </si>
  <si>
    <t>LICENÇA-UNIDADE DE RÁRIO 8.0GHZ/128QAM</t>
  </si>
  <si>
    <t>LICENÇA-UNIDADE DE RÁRIO 7.5GHZ/128QAM</t>
  </si>
  <si>
    <t>LICENÇA-UNIDADE DE RÁRIO 6.2GHZ/128QAM</t>
  </si>
  <si>
    <t>LICENÇA-UNIDADE DE RÁRIO 4.7GHZ/64QAM</t>
  </si>
  <si>
    <t>LICENÇA MINI-LINK HC -RTC</t>
  </si>
  <si>
    <t>LICENÇA MLM 7.1 DE APLICAÇAO DE ESPERA</t>
  </si>
  <si>
    <t>LIC. MLM7.1 APLICAÇAO TERMINAL SERVIDOR</t>
  </si>
  <si>
    <t>LICENÇA MLM 7.1 DE APLICAÇAO DE CLIENTE</t>
  </si>
  <si>
    <t>SOFTWARE MLM 7.1 APLICAÇAO NO SERVIDOR</t>
  </si>
  <si>
    <t>LICENÇA DE CONEXÃO DE USUÁRIO GOGLOBAL</t>
  </si>
  <si>
    <t>SOFTWARE GERENCIA DE ELEMENTOS(SOO) PLUG</t>
  </si>
  <si>
    <t>LICENÇA DE CON EM OMS840</t>
  </si>
  <si>
    <t>LICENÇA DE CON EM OMS1260</t>
  </si>
  <si>
    <t>LICENÇA DE CONEXÃO OMS1240(STM-4)UC</t>
  </si>
  <si>
    <t>LICENÇA C-INSIGHT SCE8000</t>
  </si>
  <si>
    <t>SERVIÇO DE REVESTIMENTO DE FACHADA</t>
  </si>
  <si>
    <t>SERV.CONFIG. DE FONTE DE SINCRONISMO IP</t>
  </si>
  <si>
    <t>ASSESSORIA OPERAÇAO CUSTOMIZAÇAO ANA</t>
  </si>
  <si>
    <t>ASSESSORIA OPERAÇAO ADMINISTRAÇAO</t>
  </si>
  <si>
    <t>ASSESSORIA OPERAÇAO TROUBLESHOOTING</t>
  </si>
  <si>
    <t>ASSESSORIA INTRODUÇAO MODULO MWTM</t>
  </si>
  <si>
    <t>ASSESSORIA APRESENTAÇAO PRODUTO CISCOCIC</t>
  </si>
  <si>
    <t>ASSESSORIA APRESENTAÇAO PRODUTO CISCOANA</t>
  </si>
  <si>
    <t>ASSESSORIA OPERADORES CISCO ANA</t>
  </si>
  <si>
    <t>SERV.TECNICO INTERGR.PLATAF. ANA/GRANITE</t>
  </si>
  <si>
    <t>SERVIÇOS TECNICOS INTEGRAÇAO ANA - SMART</t>
  </si>
  <si>
    <t>SERVIÇOS TECNICOS MIGRAÇAO HW/SW ANA</t>
  </si>
  <si>
    <t>SERVIÇOS TECNICOS INTEGR. ELEMENTOS ANA</t>
  </si>
  <si>
    <t>SERVIÇOS INSTALAÇAO FISICA SERVIDORES</t>
  </si>
  <si>
    <t>SERVIÇOS TECNICOS CONFIG. PLATAFORMA ANA</t>
  </si>
  <si>
    <t>SOFTWARE DE FUNCIONALIDADES OSS POR TRX</t>
  </si>
  <si>
    <t>SOFTWARE DE ATUALIZAÇAO DO M2000 PARA 2G</t>
  </si>
  <si>
    <t>SOFTWARE BASICO POR TRX PARA BSC</t>
  </si>
  <si>
    <t>SOFTWARE  PARA MULTIPLO TRANSCEPTOR GSM</t>
  </si>
  <si>
    <t>LICENÇA DE SOFTWARE 2010B SGSN</t>
  </si>
  <si>
    <t>SERV INSTAL EQP.INTEGR.SW  ANA-3-NAS6RTM</t>
  </si>
  <si>
    <t>SERV INSTAL EQP.INTEGR.SW  ANA-3-ELM6RTM</t>
  </si>
  <si>
    <t>LICENÇA DE SW ORACLE-BIEE PLUS/ATIVAÇAO</t>
  </si>
  <si>
    <t>CONFIGURAÇAO DE SOFTWARE BALANC SGSN</t>
  </si>
  <si>
    <t>CONFIGURAÇAO /OTIMIZAÇAO DO SW VIGIA</t>
  </si>
  <si>
    <t>SERV DE ANALISE P/ INSTALAÇAO DO VIGIA</t>
  </si>
  <si>
    <t>CONFIG. / IMPLANTAÇAO PLATAFORMA VIGIA</t>
  </si>
  <si>
    <t>PROJETO-CUSTOMIZAÇAO PLATAFORMA VIGIA</t>
  </si>
  <si>
    <t>CONFIG. / INTEGRAÇAO-INTERCON.A POLICIA</t>
  </si>
  <si>
    <t>CONFIG. / INTEGRAÇAO CENTRAIS AO VIGIA</t>
  </si>
  <si>
    <t>LICENÇA P/ATIVAÇAO DE ARMAZENAMENTO EMC</t>
  </si>
  <si>
    <t>LICENÇA ATIVAÇAO DE FLEXI MULTIRADIO TRX</t>
  </si>
  <si>
    <t>LICENÇA-DETECCAO DE INTRUSAO ES1500</t>
  </si>
  <si>
    <t>LICENÇA-DETECCAO DE INTRUSAO ES</t>
  </si>
  <si>
    <t>LICENÇA-DETECCAO DE INTRUSAO GX4004C</t>
  </si>
  <si>
    <t>LICENÇA-DETECCAO DE INTRUSAO GX4002C</t>
  </si>
  <si>
    <t>LICENÇA-MONITORAÇAO DE DETECCAO SP1001</t>
  </si>
  <si>
    <t>LICENÇA-DETECCAO DE INTRUSAO GX5008C</t>
  </si>
  <si>
    <t>LICENÇA-DETECCAO DE INTRUSAO BYP4TOSOL.</t>
  </si>
  <si>
    <t>LICENÇA-DETECÇAO DE INTRUSAO GX5208SFP</t>
  </si>
  <si>
    <t>CONFIG. / INTEGRAÇAO DO SW AO GUARDIÃO</t>
  </si>
  <si>
    <t>CONFIG. / INTEGRAÇAO SW-CADASTRO CLIENTE</t>
  </si>
  <si>
    <t>CONFIG. / INTEGRAÇAO DO SW VIGIA 3</t>
  </si>
  <si>
    <t>SERVIÇO TECNICO IMPLANTAÇAO PROJ. LOGICO</t>
  </si>
  <si>
    <t>SERVIÇO TECNICO DE  MIGRAÇAO NODE B</t>
  </si>
  <si>
    <t>INSTALAÇAO DE SOFTWARE NETCRACKER</t>
  </si>
  <si>
    <t>LICENÇA DE SOFTWARE NETCRACKER</t>
  </si>
  <si>
    <t>LICENÇA SW VVS (VIRTUAL VOUCHER SYSTEM)</t>
  </si>
  <si>
    <t>LICENÇA DE SOFTWARE 50-200AG</t>
  </si>
  <si>
    <t>LICENÇA DE SOFTWARE 50AG</t>
  </si>
  <si>
    <t>LICENCAS SOFTWARE WINDOWS SERVER R2</t>
  </si>
  <si>
    <t>LICENÇA DE HABILITAÇAO-UMP-AUDIO CONF.</t>
  </si>
  <si>
    <t>LICENÇA DE HABILITAÇAO MP-GERENCIAMENTO</t>
  </si>
  <si>
    <t>LICENÇA DE HABILITAÇAO MP-AUDIO CONF.</t>
  </si>
  <si>
    <t>LICENÇA DE HABILITAÇAO CUCM  - SISTEMA</t>
  </si>
  <si>
    <t>SERV TEC TELEC EM SUPORTE TECNICO 24X7</t>
  </si>
  <si>
    <t>SERVIÇO DE PROJETO PROVISORIO (PPI/PDI)</t>
  </si>
  <si>
    <t>SERVIÇO DE PROJETO DE REDE DCN</t>
  </si>
  <si>
    <t>SERVIÇO - PROJETO DE INSTALAÇAO</t>
  </si>
  <si>
    <t>SERV.DE TREINAMENTO O&amp;M 1353NM/1354RM</t>
  </si>
  <si>
    <t>SERVIÇO DE TREINAMENTO EM SISTEMA</t>
  </si>
  <si>
    <t>SERVIÇO DE TREINAMENTO O&amp;M 1830PSS</t>
  </si>
  <si>
    <t>SERVIÇO DE TREINAMENTO O&amp;M 1626LM</t>
  </si>
  <si>
    <t>INST. DE PC GO-GLOBALBRIDGE NO SH OU RM</t>
  </si>
  <si>
    <t>SERVIÇO DE ENGENHARIA APLICADA</t>
  </si>
  <si>
    <t>OPERAÇAO ASSISTIDA 8x5 DURANTE PFE</t>
  </si>
  <si>
    <t>LICENÇA DE SOFTWARE PARA HSDPA  32MBP</t>
  </si>
  <si>
    <t>LICENÇA ATUALIZAÇAO DE SW SGSN/GGSN 2010</t>
  </si>
  <si>
    <t>SOFTWATRE PARA MULTIPLO TRANSCEPTOR GSM</t>
  </si>
  <si>
    <t>SW. EXP DE RF SD PARA INTERLINK</t>
  </si>
  <si>
    <t>SW. EXP DE RF FD PARA INTERLINK</t>
  </si>
  <si>
    <t>SW. RÁDIO LH 4-11GHZ 155 MB/S, 7+1 SD</t>
  </si>
  <si>
    <t>SW. RÁDIO LH 4-11GHZ 155 MB/S, 6+1 SD</t>
  </si>
  <si>
    <t>SW. PARA RÁDIO LH 4-11GHZ 155 MB/S, 6+1</t>
  </si>
  <si>
    <t>SW. RÁDIO LH 4-11GHZ 155 MB/S, 5+1 SD</t>
  </si>
  <si>
    <t>SW.  RÁDIO LH 4-11GHZ 155 MB/S, 1+1 SD</t>
  </si>
  <si>
    <t>SW. RÁDIO LH 4-11GHZ 155 MB/S, 1+1 FD</t>
  </si>
  <si>
    <t>SERV CONFIG/INTEGR/TESTE DE  SW PLATAFOR</t>
  </si>
  <si>
    <t>SERV INSTALAÇAO DE EQUIP TELECOM EM SITE</t>
  </si>
  <si>
    <t>LICENÇA DE SOFTWARE ANTIVIRUS-MCAFEE</t>
  </si>
  <si>
    <t>LICENÇA DE SOFTWARE (RTU) NETCRACKER</t>
  </si>
  <si>
    <t>SERV. REMANEJ. ADIC POR TERMINAL N</t>
  </si>
  <si>
    <t>SERV. DESINSTAL. ADIC POR TERMINAL N</t>
  </si>
  <si>
    <t>SERV. REMANEJAMENTO PDH/SDH</t>
  </si>
  <si>
    <t>SERV. DESINSTAL EQPS/SIST. IRRAD. SDH TR</t>
  </si>
  <si>
    <t>SERV. DESINSTAL EQPS/SIST. IRRAD.PDH/SDH</t>
  </si>
  <si>
    <t>SERV INSTAL ADIC AJUSTE TERMINAL PDH  N</t>
  </si>
  <si>
    <t>SW. PARA RÁDIO LH 4-11GHZ 155 MB/S, 1+0</t>
  </si>
  <si>
    <t>SW. PARA RADIO METRO 18-38GHZ STM-1 4+0</t>
  </si>
  <si>
    <t>SW. PARA RADIO METRO 18-38GHZ STM-1 3+1</t>
  </si>
  <si>
    <t>SW. PARA RADIO METRO 18-38GHZ STM-1 3+0</t>
  </si>
  <si>
    <t>SW. PARA RADIO METRO 18-38GHZ STM-1 2+1</t>
  </si>
  <si>
    <t>SW. PARA RADIO METRO 18-38GHZ STM-1 2+0</t>
  </si>
  <si>
    <t>SW. PARA RADIO METRO 18-38GHZ STM-1 1+0</t>
  </si>
  <si>
    <t>SW.  RADIO METRO 4-11GHZ STM-1 4+0 HP</t>
  </si>
  <si>
    <t>SW. RADIO METRO 4-11GHZ STM-1 3+0 HP</t>
  </si>
  <si>
    <t>SW.  RADIO METRO 4-11GHZ STM-1 2+1 HP</t>
  </si>
  <si>
    <t>SW.  RADIO METRO 4-11GHZ STM-1 2+0 HP</t>
  </si>
  <si>
    <t>SW. RADIO METRO 4-11GHZ STM-1 1+1 HP</t>
  </si>
  <si>
    <t>SW.RADIO METRO 4-11GHZ STM-1 1+0 HP</t>
  </si>
  <si>
    <t>SW. PARA RADIO METRO 4-11GHZ STM-1 4+0</t>
  </si>
  <si>
    <t>SW. PARA RADIO METRO 4-11GHZ STM-1 3+0</t>
  </si>
  <si>
    <t>SW. PARA RADIO METRO 4-11GHZ STM-1 1+0</t>
  </si>
  <si>
    <t>SW. PARA RADIO XPAND 15-38GHZ 75E1 1+1</t>
  </si>
  <si>
    <t>SW. PARA RADIO XPAND 4-11GHZ 75E1 1+1 HP</t>
  </si>
  <si>
    <t>SW. PARA RADIO XPAND 4-11GHZ 75E1 1+0</t>
  </si>
  <si>
    <t>SW. PARA RADIO XPAND 4-11GHZ 40E1 1+0</t>
  </si>
  <si>
    <t>SW RADIO  EDGE HSB, 15-38GHZ</t>
  </si>
  <si>
    <t>SW RADIO  EDGE HSB, 7-8GHZ</t>
  </si>
  <si>
    <t>LICENÇA SW.  - PVLAN  EDGE</t>
  </si>
  <si>
    <t>LICENÇA SW.  - SNMPV3  EDGE</t>
  </si>
  <si>
    <t>LICENÇA SW.  -  E1-PXC EDGE</t>
  </si>
  <si>
    <t>LICENÇA SW.  RSTP  EDGE</t>
  </si>
  <si>
    <t>LICENÇA SW. - 32QAM - EDGE</t>
  </si>
  <si>
    <t>LICENÇA SW. - 5E1S - EDGE</t>
  </si>
  <si>
    <t>SW. PARA ETHERNET NO WAYSIDE</t>
  </si>
  <si>
    <t>SW. EXP RF+SUBRACK SD INTERLINK</t>
  </si>
  <si>
    <t>SERV EXPANSAO ROTA DUAL STACK (E1+ETH)MV</t>
  </si>
  <si>
    <t>SERVIÇO EXPANSAO DE ROTA ETH MULTIVENDOR</t>
  </si>
  <si>
    <t>SERVIÇO EXPANSAO DE ROTA E1 MULTIVENDOR</t>
  </si>
  <si>
    <t>DESINSTALAÇAO DE BTS US P/ SWAP BTS FLEX</t>
  </si>
  <si>
    <t>SERV. GERENCIAMENTO DE PROJETO GSM</t>
  </si>
  <si>
    <t>SERV DE REFORÇO DE FUNDAÇÃO (M3)</t>
  </si>
  <si>
    <t>SERV LAUDO ANÁLISE  FUNDAÇÃO S/PROJ DISP</t>
  </si>
  <si>
    <t>SERV. INSTALAÇÃO E COMISSIONAMENTO BSC</t>
  </si>
  <si>
    <t>SERV -REFORÇO DE ESTRUTURA VERTICAL KG</t>
  </si>
  <si>
    <t>SERV LAUDO ANÁLISE ESTRUT. TORRES/POSTES</t>
  </si>
  <si>
    <t>SERV ESTUD. PRELIMINAR PLANEJ FREQUENCIA</t>
  </si>
  <si>
    <t>SERV. ESTUDO PRELIM RADIOMETRICO PRATICO</t>
  </si>
  <si>
    <t>INSTALAÇAO DE REDE DE ACESSO 6 RFUS;BTS</t>
  </si>
  <si>
    <t>INSTALAÇAO DE REDE DE ACESSO 3 RFUS</t>
  </si>
  <si>
    <t>INSTALAÇAO DE REDE DE ACESSO 3 RRUS</t>
  </si>
  <si>
    <t>SW TERMINAL ML LH ETH 7G 1+1 SDH e 4+0 E</t>
  </si>
  <si>
    <t>SW TERMINAL ML LH ETH 7G 1+1 SDH e 3+0 E</t>
  </si>
  <si>
    <t>SW TERMINAL ML LH ETH 7G 1+1 SDH e 2+0 E</t>
  </si>
  <si>
    <t>SW TERMINAL ML LH ETH 8G 5+0</t>
  </si>
  <si>
    <t>SW TERMINAL ML LH ETH 8G 4+0</t>
  </si>
  <si>
    <t>SERV.INSTAL/COMISSIONAMENTO EQ. IPCLOCK</t>
  </si>
  <si>
    <t>LICENÇA DE AGENTE ELITE AVAYA - 251</t>
  </si>
  <si>
    <t>LICENÇA DE AGENTE ELITE AVAYA</t>
  </si>
  <si>
    <t>LICENÇA SOFTPHONE AVAYA-V.6</t>
  </si>
  <si>
    <t>LICENÇA DE CONEXAO PARA GERENCIA</t>
  </si>
  <si>
    <t>LICENÇA DE PROTEÇAO TIPO ELP</t>
  </si>
  <si>
    <t>LICENÇA PARA PROTEÇAO DE 1+1</t>
  </si>
  <si>
    <t>LICENÇA DE INTERFACE ETHERNET</t>
  </si>
  <si>
    <t>LICENÇA DE COMUTAÇAO ETHERNET CN</t>
  </si>
  <si>
    <t>LICENÇA PARA ATIVAÇAO 12E1</t>
  </si>
  <si>
    <t>LICENÇA DE CONTATO SECO TIPO USER I/O</t>
  </si>
  <si>
    <t>LICENÇA PARA PROTEÇAO DE CANAL  1+1</t>
  </si>
  <si>
    <t>LICENÇA DE COMUTAÇAO ETHERNET NPU3B/C</t>
  </si>
  <si>
    <t>LICENÇA PORTAS ETHERNET ADICIONAIS</t>
  </si>
  <si>
    <t>LICENÇA DE CROSS-CONEXAO 20P</t>
  </si>
  <si>
    <t>LICENÇA DE CAPACIDADE DE 500 MB</t>
  </si>
  <si>
    <t>LICENÇA DE CAPACIDADE DE 350 MB</t>
  </si>
  <si>
    <t>LICENÇA DE CAPACIDADE DE 200 MB</t>
  </si>
  <si>
    <t>LICENÇA DE CAPACIDADE DE 100 MB</t>
  </si>
  <si>
    <t>LICENÇA DE CAPACIDADE DE 50 MB</t>
  </si>
  <si>
    <t>LICENÇA DE CAPACIDADE DE 25 MB</t>
  </si>
  <si>
    <t>LICENÇA DE CAPACIDADE DE  10 MB</t>
  </si>
  <si>
    <t>LICENÇA PARA UNIDADE TIPO LTU E 155Mbits</t>
  </si>
  <si>
    <t>LICENÇA PARA UNIDADE TIPO LTU 32/1</t>
  </si>
  <si>
    <t>LICENÇA PARA UNIDADE TIPO LTU 16/1</t>
  </si>
  <si>
    <t>LICENÇA PARA UNIDADE TIPO LTU3 12/1</t>
  </si>
  <si>
    <t>LICENÇA PARA UNIDADE DE MODEM MMU2F</t>
  </si>
  <si>
    <t>LICENÇA PARA CONFIGURAÇAO DE TRAFEGO 6P</t>
  </si>
  <si>
    <t>LICENÇA PARA CONFIGURAÇAO DE TRAFEGO 2P</t>
  </si>
  <si>
    <t>LICENÇA DE CAPACIDADE TIPO AMM 20P</t>
  </si>
  <si>
    <t>LICENÇA PARA UNIDADE DE RADIO TIPO RAU2</t>
  </si>
  <si>
    <t>LICENÇA NETBACKUP SRV UNIX T1 MT</t>
  </si>
  <si>
    <t>LICENÇA NETBACKUP SRV UNIX T1 LIC</t>
  </si>
  <si>
    <t>LICENÇA NETBACKUP SRV WIN/LNX/S64 MT</t>
  </si>
  <si>
    <t>LICENÇA NETBACKUP BD WIN/LNX/S64 T1 MT</t>
  </si>
  <si>
    <t>LICENÇA NETBACKUP BD WIN/LNX/S64 T2 MT</t>
  </si>
  <si>
    <t>LICENÇA NETBACKUP  BD UNIX MT</t>
  </si>
  <si>
    <t>LICENÇA NETBACKUP CLIENTE STD MT</t>
  </si>
  <si>
    <t>LICENÇA NETBACKUP BIBLIOTECA SSO MT</t>
  </si>
  <si>
    <t>LICENÇA NETBACKUP BIBLIOTECA MT</t>
  </si>
  <si>
    <t>SW TERMINAL ML LH ETH 8G 3+0</t>
  </si>
  <si>
    <t>SW TERMINAL ML LH ETH 8G 2+0</t>
  </si>
  <si>
    <t>SW TERMINAL ML LH ETH 8G 1+0</t>
  </si>
  <si>
    <t>SW TERMINAL ML LH ETH 7G 5+0</t>
  </si>
  <si>
    <t>SW TERMINAL ML LH ETH 7G 4+0</t>
  </si>
  <si>
    <t>SW TERMINAL ML LH ETH 7G 3+0</t>
  </si>
  <si>
    <t>SW TERMINAL ML LH ETH 7G 2+0</t>
  </si>
  <si>
    <t>SW TERMINAL ML LH ETH 7G 1+0</t>
  </si>
  <si>
    <t>SW TERMINAL ML LH ETH 6.8G 5+0</t>
  </si>
  <si>
    <t>SW TERMINAL ML LH ETH 6.8G 4+0</t>
  </si>
  <si>
    <t>SW TERMINAL ML LH ETH 6.8G 3+0</t>
  </si>
  <si>
    <t>SW TERMINAL ML LH ETH 6.8G 2+0</t>
  </si>
  <si>
    <t>SW TERMINAL ML LH ETH 6.8G 1+0</t>
  </si>
  <si>
    <t>SW TERMINAL ML LH ETH 6G 5+0</t>
  </si>
  <si>
    <t>SW TERMINAL ML LH ETH 6G 4+0</t>
  </si>
  <si>
    <t>SW TERMINAL ML LH ETH 6G 3+0</t>
  </si>
  <si>
    <t>SW TERMINAL ML LH ETH 6G 2+0</t>
  </si>
  <si>
    <t>SW TERMINAL ML LH ETH 6G 1+0</t>
  </si>
  <si>
    <t>LICENÇA DREAMWEAVER CS5.5 11.5 PORTUGUES</t>
  </si>
  <si>
    <t>SERV. DE IMPLEM DE GAB SERV.P/ GAB EXT</t>
  </si>
  <si>
    <t>SERV. INSTAL ADIC POR TERMINAL PDH N</t>
  </si>
  <si>
    <t>SERV. INSTAL ADIC POR TERMINAL SDH N</t>
  </si>
  <si>
    <t>SERV INST. EQUIPTO TELECOM. ROTEADOR 3G</t>
  </si>
  <si>
    <t>SERV. PRELIMINARES DE ADIC LINK REG N</t>
  </si>
  <si>
    <t>SUBSISTEMA UNIVERSAL SERVER MANAGER AS</t>
  </si>
  <si>
    <t>SOFTWARE QUIDWAY BASICO S9300</t>
  </si>
  <si>
    <t>SW.-RECUPERAÇAO HD - ACRONIS TRUE IMAGE</t>
  </si>
  <si>
    <t>SERV. CONSTR RD TRANSM. CXX-AGENDAMENTO</t>
  </si>
  <si>
    <t>L062O-RECUP ARM</t>
  </si>
  <si>
    <t>P01 CSITE SURVEY</t>
  </si>
  <si>
    <t>SERV.INSTAL ELEM REDE ATIVIC SINALIZAÇÃO</t>
  </si>
  <si>
    <t>SERV. INSTAL DE ELEM DE REDE SINALIZAÇÃO</t>
  </si>
  <si>
    <t>SERV. INSTAL ELEM REDE ATIVAC MULTIPONTO</t>
  </si>
  <si>
    <t>SERV. INSTAL DE ELEM DE REDE MULTIPONTO</t>
  </si>
  <si>
    <t>LICENÇA-BALANCEMANTO DINAMICO CARGA</t>
  </si>
  <si>
    <t>LICENÇA-OTIMIZAÇAO TAXA SINALIZAÇAO</t>
  </si>
  <si>
    <t>LICENÇA-OTIMIZAÇAO DO CAMINHO</t>
  </si>
  <si>
    <t>SOFTWARE NOVELL SUSE LINUX</t>
  </si>
  <si>
    <t>SW DE DEFESA CONTRA CONG LAYER IP</t>
  </si>
  <si>
    <t>SOFTWARE DE PROTEÇAO CONTRA CONG</t>
  </si>
  <si>
    <t>LICENÇA SW - INTEGRATED LIGTHS-OUT</t>
  </si>
  <si>
    <t>SW DE GERENCIAMENTO DE STORAGE-SYMPK ENH</t>
  </si>
  <si>
    <t>SOFTWARE DE REPLICAÇAO DE DADOS TF CLONE</t>
  </si>
  <si>
    <t>LICENÇA-SOFTWARE ORACLE SPATIAL</t>
  </si>
  <si>
    <t>LICENÇA-SOFTWARE  SQL SERVER STANDARD IP</t>
  </si>
  <si>
    <t>SW- RELACIONAMENTO C/ FUNCIONARIO ORACLE</t>
  </si>
  <si>
    <t>SW DE RELACIONAMENTO C/ CLIENTES-ORACLE</t>
  </si>
  <si>
    <t>LICENÇA SW SISTEMA ADM DE PLANO DE DADOS</t>
  </si>
  <si>
    <t>SOFTWARE 3PP P/SERVIDOR DE TARIFAÇAO CS</t>
  </si>
  <si>
    <t>LICENÇA SW CS PARA ASSINANTES POS-PAGOS</t>
  </si>
  <si>
    <t>LICENÇA SW SOLUÇAO DE TARIFAÇAO DE DADOS</t>
  </si>
  <si>
    <t>SW 3PP PARA SERVIDOR DE ADMINISTRAÇAO CS</t>
  </si>
  <si>
    <t>SOFTWARE 3PP P/ SERVIDOR DE TARIFAÇAO CS</t>
  </si>
  <si>
    <t>SOFTWARE 3PP PARA SERVIDOR DE CARTOES SC</t>
  </si>
  <si>
    <t>SW AG BMC BATCH IMPACT MANAGER-ENTERP.1</t>
  </si>
  <si>
    <t>SW AG BMC BATCH IMPACT MANAGER-DEPART.</t>
  </si>
  <si>
    <t>SW AG BMC BATCH IMPACT MANAGER-WORKGROUP</t>
  </si>
  <si>
    <t>SW AG CONTROL-M -ENTERPRISE 3 (33/64)</t>
  </si>
  <si>
    <t>SW AG CONTROL-M -ENTERPRISE 2 (16/32)</t>
  </si>
  <si>
    <t>SW AG CONTROL-M -ENTERPRISE 1 (9/16)</t>
  </si>
  <si>
    <t>SW AG CONTROL-M -DEPARTAMENTAL (3/8)</t>
  </si>
  <si>
    <t>SW AG CONTROL-M FOR DISTRIBUTED SYSTEMS</t>
  </si>
  <si>
    <t>LICENÇA SW - HP INSIGHT CONTROL 8</t>
  </si>
  <si>
    <t>LICENÇA DE USO HP UX 11i V.2 BA507AC</t>
  </si>
  <si>
    <t>SOFTWARE OPERACIONAL PARA PATHFINDER BAS</t>
  </si>
  <si>
    <t>SOFTWARE OPERACIONAL SCOPIA 100 GW P20</t>
  </si>
  <si>
    <t>SW MONITORAÇAO DE SERVIDOR INTEL FV</t>
  </si>
  <si>
    <t>SW GERENCIADOR DE TRAFEGO NBAR FV</t>
  </si>
  <si>
    <t>SW MONITORAÇAO DE BANCO DE DADOS SQL FV</t>
  </si>
  <si>
    <t>SW MONITORAÇAO DE BANCO DE DADOS ORACLE</t>
  </si>
  <si>
    <t>SW MONITORAÇAO DE FIREWALL E IPS FV</t>
  </si>
  <si>
    <t>SW MONITORAÇAO ACCESS POINT FV</t>
  </si>
  <si>
    <t>SW MONITORAÇAO DE SWITCHES FV</t>
  </si>
  <si>
    <t>SW MONITORAÇAO DE ROTEADORES FV</t>
  </si>
  <si>
    <t>SW.-ANALISE DE SEGURANÇA HP WEBINSPECT</t>
  </si>
  <si>
    <t>LIC. SW IONIX-MONITORAMENTO CONCORRENTE</t>
  </si>
  <si>
    <t>LICENÇA SW IONIX-MONITORAMENTO NOMEADO</t>
  </si>
  <si>
    <t>LICENÇA DE SW-CAPACIDADE DO STORAGE</t>
  </si>
  <si>
    <t>LICENÇA DE SW-BALANCEAMENTO DO STORAGE</t>
  </si>
  <si>
    <t>LICENÇA DE SOFTWARE-SISTEMA OP. STORAGE</t>
  </si>
  <si>
    <t>LICENÇA DE SOFTWARE - ETOKEN PRO</t>
  </si>
  <si>
    <t>SOFTWARE-INFORMATICA POWER CENTER</t>
  </si>
  <si>
    <t>SOFTWARE-GESTAO DE PESSOAS OP QM7</t>
  </si>
  <si>
    <t>LICENÇA HP XP ARRAYMANAGER 1TB 128</t>
  </si>
  <si>
    <t>SW AG BMC BATCH IMPACT MANAGER-ENTERP.3</t>
  </si>
  <si>
    <t>SW AG BMC BATCH IMPACT MANAGER-ENTERP.2</t>
  </si>
  <si>
    <t>SOFT. DE SEGURANÇA CHECK POINT-NGX R62</t>
  </si>
  <si>
    <t>LICENÇA SW-HABILITAÇAO PORTAS DE SWITCH</t>
  </si>
  <si>
    <t>SW MONITORAÇAO DE VOICE FV</t>
  </si>
  <si>
    <t>SW MONITORAÇAO DE VOICE PBX AVAYA FV</t>
  </si>
  <si>
    <t>SW MONITORAÇAO DE MICROSOFT ISA FV</t>
  </si>
  <si>
    <t>SW MONITORAÇAO DE MICROSOFT WINS FV</t>
  </si>
  <si>
    <t>SW MONITORAÇAO DE MICROSOFT DHCP FV</t>
  </si>
  <si>
    <t>SW MONITORAÇAO DE MICROSOFT DNS FV</t>
  </si>
  <si>
    <t>SW MONITORAÇAO DE MICROSOFT ACTIVE DIREC</t>
  </si>
  <si>
    <t>SW MONITORAÇAO DE EXCHANGE FV</t>
  </si>
  <si>
    <t>SW MONITORAÇAO DE WEBSPHEARE WAP FV</t>
  </si>
  <si>
    <t>SW MONITORAÇAO DE SERVIDOR WEB IIS FV</t>
  </si>
  <si>
    <t>SW MONITORAÇAO DE PROCESSOS FV</t>
  </si>
  <si>
    <t>SW MONITORAÇAO DE TESTES HTTP FV</t>
  </si>
  <si>
    <t>SW MONITORAÇAO DE TESTES WEB FV</t>
  </si>
  <si>
    <t>SW MONITORAÇAO DE TESTES JNDI FV</t>
  </si>
  <si>
    <t>SW MONITORAÇAO DE TESTES CONSULTAS FV</t>
  </si>
  <si>
    <t>SW MONITORAÇAO DE TESTES PORTSCAN FV</t>
  </si>
  <si>
    <t>SW MONITORAÇAO DE CISCO BACKUP FV</t>
  </si>
  <si>
    <t>SW MONITORAÇAO DE GERENCIAMENTO DE EVENT</t>
  </si>
  <si>
    <t>SW MONITORAÇAO DE REGRAS DE SLA FV</t>
  </si>
  <si>
    <t>SW MONITORAÇAO DE CISCO CBQOS FV</t>
  </si>
  <si>
    <t>CERTIFICADO-LICENCA DE SOFTW. HP-LO1001</t>
  </si>
  <si>
    <t>CERTIFICADO DE LICENCA DE SOFTW. HP-ILO</t>
  </si>
  <si>
    <t>MANUAL EM INGLES HP-UX</t>
  </si>
  <si>
    <t>LICENÇA DE SW. STM-16 HIT7070 POR PLACA</t>
  </si>
  <si>
    <t>SERVIÇO DE MIGRAÇAO DE NODEB ATM-IP</t>
  </si>
  <si>
    <t>LICENÇA DE SOFTWARE TABLEAU DESKTOP</t>
  </si>
  <si>
    <t>SW-DESENVOLVIMENTO WEB ADOBE IBM ELIXIR</t>
  </si>
  <si>
    <t>SW-DESENVOLVIMENTO WEB ADOBE FLASH BUILD</t>
  </si>
  <si>
    <t>SOFTWARE DE DEPURAÇAO-TOTALVIEW DEBUGGER</t>
  </si>
  <si>
    <t>LICENÇA DE SOFTWARE-XCELCIUS PRESENT 5.1</t>
  </si>
  <si>
    <t>LICENÇA-SOFTWARE VMWARE GOLD ENTERPRISE</t>
  </si>
  <si>
    <t>SOFTWARE  ADOBE ACROBAT</t>
  </si>
  <si>
    <t>SERV. INSTAL EQUIP TRANS./ROOF TOP ID</t>
  </si>
  <si>
    <t>SERV. INSTAL EQUIP TRANS./ROOF TOP IC</t>
  </si>
  <si>
    <t>SERV. INSTAL EQUIP TRANS./ROOF TOP IB</t>
  </si>
  <si>
    <t>SERV. INSTAL EQUIP TRANS./ROOF TOP IA</t>
  </si>
  <si>
    <t>SERV.INSTAL EQ.TRANS/SUPORTE PLATAFORMA</t>
  </si>
  <si>
    <t>SERV.INSTAL EQ.TRANS./SUPORTE POSTE IIA</t>
  </si>
  <si>
    <t>SERV. INSTAL EQ.TRANS./SUPORTE POSTE IA</t>
  </si>
  <si>
    <t>SERV.INSTAL EQ.TRANS./SUPORTE FACE IIIA</t>
  </si>
  <si>
    <t>SERV.INSTAL EQ.TRANS./SUPORTE FACE IIA</t>
  </si>
  <si>
    <t>SERV.INSTAL EQ.TRANS./SUPORTE FACE IA</t>
  </si>
  <si>
    <t>SERV. INSTAL EQP TRANS/SUPORTE CANTO</t>
  </si>
  <si>
    <t>TREINAMENTO DE GERENCIA DE SISTEMA</t>
  </si>
  <si>
    <t>OPERAÇAO ASSISTIDA EM EQUIPTOS TRANSM.</t>
  </si>
  <si>
    <t>SERV. INST EQ. TRANS ROUTE DATA EXPAN</t>
  </si>
  <si>
    <t>SERV. INST EQ. TRANS ROUTE DATA EXTENS</t>
  </si>
  <si>
    <t>SERV. INSTAL. EQ. TRANS GERA ROUTE DATA</t>
  </si>
  <si>
    <t>SERV.DESINSTAL/REMAN.- EQ. TRANS P/SHD</t>
  </si>
  <si>
    <t>SERV.DESINSTAL/UP CAP EQ SDH FULL IND A</t>
  </si>
  <si>
    <t>SERV. DESINSTAL/UP CAP EQUIP P/SDH A</t>
  </si>
  <si>
    <t>SERV.INSTAL/MIG- EQUIP TRANSMISSAO MUX</t>
  </si>
  <si>
    <t>SERV. INSTAL/MIG DE EQ. TRANSMISSAO RAD</t>
  </si>
  <si>
    <t>SERV. DESINSTAL/UP CAP EQ. SDH FULL IND</t>
  </si>
  <si>
    <t>SERV.DESINSTAL/UP CAP EQUIP P/SDH SPLIT</t>
  </si>
  <si>
    <t>SERV. INSTAL/UP CAPACID DE EQUIP SDH</t>
  </si>
  <si>
    <t>SERV. INSTAL/UP CAPAC EQUIP P/SDH SPLIT</t>
  </si>
  <si>
    <t>SERV.INSTAL/UP CAPAC EQUIP SDH FULL IND</t>
  </si>
  <si>
    <t>SERV. INSTAL/UP CAPACID DE EQUIP S/PDH</t>
  </si>
  <si>
    <t>SERV. INSTAL/CONFIG DE ROTEADOR 3G</t>
  </si>
  <si>
    <t>SERV. INSTAL DE EQUIP TRANSMISSAO SI</t>
  </si>
  <si>
    <t>LAUDO/SEM PROJETO INSTAL RADIO ENLACE</t>
  </si>
  <si>
    <t>LAUDO/PROJETO DE INSTAL RADIO ENLACE</t>
  </si>
  <si>
    <t>ELABORAÇAO DE PROJETO/LAUDO VISADA</t>
  </si>
  <si>
    <t>ELABORAÇAO DE PROJETO DE PROSPECÇAO</t>
  </si>
  <si>
    <t>SERV. PROJ. ENG. ANALISE/CALC. ENL-RADIO</t>
  </si>
  <si>
    <t>SERV PROJ. ENGENHARIA QUALIFICAÇAO SITE</t>
  </si>
  <si>
    <t>SERV. DE VITORIA ENLACE DE RADIO SDH</t>
  </si>
  <si>
    <t>SERV. DE VITORIA ENLACE DE RADIO PDH</t>
  </si>
  <si>
    <t>SERV. ADAPTAÇAO DE INFRA-SITES ROOFTOP</t>
  </si>
  <si>
    <t>SERV. ADAPTAÇAO DE INFRA-SITES GREENFIEL</t>
  </si>
  <si>
    <t>ELABORAÇAO DO PROJETO DE SITAR</t>
  </si>
  <si>
    <t>ELABORAÇAO DE PROJETO DE CÉLULA (CDD)</t>
  </si>
  <si>
    <t>ELABORAÇAO DO PROJETO PRE DE INST (PPI)</t>
  </si>
  <si>
    <t>ELABORAÇAO DO PROJETO DE RF (QRF)</t>
  </si>
  <si>
    <t>SERV DE VISTORIA IMP DE SITE COM RF</t>
  </si>
  <si>
    <t>LICENÇA DE SOFTWARE ACISION 1595-2895MDA</t>
  </si>
  <si>
    <t>SOFTWARE OSS - SGSN / GGSN</t>
  </si>
  <si>
    <t>LICENÇA DE SOFTWARE +2000AG</t>
  </si>
  <si>
    <t>LICENÇA DE SOFTWARE 1000-2000AG</t>
  </si>
  <si>
    <t>LICENÇA DE SOFTWARE 500-1000AG</t>
  </si>
  <si>
    <t>LICENÇA DE SOFTWARE 200-500AG</t>
  </si>
  <si>
    <t>LICENÇA DE SOFTWARE +4800VP</t>
  </si>
  <si>
    <t>LICENÇA DE SOFTWARE 2400-4800VP</t>
  </si>
  <si>
    <t>LICENÇA DE SOFTWARE 1200-2400VP</t>
  </si>
  <si>
    <t>LICENÇA DE SOFTWARE 300-1200VP</t>
  </si>
  <si>
    <t>LICENÇA DE SOFTWARE 30-300VP</t>
  </si>
  <si>
    <t>LICENÇA DE SOFTWARE 30VP</t>
  </si>
  <si>
    <t>SOFTWARE ADAPTADOR DE MIDIA WEB</t>
  </si>
  <si>
    <t>SOFTWARE ADAPTADOR DE MIDIA FAX</t>
  </si>
  <si>
    <t>LICENÇA DE SOFTWARE 1-20 EMAIL/S</t>
  </si>
  <si>
    <t>LICENÇA DE SOFTWARE +20 WAPP/S</t>
  </si>
  <si>
    <t>LICENÇA DE SOFTWARE 1-20 WAPP/S</t>
  </si>
  <si>
    <t>LICENÇA DE SOFTWARE +20 MMS/S</t>
  </si>
  <si>
    <t>LICENÇA DE SOFTWARE 1-20 MMS/S</t>
  </si>
  <si>
    <t>LICENÇA DE SOFTWARE +20 SMS/S</t>
  </si>
  <si>
    <t>LICENÇA DE SOFTWARE 1-20 SMS/S</t>
  </si>
  <si>
    <t>SOTFW MEDIA INFO GROUP FUNÇAO DE  ENVIO</t>
  </si>
  <si>
    <t>LICENÇA DE SOFTWARE UNIX-HARDE</t>
  </si>
  <si>
    <t>LICENÇA DE SOFTWARE DB-HARDEN</t>
  </si>
  <si>
    <t>LICENÇA DE SOFTWARE LINUX-HARDEN</t>
  </si>
  <si>
    <t>SOFTWARE DE ANALISE E RELATORIOS</t>
  </si>
  <si>
    <t>LICENÇA DE SOFTWARE LTB2NODE02</t>
  </si>
  <si>
    <t>LICENÇA DE SOFTWARE LTB2CPU02</t>
  </si>
  <si>
    <t>LICENÇA DE SOFTWARE POR CTI SITE</t>
  </si>
  <si>
    <t>LICENÇA DE SOFTWARE 10VCC</t>
  </si>
  <si>
    <t>LICEN SOFTWARE DE SUBSISTEMA TOOLKIT</t>
  </si>
  <si>
    <t>SOFTWARE SE2600 V200R008</t>
  </si>
  <si>
    <t>SOFTWARE SYMANTEC NBU</t>
  </si>
  <si>
    <t>DOCUMENTOS TECNICOS PARA CSV V6</t>
  </si>
  <si>
    <t>DOCUMENTOS TECNICOS PARA UAP6600</t>
  </si>
  <si>
    <t>DOCUMENTOS TECNICOS PARA ATAE</t>
  </si>
  <si>
    <t>DOCUMENTOS TECNICOS PARA I2000</t>
  </si>
  <si>
    <t>SOFTWARE HUAWEI SESSIONENGINE2300</t>
  </si>
  <si>
    <t>PACOTE DE SOFTWARE DE RECURSO DE VIDEO</t>
  </si>
  <si>
    <t>LIC PACOTE DE SOFTWARE RECURSO DE AUDIO</t>
  </si>
  <si>
    <t>PACOTE DE SOFTWARE DE CONTROLE DE CHAM</t>
  </si>
  <si>
    <t>PACOTE DE SOFTWARE DE CONTROLE DE BEARER</t>
  </si>
  <si>
    <t>PACOTE DE SW DE GER DE RECURSO DE MDA</t>
  </si>
  <si>
    <t>PACOTE DE SW DE PROCESSO DE PROTOCOLO</t>
  </si>
  <si>
    <t>PACOTE DE SOFTWARE DE ADMINISTRAÇAO</t>
  </si>
  <si>
    <t>PACOTE DE SOFTWARE APLICATIVO CLIENTE</t>
  </si>
  <si>
    <t>SOFTW GESTAO DE DADOS DE APLIC. 1-11E</t>
  </si>
  <si>
    <t>LICENÇA DE SOFTWARE I2000 PUBLEL</t>
  </si>
  <si>
    <t>LICENÇA DE SOFTWARE I2000 BSS</t>
  </si>
  <si>
    <t>SOFTWARE ANTI-VIRUS TREDMICRO</t>
  </si>
  <si>
    <t>SOFTWARE MIDDLEWARE IBM-ILOG JTGO</t>
  </si>
  <si>
    <t>SISTEMA OPERACIONAL WINDOWS 2003 R2</t>
  </si>
  <si>
    <t>SOFTWARE DE SUBSISTEMA DA SOLUÇAO</t>
  </si>
  <si>
    <t>SOFTWARE ROGUEWAVE SOURCE PRO</t>
  </si>
  <si>
    <t>SOFTWARE MIDDLEWARE WEBSPHERE-ILOG</t>
  </si>
  <si>
    <t>SOFTWARE GERENCIAMENTO DE PLATAFORMA</t>
  </si>
  <si>
    <t>LCENÇA DE VIRTUALIZAÇAO SYMC WORKSPACE</t>
  </si>
  <si>
    <t>SERV CONFIG SW ATIVAÇAO P/CORE DE DADOS</t>
  </si>
  <si>
    <t>SERV CONFIG SW ATIVAÇ. USUAR TRAFFICA Z5</t>
  </si>
  <si>
    <t>SERV CONFIG SW ATIVAÇAO FERRAM. MONITOR.</t>
  </si>
  <si>
    <t>PLANEJAMENTO LOGICO INSTAL HW TRAFEGO</t>
  </si>
  <si>
    <t>PLANEJAMENTO LOGICO MIGRAÇAO ASSINANTES</t>
  </si>
  <si>
    <t>LICENÇA RUNTIME - JTGO</t>
  </si>
  <si>
    <t>LICENÇA DE SOFTWARE RUNTIME-ILOG RELESO</t>
  </si>
  <si>
    <t>LICENÇA INDUSTRIAL POR CHAMADAS/SEGUNDOo</t>
  </si>
  <si>
    <t>SOFTWARE SERVIDOR RECUPERADOR DE DISATRE</t>
  </si>
  <si>
    <t>SOFTWARE DE REPLICAÇAO VERITAS</t>
  </si>
  <si>
    <t>SOFTWARE AGENTE RECUPERADOR DE DISATRE</t>
  </si>
  <si>
    <t>SOFTWARE VERITAS PARA ARMAZENAMENTO-ATAE</t>
  </si>
  <si>
    <t>SOFTWARE PARA SERVIDOR VERITAS CLUSTER</t>
  </si>
  <si>
    <t>CONTROLE DE RECUPERAÇAO DE DISATRE</t>
  </si>
  <si>
    <t>PACOTE DE SOFTWARE BASICO  USAU</t>
  </si>
  <si>
    <t>PACOTE DE SOFTWARE GERENCIAMENTO-ATAE</t>
  </si>
  <si>
    <t>SERV. TECNICO-INTEGRAÇAO/COMPATIBILIDADE</t>
  </si>
  <si>
    <t>SERVIÇO-ANALISE/ MANIPULAÇAO DE DOCTOS</t>
  </si>
  <si>
    <t>SERVIÇO DE DIGITALIZAÇAO DE DOCUMENTOS</t>
  </si>
  <si>
    <t>SUPORTE TECNICO HORA ATENDIMENTO LOCAL</t>
  </si>
  <si>
    <t>SERVIÇO-SUPORTE TECNICO HORA ADICIONAL</t>
  </si>
  <si>
    <t>SERVIÇO DE SUPORTE TECNICO HORA AVULSA</t>
  </si>
  <si>
    <t>SUPORTE TECNICO INFRAESTRUTURA DE NBU</t>
  </si>
  <si>
    <t>SERV. DE IMPLEM DE SITE 3G E RET GAB SEV</t>
  </si>
  <si>
    <t>SERV. DE IMPLEM.DE SITE 3G 3000 P/6000</t>
  </si>
  <si>
    <t>SERV. ADEQUAÇAO-ATIVAÇAO DE PLATAFORMA</t>
  </si>
  <si>
    <t>SERV.TC MIGRAÇAO DADOS/VOZ 3G S/VISITA  </t>
  </si>
  <si>
    <t>MIGRAÇAO DADOS/VOZ 3G C/INST.CABEAMENTO</t>
  </si>
  <si>
    <t>TESTE DE ACEITAÇAO FINAL OSN8800</t>
  </si>
  <si>
    <t>INSTALAÇAO E COMISSIONAMENTO OSN8800</t>
  </si>
  <si>
    <t>SOFTWARE BASICO OSN8800 POR SUBRACK</t>
  </si>
  <si>
    <t>LICENÇA CROSS BAIXA ORDEM(VC12) OSN8800</t>
  </si>
  <si>
    <t>LICENÇA CROSS ALTA ORDEM(360G) OSN8800</t>
  </si>
  <si>
    <t>L062C  RECUP ARM</t>
  </si>
  <si>
    <t>L047C-HASTE ADIC</t>
  </si>
  <si>
    <t>V07C DOCUMENTAÇÃO</t>
  </si>
  <si>
    <t>MASTER-VALOR BASE</t>
  </si>
  <si>
    <t>I08C-INST PÁRA-RAIO</t>
  </si>
  <si>
    <t>G07C-INST CONV/FRAC</t>
  </si>
  <si>
    <t>G23C INST DE MASTRO</t>
  </si>
  <si>
    <t>MASTER-CHURN &gt;1,35%</t>
  </si>
  <si>
    <t>MASTER-CHURN &lt;1,00%</t>
  </si>
  <si>
    <t>L061O-RETIR DE MARCO</t>
  </si>
  <si>
    <t>C020O-EXAME DE LINHA</t>
  </si>
  <si>
    <t>L054C-INSTAL ESTEIRAS</t>
  </si>
  <si>
    <t>L060C-INSTAL DE MARCO</t>
  </si>
  <si>
    <t>C012O-RETIR JMP DG CT</t>
  </si>
  <si>
    <t>L061C  RETIR DE MARCO</t>
  </si>
  <si>
    <t>C020C  EXAME DE LINHA</t>
  </si>
  <si>
    <t>I04C-INST DE TUBULAÇÃO</t>
  </si>
  <si>
    <t>V08C LAVAGEM DE ANTENA</t>
  </si>
  <si>
    <t>L064O-SUBST DA CARCAÇA</t>
  </si>
  <si>
    <t>P02-SITE SURVEY-ATÉ50KM</t>
  </si>
  <si>
    <t>P02C-PROJETO DE SOLUÇÃO</t>
  </si>
  <si>
    <t>L064C  SUBST DA CARCACA</t>
  </si>
  <si>
    <t>L078O-AMARRAÇÃO DE CABO</t>
  </si>
  <si>
    <t>G01C-INST UNIDADE INDOOR</t>
  </si>
  <si>
    <t>CONTROLE MEIOS TERCEIROS</t>
  </si>
  <si>
    <t>SERVIÇOS MARE - CLASSE G</t>
  </si>
  <si>
    <t>SERVIÇOS MARE - CLASSE L</t>
  </si>
  <si>
    <t>SERVIÇOS MARE - CLASSE C</t>
  </si>
  <si>
    <t>SERVIÇOS MARE - CLASSE F</t>
  </si>
  <si>
    <t>SERVIÇOS MARE - CLASSE B</t>
  </si>
  <si>
    <t>SERVIÇOS MARE - CLASSE S</t>
  </si>
  <si>
    <t>V01-SITE SURVEY-50A150KM</t>
  </si>
  <si>
    <t>G22C DESINST DE SUB BAST</t>
  </si>
  <si>
    <t>G24C DESINST DE MASTROST</t>
  </si>
  <si>
    <t>L078C  AMARRACAO DE CABO</t>
  </si>
  <si>
    <t>L055C-INSTAL VERTICAIS DG</t>
  </si>
  <si>
    <t>G02C-INST UNIDADE OUTDOOR</t>
  </si>
  <si>
    <t>V07-DOCUMENTAÇÃO-50A150KM</t>
  </si>
  <si>
    <t>SERVIÇOS MARE - CLASSE GI</t>
  </si>
  <si>
    <t>P02-SITE SURVEY-150A300KM</t>
  </si>
  <si>
    <t>V01-SITE SURVEY-150A300KM</t>
  </si>
  <si>
    <t>P02-SITE SURVEY-300A500KM</t>
  </si>
  <si>
    <t>V01-SITE SURVEY-300A500KM</t>
  </si>
  <si>
    <t>MASTER-CHURN &lt;1,35%&gt;1,00%</t>
  </si>
  <si>
    <t>F010O-RETIR BAST DIST ÓPT</t>
  </si>
  <si>
    <t>V07-DOCUMENTAÇÃO-150A300KM</t>
  </si>
  <si>
    <t>V07-DOCUMENTAÇÃO-300A500KM</t>
  </si>
  <si>
    <t>S001C-CADASTRAMENTO DE MUB</t>
  </si>
  <si>
    <t>P02-SITE SURVEY ACIMA500KM</t>
  </si>
  <si>
    <t>V01-SITE SURVEY-ACIMA500KM</t>
  </si>
  <si>
    <t>S011C-PROJETO REDE EXTERNA</t>
  </si>
  <si>
    <t>L041O-RETIR CABO ÓPT QQ TP</t>
  </si>
  <si>
    <t>F010C  RETIR BAST DIST OPT</t>
  </si>
  <si>
    <t>L046C-CJ LINHA TERRA 4 HST</t>
  </si>
  <si>
    <t>L031C-INSTAL CABO ÓPT QQ TP</t>
  </si>
  <si>
    <t>G05C-INST DE ANTENA &gt; 2,4 M</t>
  </si>
  <si>
    <t>V07-DOCUMENTACAO-ACIMA500KM</t>
  </si>
  <si>
    <t>L041C  RETIR CABO OPT QQ TP</t>
  </si>
  <si>
    <t>C024O-CONTATO COM O CLIENTE</t>
  </si>
  <si>
    <t>DESLOCAMENTO DE 50 A 150 KM</t>
  </si>
  <si>
    <t>I04-INST.TUBULAÇÃO-50A150KM</t>
  </si>
  <si>
    <t>G03C-INST DE ANTENA &lt;= 1,5 M</t>
  </si>
  <si>
    <t>G16C INST BAST ATÉ 40U AC/DC</t>
  </si>
  <si>
    <t>V11-ATIVAÇÃO DE VSAT-ATÉ50KM</t>
  </si>
  <si>
    <t>PROSPECCAO PONTO DE PRESENCA</t>
  </si>
  <si>
    <t>S012C-PROJETO ACESSO CLIENTE</t>
  </si>
  <si>
    <t>MASTER-BÔNUS MENSALIDADE DAU</t>
  </si>
  <si>
    <t>L013O-RETIR CABO AÉREO QQ TP</t>
  </si>
  <si>
    <t>L074O-CONSERV SEM DESINFEÇÃO</t>
  </si>
  <si>
    <t>L075O-CONSERV COM DESINFEÇÃO</t>
  </si>
  <si>
    <t>L067O-FIX CONECTOR BLINDAGEM</t>
  </si>
  <si>
    <t>C024C  CONTATO COM O CLIENTE</t>
  </si>
  <si>
    <t>DESLOCAMENTO DE 150 A 300 KM</t>
  </si>
  <si>
    <t>DESLOCAMENTO DE 300 A 500 KM</t>
  </si>
  <si>
    <t>I04-INST.TUBULAÇÃO-150A300KM</t>
  </si>
  <si>
    <t>I08-INST.PARA-RAIO-150A300KM</t>
  </si>
  <si>
    <t>I04-INST.TUBULAÇÃO-300A500KM</t>
  </si>
  <si>
    <t>Gi004C-INSTAL DUTOS ATÉ 120MM</t>
  </si>
  <si>
    <t>I05C-INST ESCADA GUARDA CORPO</t>
  </si>
  <si>
    <t>G08C-INST CONV/FRAC PTO A PTO</t>
  </si>
  <si>
    <t>G18C INST BAST DID E QDB FILA</t>
  </si>
  <si>
    <t>V06C INST E TESTE  EQPTO NOVO</t>
  </si>
  <si>
    <t>V10C INST DE VSAT  EQPTO NOVO</t>
  </si>
  <si>
    <t>V11-ATIVAÇÃO DE VSAT-50A150KM</t>
  </si>
  <si>
    <t>SERV. INSTALAÇÃO DE REDE TELEC NODEB</t>
  </si>
  <si>
    <t>I02C-INFRA-ESTRUTURA EM UM PT</t>
  </si>
  <si>
    <t>G27-VISTORIA TÉCNICA-50A150KM</t>
  </si>
  <si>
    <t>L059D-PODA DE BAMBU-MAN/RECUP</t>
  </si>
  <si>
    <t>R14C DESINST LD EBT ANT &lt;1,5M</t>
  </si>
  <si>
    <t>V09C DESINST VSAT E EMBALAGEM</t>
  </si>
  <si>
    <t>G035D-TSTS EM DUTOS-MAN/RECUP</t>
  </si>
  <si>
    <t>B015O-SUBST COMPO BLOCO EM DG</t>
  </si>
  <si>
    <t>L074C  CONSERV SEM DESINFECAO</t>
  </si>
  <si>
    <t>L075C  CONSERV COM DESINFECAO</t>
  </si>
  <si>
    <t>L067C  FIX CONECTOR BLINDAGEM</t>
  </si>
  <si>
    <t>I04-INST.TUBULACAO ACIMA500KM</t>
  </si>
  <si>
    <t>I08-INST.PARA-RAIO-ACIMA500KM</t>
  </si>
  <si>
    <t>CB06C INST ESTEIRAMENTO/CALHAS</t>
  </si>
  <si>
    <t>S014C-AS BUILT DE REDE EXTERNA</t>
  </si>
  <si>
    <t>V11-ATIVAÇÃO DE VSAT-150A300KM</t>
  </si>
  <si>
    <t>V11-ATIVAÇÃO DE VSAT-300A500KM</t>
  </si>
  <si>
    <t>P01-SITE SURVEY SIMPL.-ATÉ50KM</t>
  </si>
  <si>
    <t>G27-VISTORIA TÉCNICA-150A300KM</t>
  </si>
  <si>
    <t>G27-VISTORIA TÉCNICA-300A500KM</t>
  </si>
  <si>
    <t>V08-LAVAGEM DA ANTENA-ATE 50KM</t>
  </si>
  <si>
    <t>V08-LAVAGEM DA ANTENA-50A150KM</t>
  </si>
  <si>
    <t>MASTER-BÔNUS M. MENSAL  &gt;=120%</t>
  </si>
  <si>
    <t>MASTER-BÔNUS TEMPO ATENDIMENTO</t>
  </si>
  <si>
    <t>MASTER-VALOR BASE REINSTALAÇÃO</t>
  </si>
  <si>
    <t>R18-RETIRADA DE CABO-150A300KM</t>
  </si>
  <si>
    <t>R18-RETIRADA DE CABO-300A500KM</t>
  </si>
  <si>
    <t>G21C DESINST DE BASTCABO PARES</t>
  </si>
  <si>
    <t>MANUT. PREV. DINÂMICA-REDE ADE</t>
  </si>
  <si>
    <t>MANUT. PREV. ESTÁTICA-REDE ADE</t>
  </si>
  <si>
    <t>C015O-SUBST CONECTOR BLINDAGEM</t>
  </si>
  <si>
    <t>B015C  SUBST COMPO BLOCO EM DG</t>
  </si>
  <si>
    <t>C013O-LIGAÇÃO BLOCOS TERMINAIS</t>
  </si>
  <si>
    <t>E05-INSTALAÇÃO DE ADM-50A150KM</t>
  </si>
  <si>
    <t>R10-ALINHAM.RÁDIO PP-150A300KM</t>
  </si>
  <si>
    <t>R10-ALINHAM.RÁDIO PP-300A500KM</t>
  </si>
  <si>
    <t>G008C-INSTAL DE DUTOS EM PONTE</t>
  </si>
  <si>
    <t>L008C-INSTAL DE CABO ADIC QQ TP</t>
  </si>
  <si>
    <t>L011C-INSTAL CORDOALHA SEM CABO</t>
  </si>
  <si>
    <t>C04C INST PLACAS EM MUXADOR/ROT</t>
  </si>
  <si>
    <t>V11-ATIVACAO DE VSAT-ACIMA500KM</t>
  </si>
  <si>
    <t>G14C-TESTE DE BER CCTO-ATIVAÇÃO</t>
  </si>
  <si>
    <t>V04C INFRA ESTRUTURA PÁRA RAIOS</t>
  </si>
  <si>
    <t>V14C SAT SEM INFRA(V01+V06+V07)</t>
  </si>
  <si>
    <t>P03-PROJETO(CLIENTE)-PP-ATÉ50KM</t>
  </si>
  <si>
    <t>P04-PROJ.(CLIENTE)-PMP-ATÉ50KMM</t>
  </si>
  <si>
    <t>P05-EST.VIABIL.C\BALÃO-ATÉ50KMM</t>
  </si>
  <si>
    <t>P01-SITE SURVEY SIMPL.-50A150KM</t>
  </si>
  <si>
    <t>P02-SITE SURVEY-50A150KM0A150KM</t>
  </si>
  <si>
    <t>P03-PROJETO(CLIENTE) ACIMA500KM</t>
  </si>
  <si>
    <t>G27-VISTORIA TECNICA-ACIMA500KM</t>
  </si>
  <si>
    <t>S018C-ADIC PROJETO REDE EXTERNA</t>
  </si>
  <si>
    <t>C05C TELEMARKETING DE POS VENDA</t>
  </si>
  <si>
    <t>V08-LAVAGEM DA ANTENA-150A300KM</t>
  </si>
  <si>
    <t>V08-LAVAGEM DA ANTENA-300A500KM</t>
  </si>
  <si>
    <t>L058D-ROÇADA AO LONGO-MAN/RECUP</t>
  </si>
  <si>
    <t>R18-RETIRADA DE CABO-ACIMA500KM</t>
  </si>
  <si>
    <t>L043O-RETIR SIMUL CABO DE QQ TP</t>
  </si>
  <si>
    <t>L052O-RETIR TUBO SUBIDA LATERAL</t>
  </si>
  <si>
    <t>L053O-RETIR CRUZETA DE EXTENSÃO</t>
  </si>
  <si>
    <t>L071O-REMOÇÃO DE LINHA DE TERRA</t>
  </si>
  <si>
    <t>G06C DESINST UND INDOOR OUTDOOR</t>
  </si>
  <si>
    <t>MANUT.CORR. PROGRAMADA-REDE ADE</t>
  </si>
  <si>
    <t>G018D-RECOMP PAV PASS-MAN/RECUP</t>
  </si>
  <si>
    <t>L065O-SUBST DA PORTA DO ARMÁRIO</t>
  </si>
  <si>
    <t>B010O-SUBST FIOS/CABOS EXTERNOS</t>
  </si>
  <si>
    <t>C015C  SUBST CONECTOR BLINDAGEM</t>
  </si>
  <si>
    <t>I03-CIRC.ELETR.ATERR.-150A300KM</t>
  </si>
  <si>
    <t>I03-CIRC.ELETR.ATERR.-300A500KM</t>
  </si>
  <si>
    <t>C004C-CONEX CONDUTOR CABO MORTO</t>
  </si>
  <si>
    <t>I03C-CIRCUITO ELÉTRICO ATERRADO</t>
  </si>
  <si>
    <t>C013C  LIGACAO BLOCOS TERMINAIS</t>
  </si>
  <si>
    <t>C04-INST./TROCA PLACAS-50A150KM</t>
  </si>
  <si>
    <t>V10-INSTALAÇÃO DE VSAT-50A150KM</t>
  </si>
  <si>
    <t>R11-ALINHAM.RÁDIO PMP-150A300KM</t>
  </si>
  <si>
    <t>R11-ALINHAM.RÁDIO PMP-300A500KM</t>
  </si>
  <si>
    <t>E05-INSTALAÇÃO DE ADM-150A300KM</t>
  </si>
  <si>
    <t>E05-INSTALAÇÃO DE ADM-300A500KM</t>
  </si>
  <si>
    <t>R10-ALINHAM.RADIO PP-ACIMA500KM</t>
  </si>
  <si>
    <t>L010C-INSTAL CABO ESPINADO QQ TP</t>
  </si>
  <si>
    <t>L049C-INSTAL CRUZETA DE EXTENSÃO</t>
  </si>
  <si>
    <t>G20C INST SUB BAST C/ALIMENTAÇÃO</t>
  </si>
  <si>
    <t>G25C INST DE SUPORTE PARA ANTENA</t>
  </si>
  <si>
    <t>CE12C TESTE ACESS 24HS CCTO NOVO</t>
  </si>
  <si>
    <t>R08C-ATIV RD PT A PT -EQPTO NOVO</t>
  </si>
  <si>
    <t>CE02C EXEC OT ATIV SERVIÇO DADOS</t>
  </si>
  <si>
    <t>I01-INFRA-ESTRUT.BÁSICA -ATÉ50KM</t>
  </si>
  <si>
    <t>P03-PROJETO(CLIENTE)-PP-50A150KM</t>
  </si>
  <si>
    <t>P04-PROJ.(CLIENTE)-PMP-50A150KMM</t>
  </si>
  <si>
    <t>P05-EST.VIABIL.C\BALÃO-50A150KMM</t>
  </si>
  <si>
    <t>P01-SITE SURVEY SIMPL.-150A300KM</t>
  </si>
  <si>
    <t>P04-PROJ.(CLIENTE)-PMP-150A300KM</t>
  </si>
  <si>
    <t>P05-EST.VIABIL.C\BALÃO-150A300KM</t>
  </si>
  <si>
    <t>P01-SITE SURVEY SIMPL.-300A500KM</t>
  </si>
  <si>
    <t>P04-PROJ.(CLIENTE)-PMP-300A500KM</t>
  </si>
  <si>
    <t>P05-EST.VIABIL.C\BALÃO-300A500KM</t>
  </si>
  <si>
    <t>P01-SITE SURVEY SIMPL ACIMA500KM</t>
  </si>
  <si>
    <t>G020D-DEMOL DE CON ARM-MAN/RECUP</t>
  </si>
  <si>
    <t>V08-LAVAGEM DA ANTENA-ACIMA500KM</t>
  </si>
  <si>
    <t>L005O-RETIR DE TIRANTE EM ÂNCORA</t>
  </si>
  <si>
    <t>C011I-RETIR JMP ARM AS-MAN/RECUP</t>
  </si>
  <si>
    <t>G26C DESINST SUPORTE PARA ANTENA</t>
  </si>
  <si>
    <t>L043C  RETIR SIMUL CABO DE QQ TP</t>
  </si>
  <si>
    <t>L052C  RETIR TUBO SUBIDA LATERAL</t>
  </si>
  <si>
    <t>L053C  RETIR CRUZETA DE EXTENSAO</t>
  </si>
  <si>
    <t>L071C  REMOCAO DE LINHA DE TERRA</t>
  </si>
  <si>
    <t>MANUT.CORR. EMERGENCIAL-REDE ADE</t>
  </si>
  <si>
    <t>L065C  SUBST DA PORTA DO ARMARIO</t>
  </si>
  <si>
    <t>B010C  SUBST FIOS CABOS EXTERNOS</t>
  </si>
  <si>
    <t>I03-CIRC.ELETR.ATERR. ACIMA500KM</t>
  </si>
  <si>
    <t>I09C-HASTE ATERRAMENTO COM SOLDA</t>
  </si>
  <si>
    <t>CB06-INST. ESTEIRAMENTO-50A150KM</t>
  </si>
  <si>
    <t>E02-INST./EXPANS.SHELF -50A150KM</t>
  </si>
  <si>
    <t>V06-INSTALAÇÃO E TESTES-50A150KM</t>
  </si>
  <si>
    <t>R12-PRÉ-TESTE RÁDIO PP-150A300KM</t>
  </si>
  <si>
    <t>C04-INST./TROCA PLACAS-150A300KM</t>
  </si>
  <si>
    <t>V10-INSTALAÇÃO DE VSAT-150A300KM</t>
  </si>
  <si>
    <t>R12-PRÉ-TESTE RÁDIO PP-300A500KM</t>
  </si>
  <si>
    <t>C04-INST./TROCA PLACAS-300A500KM</t>
  </si>
  <si>
    <t>V10-INSTALAÇÃO DE VSAT-300A500KM</t>
  </si>
  <si>
    <t>R11-ALINHAM.RADIO PMP-ACIMA500KM</t>
  </si>
  <si>
    <t>E05-INSTALACAO DE ADM-ACIMA500KM</t>
  </si>
  <si>
    <t>G035I-TSTS EM DUTOS-IMP REDE NOVA</t>
  </si>
  <si>
    <t>L004C-INSTAL DE TIRANTE EM ÂNCORA</t>
  </si>
  <si>
    <t>L025C-INSTAL CABO QQ TP E ROCHOSO</t>
  </si>
  <si>
    <t>F004D-INST ABER/FECH CX-MAN/RECUP</t>
  </si>
  <si>
    <t>R06C-INST RD EM UM PT -EQPTO NOVO</t>
  </si>
  <si>
    <t>CB07C INST/PASSAGEM CORDÃO ÓPTICO</t>
  </si>
  <si>
    <t>E02C EXP MUX DADOS/VOZ EQPTO NOVO</t>
  </si>
  <si>
    <t>S005O-ATUALIZAÇÃO CADASTRO DE MUB</t>
  </si>
  <si>
    <t>CE05C EXEC OT ATIV SERVIÇOS DADOS</t>
  </si>
  <si>
    <t>V11C ATIVAÇÃO DE VSAT  EQPTO NOVO</t>
  </si>
  <si>
    <t>I01-INFRA-ESTRUT.BÁSICA -50A150KM</t>
  </si>
  <si>
    <t>P03-PROJETO(CLIENTE)-PP-150A300KM</t>
  </si>
  <si>
    <t>P03-PROJETO(CLIENTE)-PP-300A500KM</t>
  </si>
  <si>
    <t>P04-PROJ.(CLIENTE)-PMP ACIMA500KM</t>
  </si>
  <si>
    <t>P05-EST.VIABIL.C\BALAO ACIMA500KM</t>
  </si>
  <si>
    <t>S017C-ADIC PROJETO ACESSO EXTERNO</t>
  </si>
  <si>
    <t>G27C VISTORIA TECNICA PARA ANTENA</t>
  </si>
  <si>
    <t>G017D-DEMOL PAV EM PASS-MAN/RECUP</t>
  </si>
  <si>
    <t>G021D-DEMOL CON SIMPLES-MAN/RECUP</t>
  </si>
  <si>
    <t>G022D-DEMOL ALVENARIA I-MAN/RECUP</t>
  </si>
  <si>
    <t>L059I-PODA DE BAMBU-IMP REDE NOVA</t>
  </si>
  <si>
    <t>MASTER-BÔNUS MIX ESP. PROGRAMAÇÃO</t>
  </si>
  <si>
    <t>G22-DESINST.SUB-BASTIDOR-50A150KM</t>
  </si>
  <si>
    <t>L015O-RETIR CABO AÉREO QQ TP ADIC</t>
  </si>
  <si>
    <t>L016O-RETIR DE CORDOALHA SEM CABO</t>
  </si>
  <si>
    <t>L036O-RETIR CABO QQ TP &gt;900 PARES</t>
  </si>
  <si>
    <t>L038O-RETIR CABO QQ TP &lt;300 PARES</t>
  </si>
  <si>
    <t>L040O-RETIR CABO QQ TP &gt;900 PARES</t>
  </si>
  <si>
    <t>R15C DESINST LD CLIENTE ANT &lt;1,5M</t>
  </si>
  <si>
    <t>R16C DESINST LD EBT ANT &gt;1,5M1,5M</t>
  </si>
  <si>
    <t>R17C DESINST LD CLIENTE ANT &gt;1,5M</t>
  </si>
  <si>
    <t>R18C RETIRADA DE CABOTE ANT &gt;1,5M</t>
  </si>
  <si>
    <t>L005C  RETIR DE TIRANTE EM ANCORA</t>
  </si>
  <si>
    <t>L013C  RETIR CABO AEREO QQ TPCORA</t>
  </si>
  <si>
    <t>L037O-ADIC RETIR SIMUL CABO QQ TP</t>
  </si>
  <si>
    <t>C006C-DESLIGAMENTO/ISOLAMENTO PAR</t>
  </si>
  <si>
    <t>F012D-TERM FO COM CONEC-MAN/RECUP</t>
  </si>
  <si>
    <t>B008O-RETIR E REINSTAL INTER TERM</t>
  </si>
  <si>
    <t>B013O-RESTABELECIMENTO DO SERVIÇO</t>
  </si>
  <si>
    <t>CB08-REMONTAGEM CONECTOR-ATÉ 50KM</t>
  </si>
  <si>
    <t>CB03-PASS.+COSTURA CB T1-50A150KM</t>
  </si>
  <si>
    <t>C014O-REPINTURA IDENTIFICAÇÃO ARM</t>
  </si>
  <si>
    <t>B002C-ADIC 50M FIOS/CABOS INTERNO</t>
  </si>
  <si>
    <t>I10C-CORDOALHA DE ATERRAMENTO (M)</t>
  </si>
  <si>
    <t>G09C-INTERLIG CABO COAXIAL RD/DID</t>
  </si>
  <si>
    <t>G23-INSTALAÇÃO DE MASTRO-50A150KM</t>
  </si>
  <si>
    <t>R06-INST. PONTO A PONTO-150A300KM</t>
  </si>
  <si>
    <t>R13-PRÉ-TESTE RÁDIO PMP-150A300KM</t>
  </si>
  <si>
    <t>CB06-INST. ESTEIRAMENTO-150A300KM</t>
  </si>
  <si>
    <t>E02-INST./EXPANS.SHELF -150A300KM</t>
  </si>
  <si>
    <t>V06-INSTALAÇÃO E TESTES-150A300KM</t>
  </si>
  <si>
    <t>R06-INST. PONTO A PONTO-300A500KM</t>
  </si>
  <si>
    <t>R13-PRÉ-TESTE RÁDIO PMP-300A500KM</t>
  </si>
  <si>
    <t>CB06-INST. ESTEIRAMENTO-300A500KM</t>
  </si>
  <si>
    <t>E02-INST./EXPANS.SHELF -300A500KM</t>
  </si>
  <si>
    <t>V06-INSTALAÇÃO E TESTES-300A500KM</t>
  </si>
  <si>
    <t>R12-PRE-TESTE RADIO PP-ACIMA500KM</t>
  </si>
  <si>
    <t>C04-INST./TROCA PLACAS-ACIMA500KM</t>
  </si>
  <si>
    <t>V10-INSTALACAO DE VSAT-ACIMA500KM</t>
  </si>
  <si>
    <t>L020C-INSTAL CABO QQ TP &lt;900 PARES</t>
  </si>
  <si>
    <t>L021C-INSTAL DE CORDOALHA (PROTEL)</t>
  </si>
  <si>
    <t>L030C-INSTAL CABO QQ TP &lt;900 PARES</t>
  </si>
  <si>
    <t>L032C-ADIC INSTAL SIMUL CABO QQ TP</t>
  </si>
  <si>
    <t>C007C-INSTAL/RETIR BLOCO &gt;10 PARES</t>
  </si>
  <si>
    <t>C008C-INSTAL/RETIR BLOCO &lt;10 PARES</t>
  </si>
  <si>
    <t>C028O-TST EM CABO ALIMENTADOR NOVO</t>
  </si>
  <si>
    <t>C029O-TST EM CABO EM BOBINAS/ROLOS</t>
  </si>
  <si>
    <t>F007D-INST BAST DIST ÓPT-MAN/RECUP</t>
  </si>
  <si>
    <t>F014O-TST CABO ÓPT EM BOBINA/LANCE</t>
  </si>
  <si>
    <t>R02C-INST RD ENLACE 7G -EQPTO NOVO</t>
  </si>
  <si>
    <t>G15C-CONFIGURAÇÃO EQPTO-EQPTO NOVO</t>
  </si>
  <si>
    <t>S005C  ATUALIZACAO CADASTRO DE MUB</t>
  </si>
  <si>
    <t>C08-DESATIV.SERVIÇO EM CL-50A150KM</t>
  </si>
  <si>
    <t>V04-INFRA-ESTR.PÁRA-RAIOS-50A150KM</t>
  </si>
  <si>
    <t>I01-INFRA-ESTRUT.BÁSICA -150A300KM</t>
  </si>
  <si>
    <t>I01-INFRA-ESTRUT.BÁSICA -300A500KM</t>
  </si>
  <si>
    <t>I01-INFRA-ESTRUT.BASICA ACIMA500KM</t>
  </si>
  <si>
    <t>P03C-PROJETO INFRA-ESTRUTURA RD PP</t>
  </si>
  <si>
    <t>P04C-PROJETO INFRA-ESTRUTURA RD PM</t>
  </si>
  <si>
    <t>G22-DESINST.SUB-BASTIDOR-150A300KM</t>
  </si>
  <si>
    <t>G22-DESINST.SUB-BASTIDOR-300A500KM</t>
  </si>
  <si>
    <t>L015C  RETIR CABO AEREO QQ TP ADIC</t>
  </si>
  <si>
    <t>L016C  RETIR DE CORDOALHA SEM CABO</t>
  </si>
  <si>
    <t>L036C  RETIR CABO QQ TP &gt;900 PARES</t>
  </si>
  <si>
    <t>L038C  RETIR CABO QQ TP &lt;300 PARES</t>
  </si>
  <si>
    <t>L040C  RETIR CABO QQ TP &gt;900 PARES</t>
  </si>
  <si>
    <t>L070D-TST DE RESISTÊNCIA-MAN/RECUP</t>
  </si>
  <si>
    <t>C002D-ADIC CABO DERIVADO-MAN/RECUP</t>
  </si>
  <si>
    <t>F011D-TERM FO COM EMENDA-MAN/RECUP</t>
  </si>
  <si>
    <t>L037C  ADIC RETIR SIMUL CABO QQ TP</t>
  </si>
  <si>
    <t>C014C  REPINTURA IDENTIFICACAO ARM</t>
  </si>
  <si>
    <t>B008C  RETIR E REINSTAL INTER TERM</t>
  </si>
  <si>
    <t>B013C  RESTABELECIMENTO DO SERVICO</t>
  </si>
  <si>
    <t>CB02-CONFECCB C\CONECT.T2-50A150KM</t>
  </si>
  <si>
    <t>CB04-PASS.+COSTURA  CB T2-50A150KM</t>
  </si>
  <si>
    <t>CB03-PASS.+COSTURA CB T1-150A300KM</t>
  </si>
  <si>
    <t>CB03-PASS.+COSTURA CB T1-300A500KM</t>
  </si>
  <si>
    <t>L076O-ARRUMAÇÃO COMPL CABO CX SUBT</t>
  </si>
  <si>
    <t>C016O-CONFERÊNCIA/TST JUMPER DG CT</t>
  </si>
  <si>
    <t>CB04C PASSAGEM E COSTURA CABOS TP2</t>
  </si>
  <si>
    <t>V13-TT.BASE[2](V01+V03~07)-ATÉ50KM</t>
  </si>
  <si>
    <t>G08-INST.CONV./FRACION.PP-50A150KM</t>
  </si>
  <si>
    <t>G18-INST.BASTIDOR DID/QDB-50A150KM</t>
  </si>
  <si>
    <t>G23-INSTALAÇÃO DE MASTRO-150A300KM</t>
  </si>
  <si>
    <t>G23-INSTALAÇÃO DE MASTRO-300A500KM</t>
  </si>
  <si>
    <t>R06-INST. PONTO A PONTO-ACIMA500KM</t>
  </si>
  <si>
    <t>R13-PRE-TESTE RADIO PMP-ACIMA500KM</t>
  </si>
  <si>
    <t>CB06-INST. ESTEIRAMENTO-ACIMA500KM</t>
  </si>
  <si>
    <t>E02-INST./EXPANS.SHELF -ACIMA500KM</t>
  </si>
  <si>
    <t>V06-INSTALACAO E TESTES-ACIMA500KM</t>
  </si>
  <si>
    <t>G007C-INSTAL DE DUTOS EM TRAVESSIA</t>
  </si>
  <si>
    <t>L009C-ADIC INSTAL SIMULT CABO QQ TP</t>
  </si>
  <si>
    <t>L018C-INSTAL CABO QQ TP &lt; 300 PARES</t>
  </si>
  <si>
    <t>L024C-INSTAL CABO QQ TP E SOLO AUTO</t>
  </si>
  <si>
    <t>L026C-INSTAL CABO QQ TP E PANTANOSO</t>
  </si>
  <si>
    <t>L028C-INSTAL CABO QQ TP &gt; 300 PARES</t>
  </si>
  <si>
    <t>L072O-INSTAL ISOLADOR EM REDE EXIST</t>
  </si>
  <si>
    <t>C001D-INSTAL CX EMEN CABO-MAN/RECUP</t>
  </si>
  <si>
    <t>F001D-INST CX EMEN &lt;36 FO-MAN/RECUP</t>
  </si>
  <si>
    <t>F002D-INST CX EMEN &gt;36 FO-MAN/RECUP</t>
  </si>
  <si>
    <t>F008D-INST BAST DT ÓPT PF-MAN/RECUP</t>
  </si>
  <si>
    <t>F009D-INST BAST/CX TE OPT-MAN/RECUP</t>
  </si>
  <si>
    <t>R10C-ALINHAM RD PT A PT -EQPTO NOVO</t>
  </si>
  <si>
    <t>G29C TRANSP BAST ATÉ 44U EQPTO NOVO</t>
  </si>
  <si>
    <t>E01C INST MUX DADOS/VOZ  EQPTO NOVO</t>
  </si>
  <si>
    <t>C028C  TST EM CABO ALIMENTADOR NOVO</t>
  </si>
  <si>
    <t>C029C  TST EM CABO EM BOBINAS ROLOS</t>
  </si>
  <si>
    <t>F014C  TST CABO OPT EM BOBINA LANCE</t>
  </si>
  <si>
    <t>S015C-AS BUILT DE ACESSO DE CLIENTE</t>
  </si>
  <si>
    <t>C01-PROGR.AT.C\CL.+PT.REM.-50A150KM</t>
  </si>
  <si>
    <t>C10-ATIVIDADE DE ATIVAÇÃO -50A150KM</t>
  </si>
  <si>
    <t>CE06-ATIVIDADE DE ATIVAÇÃO-50A150KM</t>
  </si>
  <si>
    <t>C08-DESATIV.SERVIÇO EM CL-150A300KM</t>
  </si>
  <si>
    <t>C08-DESATIV.SERVIÇO EM CL-300A500KM</t>
  </si>
  <si>
    <t>R09C-ATIV RD PT MULTIPT -EQPTO NOVO</t>
  </si>
  <si>
    <t>C06C PREPARAÇÃO TÉCNICA CL ATIVAÇÃO</t>
  </si>
  <si>
    <t>CE07C EXEC OT ATIV SERV DADOS INTER</t>
  </si>
  <si>
    <t>C02C ATIVIDADE EVENTO COM INSUCESSO</t>
  </si>
  <si>
    <t>V14-TT.S\INFRA(V01+V06+V07)-ATÉ50KM</t>
  </si>
  <si>
    <t>V04-INFRA-ESTR.PÁRA-RAIOS-150A300KM</t>
  </si>
  <si>
    <t>V04-INFRA-ESTR.PÁRA-RAIOS-300A500KM</t>
  </si>
  <si>
    <t>G004C-CONST DE LINHA DUTOS PAV TP A</t>
  </si>
  <si>
    <t>G006C-CONST DE LINHA DUTOS PAV TP B</t>
  </si>
  <si>
    <t>L058I-ROÇADA AO LONGO-IMP REDE NOVA</t>
  </si>
  <si>
    <t>L056D-PODA ÁRVORE/ARBUSTO-MAN/RECUP</t>
  </si>
  <si>
    <t>G22-DESINST.SUB-BASTIDOR-ACIMA500KM</t>
  </si>
  <si>
    <t>G019D-RECOMP PAV PASS CON-MAN/RECUP</t>
  </si>
  <si>
    <t>G033D-ADIC DUTO COM CABOS-MAN/RECUP</t>
  </si>
  <si>
    <t>G034D-ADIC DUTO SEM CABOS-MAN/RECUP</t>
  </si>
  <si>
    <t>L066O-SUBST DA BARRA DE ATERRAMENTO</t>
  </si>
  <si>
    <t>F003D-ADIC CABO DERIV NOV-MAN/RECUP</t>
  </si>
  <si>
    <t>F005D-EMENDA FO CABO MORT-MAN/RECUP</t>
  </si>
  <si>
    <t>F006D-EMENDA FO CABO FUNC-MAN/RECUP</t>
  </si>
  <si>
    <t>B016O-SUBST/RECONFIGURAÇÃO DE MODEM</t>
  </si>
  <si>
    <t>CB08-REMONTAGEM CONECTOR-50 A 150KM</t>
  </si>
  <si>
    <t>CB01-CONFEC.CB C\CONECT.T1-50A150KM</t>
  </si>
  <si>
    <t>I10-CORDOALHA DE ATERRAM.-150A300KM</t>
  </si>
  <si>
    <t>CB02-CONFECCB C\CONECT.T2-150A300KM</t>
  </si>
  <si>
    <t>CB04-PASS.+COSTURA  CB T2-150A300KM</t>
  </si>
  <si>
    <t>I10-CORDOALHA DE ATERRAM.-300A500KM</t>
  </si>
  <si>
    <t>CB02-CONFECCB C\CONECT.T2-300A500KM</t>
  </si>
  <si>
    <t>CB04-PASS.+COSTURA  CB T2-300A500KM</t>
  </si>
  <si>
    <t>CB03-PASS.+COSTURA CB T1-ACIMA500KM</t>
  </si>
  <si>
    <t>C018O-CONFERÊNCIA DE FOLHA DE CORTE</t>
  </si>
  <si>
    <t>CB01C CONFECÇÃO CABOS/CONECTOR TP 1</t>
  </si>
  <si>
    <t>CB02C CONFECÇÃO CABOS/CONECTOR TP 2</t>
  </si>
  <si>
    <t>CB03C PASSAGEM E COSTURA CABOS TP 1</t>
  </si>
  <si>
    <t>L076C  ARRUMACAO COMPL CABO CX SUBT</t>
  </si>
  <si>
    <t>C016C  CONFERENCIA TST JUMPER DG CT</t>
  </si>
  <si>
    <t>I05-INST.ESC.C\GUARDACORPO-50A150KM</t>
  </si>
  <si>
    <t>G15-CONFIG.DE EQUIPAMENTOS-50A150KM</t>
  </si>
  <si>
    <t>G25-INSTALAÇÃO DE SUPORTE -50A150KM</t>
  </si>
  <si>
    <t>CE12-TESTE C\CCTO INTL.24H-50A150KM</t>
  </si>
  <si>
    <t>V13-TT.BASE[2](V01+V03~07)-50A150KM</t>
  </si>
  <si>
    <t>G18-INST.BASTIDOR DID/QDB-150A300KM</t>
  </si>
  <si>
    <t>R07-INST.PONTO MULTIPONTO-150A300KM</t>
  </si>
  <si>
    <t>G08-INST.CONV./FRACION.PP-150A300KM</t>
  </si>
  <si>
    <t>R07-INST.PONTO MULTIPONTO-300A500KM</t>
  </si>
  <si>
    <t>G18-INST.BASTIDOR DID/QDB-300A500KM</t>
  </si>
  <si>
    <t>G23-INSTALACAO DE MASTRO-ACIMA500KM</t>
  </si>
  <si>
    <t>G014C-INSTAL PEDESTAL PRÉ-MOL QQ TP</t>
  </si>
  <si>
    <t>G018I-RECOMP PAV PASS-IMP REDE NOVA</t>
  </si>
  <si>
    <t>L050D-INSTAL PLACA INDICAT-MAN/RECUP</t>
  </si>
  <si>
    <t>R01C-INST RD ENLACE 2,4G -EQPTO NOVO</t>
  </si>
  <si>
    <t>R07C-INST RD PT MULTI-PT -EQPTO NOVO</t>
  </si>
  <si>
    <t>R12C INST TEMPORARIA RD PP COM BALAO</t>
  </si>
  <si>
    <t>R13C INST TEMP RD ACESSO PT MULTIPTO</t>
  </si>
  <si>
    <t>L072C  INSTAL ISOLADOR EM REDE EXIST</t>
  </si>
  <si>
    <t>L063O-SUBST FECHADURA/TRAVA/HST VERT</t>
  </si>
  <si>
    <t>CE05-EX.O.T..ATV./ALT.DADOS-50A150KM</t>
  </si>
  <si>
    <t>CE07-EX.O.T.AT/ALT.DD INTL.-50A150KM</t>
  </si>
  <si>
    <t>R08-ATIVAÇÃO PONTO A PONTO-150A300KM</t>
  </si>
  <si>
    <t>C01-PROGR.AT.C\CL.+PT.REM.-150A300KM</t>
  </si>
  <si>
    <t>C10-ATIVIDADE DE ATIVAÇÃO -150A300KM</t>
  </si>
  <si>
    <t>CE06-ATIVIDADE DE ATIVAÇÃO-150A300KM</t>
  </si>
  <si>
    <t>R08-ATIVAÇÃO PONTO A PONTO-300A500KM</t>
  </si>
  <si>
    <t>C01-PROGR.AT.C\CL.+PT.REM.-300A500KM</t>
  </si>
  <si>
    <t>C10-ATIVIDADE DE ATIVAÇÃO -300A500KM</t>
  </si>
  <si>
    <t>CE06-ATIVIDADE DE ATIVAÇÃO-300A500KM</t>
  </si>
  <si>
    <t>C08-DESATIV.SERVICO EM CL-ACIMA500KM</t>
  </si>
  <si>
    <t>CE01C PRÉ ATIV OT DADOS/VOZ ATIVAÇÃO</t>
  </si>
  <si>
    <t>C08C DESATIV SERVICO NO CENTRO LOCAL</t>
  </si>
  <si>
    <t>I02-INFRA-ESTR.LADO EMBRATEL-ATÉ50KM</t>
  </si>
  <si>
    <t>V14-TT.S\INFRA(V01+V06+V07)-50A150KM</t>
  </si>
  <si>
    <t>V04-INFRA-ESTR.PÁRA-RAIOS-ACIMA500KM</t>
  </si>
  <si>
    <t>G037C-CONST CX SUBT CONC R1 COM BASE</t>
  </si>
  <si>
    <t>G038C-CONST CX SUBT CONC R2 COM BASE</t>
  </si>
  <si>
    <t>G039C-CONST CX SUBT CONC R3 COM BASE</t>
  </si>
  <si>
    <t>G28-VIST.INFRA-ESTR.E INST.-50A150KM</t>
  </si>
  <si>
    <t>C05-TELEMARKETING PÓS VENDA-50A150KM</t>
  </si>
  <si>
    <t>P05C ESTUDO DE VIABILIDADE COM BALAO</t>
  </si>
  <si>
    <t>G020I-DEMOL DE CON ARM-IMP REDE NOVA</t>
  </si>
  <si>
    <t>G016C-REBAIXAMENTO DE LENÇOL EM VALA</t>
  </si>
  <si>
    <t>MASTER-VALOR BASE INSTAL. PTO. EXTRA</t>
  </si>
  <si>
    <t>V09-DES.VSAT+EMBAL.(ATÉ1,8M)-ATÉ50KM</t>
  </si>
  <si>
    <t>L017O-RETIR CABO AÉREO COM PERM CORD</t>
  </si>
  <si>
    <t>L042O-ADIC RETIR SIMUL CABO DE QQ TP</t>
  </si>
  <si>
    <t>C011D-RETIR JMP ARM CT-IMP REDE NOVA</t>
  </si>
  <si>
    <t>CB10-DESINST GUIA ONDA EWP52-ATÉ50KM</t>
  </si>
  <si>
    <t>Gi001D-EXEC FURO 120MM CRT-MAN/RECUP</t>
  </si>
  <si>
    <t>Gi002D-EXEC FURO 120MM ARM-MAN/RECUP</t>
  </si>
  <si>
    <t>Gi003D-EXEC FURO 120MM ALV-MAN/RECUP</t>
  </si>
  <si>
    <t>L069D-TST DE RESISTIV SOLO-MAN/RECUP</t>
  </si>
  <si>
    <t>L066C  SUBST DA BARRA DE ATERRAMENTO</t>
  </si>
  <si>
    <t>B016C  SUBST RECONFIGURACAO DE MODEM</t>
  </si>
  <si>
    <t>CB08-REMONTAGEM CONECTOR-150 A 300KM</t>
  </si>
  <si>
    <t>CB08-REMONTAGEM CONECTOR-300 A 500KM</t>
  </si>
  <si>
    <t>I03-CIRC.ELETR.ATERR.-ATÉ50KMATÉ50KM</t>
  </si>
  <si>
    <t>G09-INTERLIG.-CBCXL RD/DID -50A150KM</t>
  </si>
  <si>
    <t>G11-INTERLIG.-CB CXL RD/DID-50A150KM</t>
  </si>
  <si>
    <t>CB01-CONFEC.CB C\CONECT.T1-150A300KM</t>
  </si>
  <si>
    <t>CB01-CONFEC.CB C\CONECT.T1-300A500KM</t>
  </si>
  <si>
    <t>I10-CORDOALHA DE ATERRAM.-ACIMA500KM</t>
  </si>
  <si>
    <t>CB02-CONFECCB C\CONECT.T2-ACIMA500KM</t>
  </si>
  <si>
    <t>CB04-PASS.+COSTURA  CB T2-ACIMA500KM</t>
  </si>
  <si>
    <t>L083O-ESPINAMENTO/REESPINAMENTO CABO</t>
  </si>
  <si>
    <t>C09C MONITORACAO CCTO DADOS NO CLCAL</t>
  </si>
  <si>
    <t>C018C  CONFERENCIA DE FOLHA DE CORTE</t>
  </si>
  <si>
    <t>"G30-FXÇ BAND 19"" EM BSTDR - ATÉ 50KM"</t>
  </si>
  <si>
    <t>"G30-FXÇ BAND 19"" EM BSTDR - 50A150KM"</t>
  </si>
  <si>
    <t>G30-FXÇ BAND 19"" EM BSTDR - 150A300KM</t>
  </si>
  <si>
    <t>ASSIST TECNICA DNTRO FRANQUIA-TOP/GC</t>
  </si>
  <si>
    <t>AT EXCDNTE FRNQA (80%) - TOPA-TOP/GC</t>
  </si>
  <si>
    <t>I04-INST.TUBULAÇÃO-ATÉ50KM0KMATÉ50KM</t>
  </si>
  <si>
    <t>I05-INST.ESC.C\GUARDACORPO-ATÉ50KMKM</t>
  </si>
  <si>
    <t>V10-INSTALAÇÃO DE VSAT-ATÉ50KMTÉ50KM</t>
  </si>
  <si>
    <t>G07-INST./TROCA CONV./FRAC.-50A150KM</t>
  </si>
  <si>
    <t>G14-TESTE DE BER (CIRCUITO)-50A150KM</t>
  </si>
  <si>
    <t>G16-INST.BAST. C\ALIM.AC/DC-50A150KM</t>
  </si>
  <si>
    <t>I05-INST.ESC.C\GUARDACORPO-150A300KM</t>
  </si>
  <si>
    <t>G15-CONFIG.DE EQUIPAMENTOS-150A300KM</t>
  </si>
  <si>
    <t>G25-INSTALAÇÃO DE SUPORTE -150A300KM</t>
  </si>
  <si>
    <t>CE12-TESTE C\CCTO INTL.24H-150A300KM</t>
  </si>
  <si>
    <t>V13-TT.BASE[2](V01+V03~07)-150A300KM</t>
  </si>
  <si>
    <t>I05-INST.ESC.C\GUARDACORPO-300A500KM</t>
  </si>
  <si>
    <t>G15-CONFIG.DE EQUIPAMENTOS-300A500KM</t>
  </si>
  <si>
    <t>G25-INSTALAÇÃO DE SUPORTE -300A500KM</t>
  </si>
  <si>
    <t>CE12-TESTE C\CCTO INTL.24H-300A500KM</t>
  </si>
  <si>
    <t>V13-TT.BASE[2](V01+V03~07)-300A500KM</t>
  </si>
  <si>
    <t>R07-INST.PONTO MULTIPONTO-ACIMA500KM</t>
  </si>
  <si>
    <t>G08-INST.CONV./FRACION.PP-ACIMA500KM</t>
  </si>
  <si>
    <t>G18-INST.BASTIDOR DID/QDB-ACIMA500KM</t>
  </si>
  <si>
    <t>Gi006C-INSTAL ADIC SEG DUTO ATÉ 120MM</t>
  </si>
  <si>
    <t>L023C-INSTAL CABO QQ TP E SOLO MANUAL</t>
  </si>
  <si>
    <t>L033C-INSTAL CABO ÓPT QQ TP SEAL TUBO</t>
  </si>
  <si>
    <t>L044C-INSTAL ARM DIST PED C/ BL QQ TP</t>
  </si>
  <si>
    <t>L045C-INSTAL ARM DIST PED S/ BL QQ TP</t>
  </si>
  <si>
    <t>L048C-INSTAL NOVO TUBO SUBIDA LATERAL</t>
  </si>
  <si>
    <t>L073O-INSTAL/SUBST DE FERRA SUST CABO</t>
  </si>
  <si>
    <t>C009C-INSTAL JUMPER ARM OU DG ASSINAN</t>
  </si>
  <si>
    <t>C010C-INSTAL JUMPER ARM OU DG CENTRAL</t>
  </si>
  <si>
    <t>F004I-INST ABER/FECH CX-IMP REDE NOVA</t>
  </si>
  <si>
    <t>F012I-TERM FO COM CONEC-IMP REDE NOVA</t>
  </si>
  <si>
    <t>B003C-INSTAL TUBULAÇÃO/CANALETA &lt;25MM</t>
  </si>
  <si>
    <t>I06C-INST PLATAFORMA COM GUARDA CORPO</t>
  </si>
  <si>
    <t>G13C-TESTE BER TRBT RD 2M -EQPTO NOVO</t>
  </si>
  <si>
    <t>V07-DOCUMENTAÇÃO-ATÉ50KMATÉ50KMTÉ50KM</t>
  </si>
  <si>
    <t>L063C  SUBST FECHADURA TRAVA HST VERT</t>
  </si>
  <si>
    <t>R08-ATIVAÇÃO PONTO A PONTO-ATÉ50KMKMM</t>
  </si>
  <si>
    <t>R09-ATIVAÇÃO PONTO MULTIPONTO-ATÉ50KM</t>
  </si>
  <si>
    <t>C01-PROGR.AT.C\CL.+PT.REM.-ATÉ50KM0KM</t>
  </si>
  <si>
    <t>C02-ATIV./ EVENTO C\INSUCESSO-ATÉ50KM</t>
  </si>
  <si>
    <t>C08-DESATIV.SERVIÇO EM CL-ATÉ50KM0KMM</t>
  </si>
  <si>
    <t>C10-ATIVIDADE DE ATIVAÇÃO -ATÉ50KM0KM</t>
  </si>
  <si>
    <t>CE01-PRÉ ATIV.O.T. DADOS/VOZ-ATÉ50KMM</t>
  </si>
  <si>
    <t>CE02-EX.O.T.ATIV/ALT.SV.DADOS-ATÉ50KM</t>
  </si>
  <si>
    <t>CE05-EX.O.T..ATV./ALT.DADOS-ATÉ50KMKM</t>
  </si>
  <si>
    <t>CE06-ATIVIDADE DE ATIVAÇÃO-ATÉ50KMMKM</t>
  </si>
  <si>
    <t>CE07-EX.O.T.AT/ALT.DD INTL.-ATÉ50KMKM</t>
  </si>
  <si>
    <t>CE09-EX.O.T.DES.SV.DADOS/VOZ -ATÉ50KM</t>
  </si>
  <si>
    <t>CE13-ACOMP. ATIVIDADES TÉCN.-ATÉ50KMM</t>
  </si>
  <si>
    <t>E03-ATIVAÇÃO (LEVANTAM.DO NÓ)-ATÉ50KM</t>
  </si>
  <si>
    <t>CE01-PRÉ ATIV.O.T. DADOS/VOZ-50A150KM</t>
  </si>
  <si>
    <t>CE13-ACOMP. ATIVIDADES TÉCN.-50A150KM</t>
  </si>
  <si>
    <t>CE05-EX.O.T..ATV./ALT.DADOS-150A300KM</t>
  </si>
  <si>
    <t>CE07-EX.O.T.AT/ALT.DD INTL.-150A300KM</t>
  </si>
  <si>
    <t>CE05-EX.O.T..ATV./ALT.DADOS-300A500KM</t>
  </si>
  <si>
    <t>CE07-EX.O.T.AT/ALT.DD INTL.-300A500KM</t>
  </si>
  <si>
    <t>R08-ATIVACAO PONTO A PONTO-ACIMA500KM</t>
  </si>
  <si>
    <t>C01-PROGR.AT.C\CL.+PT.REM.-ACIMA500KM</t>
  </si>
  <si>
    <t>C10-ATIVIDADE DE ATIVACAO -ACIMA500KM</t>
  </si>
  <si>
    <t>CE06-ATIVIDADE DE ATIVACAO-ACIMA500KM</t>
  </si>
  <si>
    <t>L080O-FIX LUVA REDUÇÃO SUBIDA LATERAL</t>
  </si>
  <si>
    <t>R19-INST.RD.ENL6GHZ.ANT.1,8A3,6M-50KM</t>
  </si>
  <si>
    <t>V02-INFRA.:BASE[1]+DUTOS+ELT.-ATÉ50KM</t>
  </si>
  <si>
    <t>V03-INFRA.:BASE[2]+DUTOS+ELT.-ATÉ50KM</t>
  </si>
  <si>
    <t>V04-INFRA-ESTR.PÁRA-RAIOS-ATÉ50KM50KM</t>
  </si>
  <si>
    <t>V05-INFRA-ESTR.  MALHA ATERR.-ATÉ50KM</t>
  </si>
  <si>
    <t>I02-INFRA-ESTR.LADO EMBRATEL-50A150KM</t>
  </si>
  <si>
    <t>V14-TT.S\INFRA(V01+V06+V07)-150A300KM</t>
  </si>
  <si>
    <t>V14-TT.S\INFRA(V01+V06+V07)-300A500KM</t>
  </si>
  <si>
    <t>G011C-CONST DE CX SUBT CONC R1 COM TP</t>
  </si>
  <si>
    <t>G012C-CONST DE CX SUBT CONC R2 COM TP</t>
  </si>
  <si>
    <t>G036C-CONST DE CX SUBT CONC R3 COM TP</t>
  </si>
  <si>
    <t>G026O-CONST DE POÇO FALSO OU DRENAGEM</t>
  </si>
  <si>
    <t>G27-VISTORIA TÉCNICA-ATÉ50KM -ATÉ50KM</t>
  </si>
  <si>
    <t>G28-VIST.INFRA-ESTR.E INST.-ATÉ50KMKM</t>
  </si>
  <si>
    <t>C05-TELEMARKETING PÓS VENDA-ATÉ50KMKM</t>
  </si>
  <si>
    <t>V01-SITE SURVEY-ATÉ50KMTÉ50KM-ATÉ50KM</t>
  </si>
  <si>
    <t>G28-VIST.INFRA-ESTR.E INST.-150A300KM</t>
  </si>
  <si>
    <t>C05-TELEMARKETING PÓS VENDA-150A300KM</t>
  </si>
  <si>
    <t>G28-VIST.INFRA-ESTR.E INST.-300A500KM</t>
  </si>
  <si>
    <t>C05-TELEMARKETING PÓS VENDA-300A500KM</t>
  </si>
  <si>
    <t>G017I-DEMOL PAV EM PASS-IMP REDE NOVA</t>
  </si>
  <si>
    <t>G021I-DEMOL CON SIMPLES-IMP REDE NOVA</t>
  </si>
  <si>
    <t>G022I-DEMOL ALVENARIA I-IMP REDE NOVA</t>
  </si>
  <si>
    <t>MASTER-BÔNUS M. MENSAL &gt;=110% E &lt;120%</t>
  </si>
  <si>
    <t>MASTER-VALOR BASE VISITA ASS. TÉCNICA</t>
  </si>
  <si>
    <t>G06-DES.UNID.(INDOOR/OUTDOOR)-ATÉ50KM</t>
  </si>
  <si>
    <t>R14-DES.LADO EBT(ANT.&lt;=1,5M)-ATÉ50KMM</t>
  </si>
  <si>
    <t>R15-DES.LD.CLIENTE(ANT&lt;=1,5M)-ATÉ50KM</t>
  </si>
  <si>
    <t>R16-DES.LADO EBT(ANT.&gt;1,5M)-ATÉ50KMKM</t>
  </si>
  <si>
    <t>R17-DES.LD.CLIENTE(ANT.&gt;1,5M)-ATÉ50KM</t>
  </si>
  <si>
    <t>R18-RETIRADA DE CABO-ATÉ50KM)-ATÉ50KM</t>
  </si>
  <si>
    <t>G21-DESINSTALAÇÃO DE BASTIDOR-ATÉ50KM</t>
  </si>
  <si>
    <t>G22-DESINST.SUB-BASTIDOR-ATÉ50KMÉ50KM</t>
  </si>
  <si>
    <t>G24-DESINSTALAÇÃO DE MASTRO -ATÉ50KMM</t>
  </si>
  <si>
    <t>G26-DESINSTALAÇÃO DE SUPORTE -ATÉ50KM</t>
  </si>
  <si>
    <t>G29-TRANSP.BAST./ANT.&gt;= 1,8 M-ATÉ50KM</t>
  </si>
  <si>
    <t>E04-DESINST.E1 (POR BASTIDOR)-ATÉ50KM</t>
  </si>
  <si>
    <t>G24-DESINSTALAÇÃO DE MASTRO -50A150KM</t>
  </si>
  <si>
    <t>V09-DES.VSAT+EMBAL.(ATÉ1,8M)-50A150KM</t>
  </si>
  <si>
    <t>R16-DES.LADO EBT(ANT.&gt;1,5M)-150A300KM</t>
  </si>
  <si>
    <t>R16-DES.LADO EBT(ANT.&gt;1,5M)-300A500KM</t>
  </si>
  <si>
    <t>L014O-RETIR CABO AÉREO QQ TP COM PERM</t>
  </si>
  <si>
    <t>L034O-RETIR CABO QQ TP &lt;300 PARES/OPT</t>
  </si>
  <si>
    <t>B005O-RETIR FIO/CABO/CCTO COMUN DADOS</t>
  </si>
  <si>
    <t>B007O-RETIR DE MODEM (ENTREGA NA EBT)</t>
  </si>
  <si>
    <t>L017C  RETIR CABO AEREO COM PERM CORD</t>
  </si>
  <si>
    <t>CB10-DESINST GUIA ONDA EWP52-50A150KM</t>
  </si>
  <si>
    <t>C07-ATENDIM.CL A EQUIPE EXT.-ATÉ50KMM</t>
  </si>
  <si>
    <t>C07-ATENDIM.CL A EQUIPE EXT.-50A150KM</t>
  </si>
  <si>
    <t>G027O-IMPERMEABILIZAÇÃO COM ARGAMASSA</t>
  </si>
  <si>
    <t>SERV 07.08</t>
  </si>
  <si>
    <t>G031D-DESOBST DUTO COM CABO-MAN/RECUP</t>
  </si>
  <si>
    <t>G032D-DESOBST DUTO SEM CABO-MAN/RECUP</t>
  </si>
  <si>
    <t>L068O-RECUP COMP CJ LINHA TERRA E TST</t>
  </si>
  <si>
    <t>L085O-SUBST CORD COM REINSTAL DO CABO</t>
  </si>
  <si>
    <t>L042C  ADIC RETIR SIMUL CABO DE QQ TP</t>
  </si>
  <si>
    <t>I09-HASTE DE ATERRAM.C\SOLDA-ATÉ50KMM</t>
  </si>
  <si>
    <t>I10-CORDOALHA DE ATERRAM.-ATÉ50KM0KMM</t>
  </si>
  <si>
    <t>I11-P.CABOS-RGC-LCF1/2-LCF7/8-ATÉ50KM</t>
  </si>
  <si>
    <t>G09-INTERLIG.-CBCXL RD/DID -ATÉ50KMKM</t>
  </si>
  <si>
    <t>G10-INTERLIGAÇÃO - CABO PARES-ATÉ50KM</t>
  </si>
  <si>
    <t>G11-INTERLIG.-CB CXL RD/DID-ATÉ50KMKM</t>
  </si>
  <si>
    <t>G12-INTERLIG.-CB PARES RD/E1-ATÉ50KMM</t>
  </si>
  <si>
    <t>C09-MONITORAÇÃO CCTO.DADOS CL-ATÉ50KM</t>
  </si>
  <si>
    <t>CB01-CONFEC.CB C\CONECT.T1-ATÉ50KMKMM</t>
  </si>
  <si>
    <t>CB02-CONFECCB C\CONECT.T2-ATÉ50KMMKMM</t>
  </si>
  <si>
    <t>CB03-PASS.+COSTURA CB T1-ATÉ50KMMMKMM</t>
  </si>
  <si>
    <t>CB04-PASS.+COSTURA  CB T2-ATÉ50KMMKMM</t>
  </si>
  <si>
    <t>CB05-DIST.CB BLOCOS DE PARES-ATÉ50KMM</t>
  </si>
  <si>
    <t>CB07-JG.JUMPER-MULTIPLEX VOZ-ATÉ50KMM</t>
  </si>
  <si>
    <t>I03-CIRC.ELETR.ATERR.-50A150KM0A150KM</t>
  </si>
  <si>
    <t>G12-INTERLIG.-CB PARES RD/E1-50A150KM</t>
  </si>
  <si>
    <t>CB05-DIST.CB BLOCOS DE PARES-50A150KM</t>
  </si>
  <si>
    <t>CB07-JG.JUMPER-MULTIPLEX VOZ-50A150KM</t>
  </si>
  <si>
    <t>G09-INTERLIG.-CBCXL RD/DID -150A300KM</t>
  </si>
  <si>
    <t>G11-INTERLIG.-CB CXL RD/DID-150A300KM</t>
  </si>
  <si>
    <t>G09-INTERLIG.-CBCXL RD/DID -300A500KM</t>
  </si>
  <si>
    <t>G11-INTERLIG.-CB CXL RD/DID-300A500KM</t>
  </si>
  <si>
    <t>CB01-CONFEC.CB C\CONECT.T1-ACIMA500KM</t>
  </si>
  <si>
    <t>C005C-CONEX CONDUTOR CABO FUNCIONANDO</t>
  </si>
  <si>
    <t>B020O-ENCONTRADO OK/ENCERRADO SEM REP</t>
  </si>
  <si>
    <t>G12C-INTERLIG CABO PARES RD/E1 C/ TST</t>
  </si>
  <si>
    <t>CB05C DISTRIBUIÇÃO CABOS/BLOCOS PARES</t>
  </si>
  <si>
    <t>L083C  ESPINAMENTO REESPINAMENTO CABO</t>
  </si>
  <si>
    <t>"G30-FXÇ BAND 19"" EM BSTDR - 300A500KM"</t>
  </si>
  <si>
    <t>G01-INST./TROCA UNID.INDOOR-ATÉ50KMKM</t>
  </si>
  <si>
    <t>G02-INST./TROCA UNID.OUTDOOR-ATÉ50KMM</t>
  </si>
  <si>
    <t>G03-INST/DES/TROCAANT&lt;=1,5M -ATÉ50KMM</t>
  </si>
  <si>
    <t>G04-INST./DES./TROCAANT.&gt;1,5M-ATÉ50KM</t>
  </si>
  <si>
    <t>G05-INST./DES./TROCAANT.&gt;2,4M-ATÉ50KM</t>
  </si>
  <si>
    <t>G07-INST./TROCA CONV./FRAC.-ATÉ50KMKM</t>
  </si>
  <si>
    <t>I06-INST.PLATAF.C\GUARDACORPO-ATÉ50KM</t>
  </si>
  <si>
    <t>I07-INST.PASS.C\G.CORPO/CORR.-ATÉ50KM</t>
  </si>
  <si>
    <t>I08-INST.PARA-RAIO-ATÉ50KMRR.-ATÉ50KM</t>
  </si>
  <si>
    <t>R01-INST.RD.ENL.2,4GHZE900MHZ-ATÉ50KM</t>
  </si>
  <si>
    <t>R02-INST.RD.ENL. ANT.1,8M,1+1-ATÉ50KM</t>
  </si>
  <si>
    <t>R03-INST.RD.ENL.ANT.&lt;1,2M,T1-ATÉ50KMM</t>
  </si>
  <si>
    <t>R04-INST.RD.ENL.ANT.&lt;1,2M,T2-ATÉ50KMM</t>
  </si>
  <si>
    <t>R05-INST.RD.ENL.ANT.&lt;1,2M,T3-ATÉ50KMM</t>
  </si>
  <si>
    <t>R06-INST. PONTO A PONTO-ATÉ50KMÉ50KMM</t>
  </si>
  <si>
    <t>R07-INST.PONTO MULTIPONTO-ATÉ50KM0KMM</t>
  </si>
  <si>
    <t>R10-ALINHAM.RÁDIO PP-ATÉ50KMO-ATÉ50KM</t>
  </si>
  <si>
    <t>R11-ALINHAM.RÁDIO PMP-ATÉ50KM-ATÉ50KM</t>
  </si>
  <si>
    <t>R12-PRÉ-TESTE RÁDIO PP-ATÉ50KMATÉ50KM</t>
  </si>
  <si>
    <t>R13-PRÉ-TESTE RÁDIO PMP-ATÉ50KMTÉ50KM</t>
  </si>
  <si>
    <t>G08-INST.CONV./FRACION.PP-ATÉ50KMKMKM</t>
  </si>
  <si>
    <t>G13-TESTE BER (TRIBUT.RD-2M)-ATÉ50KMM</t>
  </si>
  <si>
    <t>G14-TESTE DE BER (CIRCUITO)-ATÉ50KMMM</t>
  </si>
  <si>
    <t>G15-CONFIG.DE EQUIPAMENTOS-ATÉ50KMMMM</t>
  </si>
  <si>
    <t>G16-INST.BAST. C\ALIM.AC/DC-ATÉ50KMMM</t>
  </si>
  <si>
    <t>G17-INST.BASTIDOR 41/50/58U -ATÉ50KMM</t>
  </si>
  <si>
    <t>G18-INST.BASTIDOR DID/QDB-ATÉ50KM0KMM</t>
  </si>
  <si>
    <t>G20-INST.SUB-BASTIDOR C\ALIM.-ATÉ50KM</t>
  </si>
  <si>
    <t>G23-INSTALAÇÃO DE MASTRO-ATÉ50KMÉ50KM</t>
  </si>
  <si>
    <t>G25-INSTALAÇÃO DE SUPORTE -ATÉ50KMKMM</t>
  </si>
  <si>
    <t>C04-INST./TROCA PLACAS-ATÉ50KM0KM50KM</t>
  </si>
  <si>
    <t>C06-PREPARAÇÃO TÉCNICA DE CL-ATÉ50KMM</t>
  </si>
  <si>
    <t>CE10-CONFIG.ROTEADORES/FRAD´S-ATÉ50KM</t>
  </si>
  <si>
    <t>CE12-TESTE C\CCTO INTL.24H-ATÉ50KM0KM</t>
  </si>
  <si>
    <t>CB06-INST. ESTEIRAMENTO-ATÉ50KMÉ50KMM</t>
  </si>
  <si>
    <t>E01-INSTALAÇÃO (POR BASTIDOR)-ATÉ50KM</t>
  </si>
  <si>
    <t>E02-INST./EXPANS.SHELF -ATÉ50KMTÉ50KM</t>
  </si>
  <si>
    <t>E05-INSTALAÇÃO DE ADM-ATÉ50KM-ATÉ50KM</t>
  </si>
  <si>
    <t>V06-INSTALAÇÃO E TESTES-ATÉ50KMTÉ50KM</t>
  </si>
  <si>
    <t>V12-TT.BASE[1](V01~02+V04~07)-ATÉ50KM</t>
  </si>
  <si>
    <t>G03-INST/DES/TROCAANT&lt;=1,5M -50A150KM</t>
  </si>
  <si>
    <t>G13-TESTE BER (TRIBUT.RD-2M)-50A150KM</t>
  </si>
  <si>
    <t>G17-INST.BASTIDOR 41/50/58U -50A150KM</t>
  </si>
  <si>
    <t>C06-PREPARAÇÃO TÉCNICA DE CL-50A150KM</t>
  </si>
  <si>
    <t>G01-INST./TROCA UNID.INDOOR-150A300KM</t>
  </si>
  <si>
    <t>G07-INST./TROCA CONV./FRAC.-150A300KM</t>
  </si>
  <si>
    <t>G14-TESTE DE BER (CIRCUITO)-150A300KM</t>
  </si>
  <si>
    <t>G16-INST.BAST. C\ALIM.AC/DC-150A300KM</t>
  </si>
  <si>
    <t>G14-TESTE DE BER (CIRCUITO)-300A500KM</t>
  </si>
  <si>
    <t>G16-INST.BAST. C\ALIM.AC/DC-300A500KM</t>
  </si>
  <si>
    <t>G01-INST./TROCA UNID.INDOOR-300A500KM</t>
  </si>
  <si>
    <t>G07-INST./TROCA CONV./FRAC.-300A500KM</t>
  </si>
  <si>
    <t>G08-INST.CONV./FRACION.PP-300A500KMKM</t>
  </si>
  <si>
    <t>I05-INST.ESC.C\GUARDACORPO ACIMA500KM</t>
  </si>
  <si>
    <t>G15-CONFIG.DE EQUIPAMENTOS-ACIMA500KM</t>
  </si>
  <si>
    <t>G25-INSTALACAO DE SUPORTE -ACIMA500KM</t>
  </si>
  <si>
    <t>CE12-TESTE C\CCTO INTL.24H-ACIMA500KM</t>
  </si>
  <si>
    <t>V13-TT.BASE[2](V01+V03~07)-ACIMA500KM</t>
  </si>
  <si>
    <t>G013C-CONST/ INSTAL DE PEDESTAL QQ TP</t>
  </si>
  <si>
    <t>G028O-INSTAL/SUBST FERRAGENS INTERNAS</t>
  </si>
  <si>
    <t>Gi005C-INSTAL DE CX PASS METÁL 400X400</t>
  </si>
  <si>
    <t>L070I-TST DE RESISTÊNCIA-IMP REDE NOVA</t>
  </si>
  <si>
    <t>L077O-VINCULAÇÃO OU DESVIN REDE EXISTE</t>
  </si>
  <si>
    <t>C002I-ADIC CABO DERIVADO-IMP REDE NOVA</t>
  </si>
  <si>
    <t>C025O-TST EM LANCE DE CABOS INSTALADOS</t>
  </si>
  <si>
    <t>C026O-TST EM CABO ALIMENTADOR FUNCIONA</t>
  </si>
  <si>
    <t>F007I-INST BAST DIST ÓPT-IMP REDE NOVA</t>
  </si>
  <si>
    <t>F011I-TERM FO COM EMENDA-IMP REDE NOVA</t>
  </si>
  <si>
    <t>B001C-INSTAL COM FIOS OU CABOS INTERNO</t>
  </si>
  <si>
    <t>B011O-DESIGNAÇÃO FACIL TERMINAIS DADOS</t>
  </si>
  <si>
    <t>R03C-INST RD ENLACE 15G 4X2-EQPTO NOVO</t>
  </si>
  <si>
    <t>R05C-INST RD ENLACE 15G 1+1-EQPTO NOVO</t>
  </si>
  <si>
    <t>R11C-ALINHAM RD PT MULTIPT -EQPTO NOVO</t>
  </si>
  <si>
    <t>G04C-INST ANTENA ( &gt; 1,5 M E &lt;= 2,4 M)</t>
  </si>
  <si>
    <t>G17C INST BAST 41/50/58 U'S PARA MODEM</t>
  </si>
  <si>
    <t>G10C INTERLIGACAO CABO PARES CCTO NOVO</t>
  </si>
  <si>
    <t>G028C  INSTAL SUBST FERRAGENS INTERNAS</t>
  </si>
  <si>
    <t>G030C  INSTALSUBST TAMPA CX SUBT QQ TP</t>
  </si>
  <si>
    <t>L073C  INSTAL SUBST DE FERRA SUST CABO</t>
  </si>
  <si>
    <t>S003C-CADASTRAMENTO/REGISTRO REDE SUBT</t>
  </si>
  <si>
    <t>S007O-ATUALIZAÇÃO CADAST/REG REDE SUBT</t>
  </si>
  <si>
    <t>R08-ATIVAÇÃO PONTO A PONTO-50A150KMKMM</t>
  </si>
  <si>
    <t>R09-ATIVAÇÃO PONTO MULTIPONTO-50A150KM</t>
  </si>
  <si>
    <t>C02-ATIV./ EVENTO C\INSUCESSO-50A150KM</t>
  </si>
  <si>
    <t>CE02-EX.O.T.ATIV/ALT.SV.DADOS-50A150KM</t>
  </si>
  <si>
    <t>CE09-EX.O.T.DES.SV.DADOS/VOZ -50A150KM</t>
  </si>
  <si>
    <t>E03-ATIVAÇÃO (LEVANTAM.DO NÓ)-50A150KM</t>
  </si>
  <si>
    <t>CE01-PRÉ ATIV.O.T. DADOS/VOZ-150A300KM</t>
  </si>
  <si>
    <t>CE13-ACOMP. ATIVIDADES TÉCN.-150A300KM</t>
  </si>
  <si>
    <t>CE01-PRÉ ATIV.O.T. DADOS/VOZ-300A500KM</t>
  </si>
  <si>
    <t>CE13-ACOMP. ATIVIDADES TÉCN.-300A500KM</t>
  </si>
  <si>
    <t>CE05-EX.O.T..ATV./ALT.DADOS-ACIMA500KM</t>
  </si>
  <si>
    <t>CE07-EX.O.T.AT/ALT.DD INTL.-ACIMA500KM</t>
  </si>
  <si>
    <t>C10C ATIVIDADE C01C/C06C/C07C ATIVAÇÃO</t>
  </si>
  <si>
    <t>CE06C ATIVID CE02C+CE10C O CE05C+CE10C</t>
  </si>
  <si>
    <t>C01C PROGR ATIV CLIENTE E PONTA REMOTA</t>
  </si>
  <si>
    <t>CE09C EXEC OT DESATIV SERV DADOS E VOZ</t>
  </si>
  <si>
    <t>PROGRAMACAO E AGENDAMENTO DE CIRCUITOS</t>
  </si>
  <si>
    <t>SUPORTE CONSTRUCAO DE ACESSOS/PRODUCAO</t>
  </si>
  <si>
    <t>MASTER-VALOR BASE INSTAL.PTO.PRINCIPAL</t>
  </si>
  <si>
    <t>R18-RETIRADA  CABO-50A150KM-50A150KMR1</t>
  </si>
  <si>
    <t>R15-DES.LD.CLIENTE(ANT&lt;=1,5M)-AC.500KM</t>
  </si>
  <si>
    <t>R17-DES.LD.CLIENTE(ANT.&gt;1,5M)-AC.500KM</t>
  </si>
  <si>
    <t>G06-DES.UNID.(INDOOR/OUTDOOR)-AC.500KM</t>
  </si>
  <si>
    <t>G21-DESINSTALACAO DE BASTIDOR-AC.500KM</t>
  </si>
  <si>
    <t>G26-DESINSTALACAO DE SUPORTE -AC.500KM</t>
  </si>
  <si>
    <t>G29-TRANSP.BAST./ANT.&gt;= 1,8 M-AC.500KM</t>
  </si>
  <si>
    <t>E04-DESINST.E1 (POR BASTIDOR)-AC.500KM</t>
  </si>
  <si>
    <t>L003C  RETIR DE POSTE EM QQ TP DE SOLO</t>
  </si>
  <si>
    <t>I11-P.CABOS-RGC-LCF1/2-LCF7/8-AC.500KM</t>
  </si>
  <si>
    <t>G10-INTERLIGACAO - CABO PARES-AC.500KM</t>
  </si>
  <si>
    <t>C09-MONITORACAO CCTO.DADOS CL-AC.500KM</t>
  </si>
  <si>
    <t>L057I-ACEIRO BASE  POSTE-IMP REDE NOVA</t>
  </si>
  <si>
    <t>L069I-TST  RESISTIV SOLO-IMP REDE NOVA</t>
  </si>
  <si>
    <t>I07C-INST PASSARELA C/GUARDA CORPO/COR</t>
  </si>
  <si>
    <t>CE10C INST.CNFG ROT/FRAD CLI  EQ. NOVO</t>
  </si>
  <si>
    <t>C021C  REFORMA ATUALIZ REGISTRO  CABOS</t>
  </si>
  <si>
    <t>R09-ATIVACAO PONTO MULTIPONTO-AC.500KM</t>
  </si>
  <si>
    <t>CE09-EX.O.T.DES.SV.DADOS/VOZ -AC.500KM</t>
  </si>
  <si>
    <t>C07C ATENDIMENTO NO CL A  EXT ATIVAÇÃO</t>
  </si>
  <si>
    <t>S016C-REEMBOLSO DESPESAS LICENCIAMENTO</t>
  </si>
  <si>
    <t>V02-INFRA.:BASE[1]+DUTOS+ELT.-50A150KM</t>
  </si>
  <si>
    <t>V03-INFRA.:BASE[2]+DUTOS+ELT.-50A150KM</t>
  </si>
  <si>
    <t>V05-INFRA-ESTR.  MALHA ATERR.-50A150KM</t>
  </si>
  <si>
    <t>I02-INFRA-ESTR.LADO EMBRATEL-150A300KM</t>
  </si>
  <si>
    <t>I02-INFRA-ESTR.LADO EMBRATEL-300A500KM</t>
  </si>
  <si>
    <t>V14-TT.S\INFRA(V01+V06+V07)-ACIMA500KM</t>
  </si>
  <si>
    <t>G001C-CONST DE LINHA DUTOS ENV SEM PAV</t>
  </si>
  <si>
    <t>G002C-CONST DE LINHA DUTOS SEM PAV ENV</t>
  </si>
  <si>
    <t>G010C-CONST DE CX SUBT CONC 1,0 COM TP</t>
  </si>
  <si>
    <t>G024O-CONST ESTRUTURA CONCRETO SIMPLES</t>
  </si>
  <si>
    <t>G025O-CONST DE PESCOÇO OU NIVEL TAMPÃO</t>
  </si>
  <si>
    <t>V05C INFRA ESTRUTURA MALHA ATERRAMENTO</t>
  </si>
  <si>
    <t>V13C SAT COM INFRA BASE[2](V01+V03~07)</t>
  </si>
  <si>
    <t>G026C  CONST DE POCO FALSO OU DRENAGEM</t>
  </si>
  <si>
    <t>G28-VIST.INFRA-ESTR.E INST.-ACIMA500KM</t>
  </si>
  <si>
    <t>C05-TELEMARKETING PÓS VENDA-ACIMA500KM</t>
  </si>
  <si>
    <t>S010O-VISTORIA PARA DEFINIÇÃO DE DADOS</t>
  </si>
  <si>
    <t>SERV 01.07</t>
  </si>
  <si>
    <t>S013C-ACOMPANHAMENTO APROVAÇÃO PROJETO</t>
  </si>
  <si>
    <t>G28C VISTORIA INFRA EST  IMPL APROVADA</t>
  </si>
  <si>
    <t>MASTER-BÔNUS M. MENSAL &gt;=100% E &lt; 110%</t>
  </si>
  <si>
    <t>MASTER-BÔNUS TEMPO ATEND. ASS. TÉCNICA</t>
  </si>
  <si>
    <t>MASTER-BÔNUS TEMPO ATEND. REINSTALAÇÃO</t>
  </si>
  <si>
    <t>R14-DES.LADO EBT(ANT.&lt;=1,5M)-50A150KMM</t>
  </si>
  <si>
    <t>R15-DES.LD.CLIENTE(ANT&lt;=1,5M)-50A150KM</t>
  </si>
  <si>
    <t>R16-DES.LADO EBT(ANT.&gt;1,5M)-50A150KMKM</t>
  </si>
  <si>
    <t>R17-DES.LD.CLIENTE(ANT.&gt;1,5M)-50A150KM</t>
  </si>
  <si>
    <t>G06-DES.UNID.(INDOOR/OUTDOOR)-50A150KM</t>
  </si>
  <si>
    <t>G21-DESINSTALAÇÃO DE BASTIDOR-50A150KM</t>
  </si>
  <si>
    <t>G26-DESINSTALAÇÃO DE SUPORTE -50A150KM</t>
  </si>
  <si>
    <t>G29-TRANSP.BAST./ANT.&gt;= 1,8 M-50A150KM</t>
  </si>
  <si>
    <t>E04-DESINST.E1 (POR BASTIDOR)-50A150KM</t>
  </si>
  <si>
    <t>R14-DES.LADO EBT(ANT.&lt;=1,5M)-150A300KM</t>
  </si>
  <si>
    <t>G24-DESINSTALAÇÃO DE MASTRO -150A300KM</t>
  </si>
  <si>
    <t>V09-DES.VSAT+EMBAL.(ATÉ1,8M)-150A300KM</t>
  </si>
  <si>
    <t>R14-DES.LADO EBT(ANT.&lt;=1,5M)-300A500KM</t>
  </si>
  <si>
    <t>G24-DESINSTALAÇÃO DE MASTRO -300A500KM</t>
  </si>
  <si>
    <t>V09-DES.VSAT+EMBAL.(ATÉ1,8M)-300A500KM</t>
  </si>
  <si>
    <t>R16-DES.LADO EBT(ANT.&gt;1,5M)-ACIMA500KM</t>
  </si>
  <si>
    <t>L035O-RETIR CABO QQ TP &gt;300 &lt;900 PARES</t>
  </si>
  <si>
    <t>L039O-RETIR CABO QQ TP &gt;300 &lt;900 PARES</t>
  </si>
  <si>
    <t>E04C DESINST MUX DADOS/VOZ PDH/SDH VOZ</t>
  </si>
  <si>
    <t>L014C  RETIR CABO AEREO QQ TP COM PERM</t>
  </si>
  <si>
    <t>L034C  RETIR CABO QQ TP &lt;300 PARES OPT</t>
  </si>
  <si>
    <t>C012C  RETIR JMP ARM CT  IMP REDE NOVA</t>
  </si>
  <si>
    <t>B005C  RETIR FIO CABO CCTO COMUN DADOS</t>
  </si>
  <si>
    <t>B007C  RETIR DE MODEM (ENTREGA NA EBT)</t>
  </si>
  <si>
    <t>CB10-DESINST GUIA ONDA EWP52-150A300KM</t>
  </si>
  <si>
    <t>CB10-DESINST GUIA ONDA EWP52-300A500KM</t>
  </si>
  <si>
    <t>C07-ATENDIM.CL A EQUIPE EXT.-150A300KM</t>
  </si>
  <si>
    <t>C07-ATENDIM.CL A EQUIPE EXT.-300A500KM</t>
  </si>
  <si>
    <t>G029O-IMPERMEABILIZAÇÃO PROD ESPECIAIS</t>
  </si>
  <si>
    <t>L081O-SUBST E PINTURA DE TAMPA CX TERM</t>
  </si>
  <si>
    <t>G027C  IMPERMEABILIZACAO COM ARGAMASSA</t>
  </si>
  <si>
    <t>L068C  RECUP COMP CJ LINHA TERRA E TST</t>
  </si>
  <si>
    <t>L085C  SUBST CORD COM REINSTAL DO CABO</t>
  </si>
  <si>
    <t>I09-HASTE DE ATERRAM.C\SOLDA-50A150KMM</t>
  </si>
  <si>
    <t>I10-CORDOALHA DE ATERRAM.-50A150KM0KMM</t>
  </si>
  <si>
    <t>I11-P.CABOS-RGC-LCF1/2-LCF7/8-50A150KM</t>
  </si>
  <si>
    <t>G10-INTERLIGAÇÃO - CABO PARES-50A150KM</t>
  </si>
  <si>
    <t>C09-MONITORAÇÃO CCTO.DADOS CL-50A150KM</t>
  </si>
  <si>
    <t>I09-HASTE DE ATERRAM.C\SOLDA-150A300KM</t>
  </si>
  <si>
    <t>G12-INTERLIG.-CB PARES RD/E1-150A300KM</t>
  </si>
  <si>
    <t>CB05-DIST.CB BLOCOS DE PARES-150A300KM</t>
  </si>
  <si>
    <t>CB07-JG.JUMPER-MULTIPLEX VOZ-150A300KM</t>
  </si>
  <si>
    <t>I09-HASTE DE ATERRAM.C\SOLDA-300A500KM</t>
  </si>
  <si>
    <t>G12-INTERLIG.-CB PARES RD/E1-300A500KM</t>
  </si>
  <si>
    <t>CB05-DIST.CB BLOCOS DE PARES-300A500KM</t>
  </si>
  <si>
    <t>CB07-JG.JUMPER-MULTIPLEX VOZ-300A500KM</t>
  </si>
  <si>
    <t>G09-INTERLIG.-CBCXL RD/DID -ACIMA500KM</t>
  </si>
  <si>
    <t>G11-INTERLIG.-CB CXL RD/DID-ACIMA500KM</t>
  </si>
  <si>
    <t>L082O-TENSIONAMENTO/ENCABEÇAMENTO CORD</t>
  </si>
  <si>
    <t>L084O-REFORÇO BASE POSTE COM APRUMAÇÃO</t>
  </si>
  <si>
    <t>C017O-CONFERÊNCIA/TST PARES DG CENTRAL</t>
  </si>
  <si>
    <t>C023O-ELABORAÇÃO/LEVANT FOLHA DE CORTE</t>
  </si>
  <si>
    <t>C030O-ABERTURA/FECH CX DE EMENDA QQ TP</t>
  </si>
  <si>
    <t>F013O-ABER/FECH CX DE EMENDA EXISTENTE</t>
  </si>
  <si>
    <t>B020C  ENCONTRADO OK ENCERRADO SEM REP</t>
  </si>
  <si>
    <t>I06-INST.PLATAF.C\GUARDACORPO-50A150KM</t>
  </si>
  <si>
    <t>I07-INST.PASS.C\G.CORPO/CORR.-50A150KM</t>
  </si>
  <si>
    <t>I08-INST.PARA-RAIO-50A150KMR.-50A150KM</t>
  </si>
  <si>
    <t>R01-INST.RD.ENL.2,4GHZE900MHZ-50A150KM</t>
  </si>
  <si>
    <t>R02-INST.RD.ENL. ANT.1,8M,1+1-50A150KM</t>
  </si>
  <si>
    <t>R03-INST.RD.ENL.ANT.&lt;1,2M,T1-50A150KMM</t>
  </si>
  <si>
    <t>R04-INST.RD.ENL.ANT.&lt;1,2M,T2-50A150KMM</t>
  </si>
  <si>
    <t>R05-INST.RD.ENL.ANT.&lt;1,2M,T3-50A150KMM</t>
  </si>
  <si>
    <t>R06-INST. PONTO A PONTO-50A150KM150KMM</t>
  </si>
  <si>
    <t>R07-INST.PONTO MULTIPONTO-50A150KM0KMM</t>
  </si>
  <si>
    <t>R10-ALINHAM.RÁDIO PP-50A150KM-50A150KM</t>
  </si>
  <si>
    <t>R11-ALINHAM.RÁDIO PMP-50A150KM50A150KM</t>
  </si>
  <si>
    <t>R12-PRÉ-TESTE RÁDIO PP-50A150KM0A150KM</t>
  </si>
  <si>
    <t>R13-PRÉ-TESTE RÁDIO PMP-50A150KMA150KM</t>
  </si>
  <si>
    <t>G04-INST./DES./TROCAANT.&gt;1,5M-50A150KM</t>
  </si>
  <si>
    <t>G05-INST./DES./TROCAANT.&gt;2,4M-50A150KM</t>
  </si>
  <si>
    <t>G20-INST.SUB-BASTIDOR C\ALIM.-50A150KM</t>
  </si>
  <si>
    <t>CE10-CONFIG.ROTEADORES/FRAD´S-50A150KM</t>
  </si>
  <si>
    <t>E01-INSTALAÇÃO (POR BASTIDOR)-50A150KM</t>
  </si>
  <si>
    <t>V12-TT.BASE[1](V01~02+V04~07)-50A150KM</t>
  </si>
  <si>
    <t>R03-INST.RD.ENL.ANT.&lt;1,2M,T1-150A300KM</t>
  </si>
  <si>
    <t>R04-INST.RD.ENL.ANT.&lt;1,2M,T2-150A300KM</t>
  </si>
  <si>
    <t>R05-INST.RD.ENL.ANT.&lt;1,2M,T3-150A300KM</t>
  </si>
  <si>
    <t>G02-INST./TROCA UNID.OUTDOOR-150A300KM</t>
  </si>
  <si>
    <t>G03-INST/DES/TROCAANT&lt;=1,5M -150A300KM</t>
  </si>
  <si>
    <t>G13-TESTE BER (TRIBUT.RD-2M)-150A300KM</t>
  </si>
  <si>
    <t>G17-INST.BASTIDOR 41/50/58U -150A300KM</t>
  </si>
  <si>
    <t>C06-PREPARAÇÃO TÉCNICA DE CL-150A300KM</t>
  </si>
  <si>
    <t>R03-INST.RD.ENL.ANT.&lt;1,2M,T1-300A500KM</t>
  </si>
  <si>
    <t>R04-INST.RD.ENL.ANT.&lt;1,2M,T2-300A500KM</t>
  </si>
  <si>
    <t>R05-INST.RD.ENL.ANT.&lt;1,2M,T3-300A500KM</t>
  </si>
  <si>
    <t>G17-INST.BASTIDOR 41/50/58U -300A500KM</t>
  </si>
  <si>
    <t>G02-INST./TROCA UNID.OUTDOOR-300A500KM</t>
  </si>
  <si>
    <t>G03-INST/DES/TROCAANT&lt;=1,5M -300A500KM</t>
  </si>
  <si>
    <t>G13-TESTE BER (TRIBUT.RD-2M)-300A500KM</t>
  </si>
  <si>
    <t>C06-PREPARAÇÃO TÉCNICA DE CL-300A500KM</t>
  </si>
  <si>
    <t>G01-INST./TROCA UNID.INDOOR-ACIMA500KM</t>
  </si>
  <si>
    <t>G07-INST./TROCA CONV./FRAC.-ACIMA500KM</t>
  </si>
  <si>
    <t>G14-TESTE DE BER (CIRCUITO)-ACIMA500KM</t>
  </si>
  <si>
    <t>G16-INST.BAST. C\ALIM.AC/DC-ACIMA500KM</t>
  </si>
  <si>
    <t>G030O-INSTAL/SUBST TAMPA CX SUBT QQ TP</t>
  </si>
  <si>
    <t>G033I-ADIC DUTO COM CABOS-IMP REDE NOVA</t>
  </si>
  <si>
    <t>G034I-ADIC DUTO SEM CABOS-IMP REDE NOVA</t>
  </si>
  <si>
    <t>L001D-INSTAL POSTE QQ TP SOLO PLAN TERC</t>
  </si>
  <si>
    <t>L002I-INSTAL POSTE TP PANTANOSOS PL EBT</t>
  </si>
  <si>
    <t>L006C-INSTAL DE CABO E CORD &lt; 300 PARES</t>
  </si>
  <si>
    <t>L007C-INSTAL DE CABO E CORD &gt; 300 PARES</t>
  </si>
  <si>
    <t>L088C-INSTAL CABO AUTO-SUSTENTÁVEL DROP</t>
  </si>
  <si>
    <t>L019C-INSTAL CABO QQ TP &gt;300 &lt;900 PARES</t>
  </si>
  <si>
    <t>L022C-ADIC INSTAL SIMUL CABO/CORD QQ TP</t>
  </si>
  <si>
    <t>L029C-INSTAL CABO QQ TP &gt;300 &lt;900 PARES</t>
  </si>
  <si>
    <t>L079O-INSTAL/RETIR PROT MADEIRA EM CABO</t>
  </si>
  <si>
    <t>L086O-INSTAL/SUBST AMARRAÇ TUBO TIM/TIC</t>
  </si>
  <si>
    <t>C001I-INSTAL CX EMEN CABO-IMP REDE NOVA</t>
  </si>
  <si>
    <t>C027O-TST EM CABO DISTRIBUIDOR FUNCIONA</t>
  </si>
  <si>
    <t>F001I-INST CX EMEN &lt;36 FO-IMP REDE NOVA</t>
  </si>
  <si>
    <t>F002I-INST CX EMEN &gt;36 FO-IMP REDE NOVA</t>
  </si>
  <si>
    <t>F003I-ADIC CABO DERIV NOV-IMP REDE NOVA</t>
  </si>
  <si>
    <t>F005I-EMENDA FO CABO MORT-IMP REDE NOVA</t>
  </si>
  <si>
    <t>F006I-EMENDA FO CABO FUNC-IMP REDE NOVA</t>
  </si>
  <si>
    <t>F008I-INST BAST DT ÓPT PF-IMP REDE NOVA</t>
  </si>
  <si>
    <t>F009I-INST BAST/CX TE OPT-IMP REDE NOVA</t>
  </si>
  <si>
    <t>B017O-TSTS EM CCTO COMUNICAÇÃO DE DADOS</t>
  </si>
  <si>
    <t>R04C-INST RD ENLACE 15G 16X2-EQPTO NOVO</t>
  </si>
  <si>
    <t>E05C INST MUX DADOS/VOZ &gt;24T EQPTO NOVO</t>
  </si>
  <si>
    <t>L077C  VINCULACAO OU DESVIN REDE EXISTE</t>
  </si>
  <si>
    <t>C025C  TST EM LANCE DE CABOS INSTALADOS</t>
  </si>
  <si>
    <t>C026C  TST EM CABO ALIMENTADOR FUNCIONA</t>
  </si>
  <si>
    <t>B011C  DESIGNACAO FACIL TERMINAIS DADOS</t>
  </si>
  <si>
    <t>CB09-FORN. INST GUIA ONDA EWP52-ATÉ50KM</t>
  </si>
  <si>
    <t>C021O-REFORMA/ATUALIZ REGISTRO DE CABOS</t>
  </si>
  <si>
    <t>B012O-INFORMAÇÕES/ATUAL CADASTRO CLIENT</t>
  </si>
  <si>
    <t>S002C-CADASTRAMENTO/REGISTRO CANAL SUBT</t>
  </si>
  <si>
    <t>S004C-CADASTRAMENTO/REGISTRO REDE AÉREA</t>
  </si>
  <si>
    <t>S006O-ATUALIZAÇÃO CADAST/REG CANAL SUBT</t>
  </si>
  <si>
    <t>S008O-ATUALIZAÇÃO CADAST/REG REDE AÉREA</t>
  </si>
  <si>
    <t>S007C  ATUALIZACAO CADAST REG REDE SUBT</t>
  </si>
  <si>
    <t>R09-ATIVAÇÃO PONTO MULTIPONTO-150A300KM</t>
  </si>
  <si>
    <t>C02-ATIV./ EVENTO C\INSUCESSO-150A300KM</t>
  </si>
  <si>
    <t>CE02-EX.O.T.ATIV/ALT.SV.DADOS-150A300KM</t>
  </si>
  <si>
    <t>E03-ATIVAÇÃO (LEVANTAM.DO NÓ)-150A300KM</t>
  </si>
  <si>
    <t>R09-ATIVAÇÃO PONTO MULTIPONTO-300A500KM</t>
  </si>
  <si>
    <t>C02-ATIV./ EVENTO C\INSUCESSO-300A500KM</t>
  </si>
  <si>
    <t>CE02-EX.O.T.ATIV/ALT.SV.DADOS-300A500KM</t>
  </si>
  <si>
    <t>CE09-EX.O.T.DES.SV.DADOS/VOZ -300A500KM</t>
  </si>
  <si>
    <t>E03-ATIVAÇÃO (LEVANTAM.DO NÓ)-300A500KM</t>
  </si>
  <si>
    <t>CE01-PRE ATIV.O.T. DADOS/VOZ-ACIMA500KM</t>
  </si>
  <si>
    <t>CE13-ACOMP. ATIVIDADES TECN.-ACIMA500KM</t>
  </si>
  <si>
    <t>E03C ATIV MUX DADOS/VOZ REDE EQPTO NOVO</t>
  </si>
  <si>
    <t>V02-INFRA.:BASE[1]+DUTOS+ELT.ACIMA500KM</t>
  </si>
  <si>
    <t>V03-INFRA.:BASE[2]+DUTOS+ELT.ACIMA500KM</t>
  </si>
  <si>
    <t>V05-INFRA-ESTR.  MALHA ATERR.ACIMA500KM</t>
  </si>
  <si>
    <t>I01C-INFRA-ESTRUTURA BÁSIC LD EBT/LD CL</t>
  </si>
  <si>
    <t>V02C INFRA ESTRUTURA BASE N. PENETRANTE</t>
  </si>
  <si>
    <t>V12C SAT C/ INFRA BASE 1(V01~02+V04~07)</t>
  </si>
  <si>
    <t>G023C  CONST PAREDE EM ALVENARIA C/ REB</t>
  </si>
  <si>
    <t>MASTER-&gt;=100% META RETIR. DECODIFICADOR</t>
  </si>
  <si>
    <t>L051C  RETIR ARM DISTR QQ TP C/ DEMOL P</t>
  </si>
  <si>
    <t>L087C  REDISP ACESSORIO FERRAGENS POSTE</t>
  </si>
  <si>
    <t>B006C ADIC RETIR 50M FIOS CABOS INTERNO</t>
  </si>
  <si>
    <t>L087O-REDISP ACESSÓRIOS/FERRAGENS POSTE</t>
  </si>
  <si>
    <t>G11C-INTERLIG CABO COAXIAL RD/DID C/TST</t>
  </si>
  <si>
    <t>L080C FIX LUVA REDUCAO EM SUBIDA LATERA</t>
  </si>
  <si>
    <t>C019C IDENTIFICACAO LINHA EM CX INTERNA</t>
  </si>
  <si>
    <t>C022C CONFECCAO DE REGISTRO CABOS NOVOS</t>
  </si>
  <si>
    <t>B009C CORRECAO FGD EM ARD OU DG DE EDIF</t>
  </si>
  <si>
    <t>B014C ADIC 50M FIOS CABOS EXTERNOS TROC</t>
  </si>
  <si>
    <t>B018C-IDENTIFICACAO FIOS CABOS INTER ED</t>
  </si>
  <si>
    <t>B019C-IDENTIFICACAO FIOS CABOS INTER PO</t>
  </si>
  <si>
    <t>"G30-FXÇ BAND19""BSTDR C/M.FRNCS-50A150K</t>
  </si>
  <si>
    <t>"G30-FXÇ BAND19""BSTDR C/M.FRNCS-150A300</t>
  </si>
  <si>
    <t>"G30-FXÇ BAND19""BSTDR C/M.FRNCS-300A500</t>
  </si>
  <si>
    <t>G01-INST/TROCA UNID.INDOOR-50A150KMKMR1</t>
  </si>
  <si>
    <t>G02-INST/TROCA UNID.OUTDOOR-50A150KMMR1</t>
  </si>
  <si>
    <t>I06-INST.PLATAF.C\GUARDACORPO-ACIMA500K</t>
  </si>
  <si>
    <t>I07-INST.PASS.C\G.CORPO/CORR.-ACIMA500K</t>
  </si>
  <si>
    <t>R01-INST.RD.ENL.2,4GHZE900MHZ-ACIMA500K</t>
  </si>
  <si>
    <t>R02-INST.RD.ENL. ANT.1,8M,1+1-ACIMA500K</t>
  </si>
  <si>
    <t>G04-INST./DES./TROCAANT.&gt;1,5M-ACIMA500K</t>
  </si>
  <si>
    <t>G05-INST./DES./TROCAANT.&gt;2,4M-ACIMA500K</t>
  </si>
  <si>
    <t>G20-INST.SUB-BASTIDOR C\ALIM.-ACIMA500K</t>
  </si>
  <si>
    <t>E01-INSTALACAO (POR BASTIDOR)-ACIMA500K</t>
  </si>
  <si>
    <t>V12-TT.BASE[1](V01~02+V04~07)-ACIMA500K</t>
  </si>
  <si>
    <t>G009C-PERFURAÇÃO P/INSTAL DUTO SEM ROMP</t>
  </si>
  <si>
    <t>G031I-DESOBST DUTO C/ CAB-IMP REDE NOVA</t>
  </si>
  <si>
    <t>G032I-DESOBST DUTO S/ CAB-IMP REDE NOVA</t>
  </si>
  <si>
    <t>Gi001I-EX. FURO 120MM CRT-IMP REDE NOVA</t>
  </si>
  <si>
    <t>Gi002I-EX. FURO 120MM ARM-IMP REDE NOVA</t>
  </si>
  <si>
    <t>Gi003I-EX. FURO 120MM ALV-IMP REDE NOVA</t>
  </si>
  <si>
    <t>L001I-INST. POSTE QQ TP SOLO PLANTA EBT</t>
  </si>
  <si>
    <t>L002D-INST. POSTE TP PANTANOSOS PL TERC</t>
  </si>
  <si>
    <t>L012C-INST. CABO AUTO-SUSTENTÁVEL QQ TP</t>
  </si>
  <si>
    <t>L027C-ADC INSTAL SIMUL QQ TP MESMA VALA</t>
  </si>
  <si>
    <t>L050I-INST. PLACA INDICAT-IMP REDE NOVA</t>
  </si>
  <si>
    <t>L079C-INSTAL RETIR PROT MADEIRA EM CABO</t>
  </si>
  <si>
    <t>L086C-INSTAL SUBST AMARRAC TUBO TIM TIC</t>
  </si>
  <si>
    <t>C027C-TST EM CABO DISTRIBUIDOR FUNCIONA</t>
  </si>
  <si>
    <t>B017C-TSTS EM CCTO COMUNICACAO DE DADOS</t>
  </si>
  <si>
    <t>R19-INST.RD.ENL6GH.ANT1,8A3,6M-50A150KM</t>
  </si>
  <si>
    <t>R19-INST.RD.ENL6GHANT1,8A3,6M-150A300KM</t>
  </si>
  <si>
    <t>R19-INST.RD.ENL6GHANT1,8A3,6M-300A500KM</t>
  </si>
  <si>
    <t>CB09-FORN.INST GUIA ONDA EWP52-50A150KM</t>
  </si>
  <si>
    <t>CB09-FORN.INST GUIA ONDA EWP52-150A300K</t>
  </si>
  <si>
    <t>CB09-FORN.INST GUIA ONDA EWP52-300A500K</t>
  </si>
  <si>
    <t>B012C-INFORMACÕES ATUAL CADASTRO CLIENT</t>
  </si>
  <si>
    <t>S006C-ATUALIZACAO CADAST REG CANAL SUBT</t>
  </si>
  <si>
    <t>S008C-ATUALIZACAO CADAST REG REDE AEREA</t>
  </si>
  <si>
    <t>C02-ATIV./ EVENTO C\INSUCESSO-AC.A500KM</t>
  </si>
  <si>
    <t>CE02-EX.O.T.ATIV/ALT.SV.DADOS-AC.A500KM</t>
  </si>
  <si>
    <t>E03-ATIVACAO(LEVANTAM.DO NO)-ACIMA500KM</t>
  </si>
  <si>
    <t>CE13C ACOMPANHAMENTO ATIV. TÉC ATIVAÇÃO</t>
  </si>
  <si>
    <t>V02-INFRA.:BASE[1]+DUTOS+ELT.-150A300KM</t>
  </si>
  <si>
    <t>V03-INFRA.:BASE[2]+DUTOS+ELT.-150A300KM</t>
  </si>
  <si>
    <t>V05-INFRA-ESTR.  MALHA ATERR.-150A300KM</t>
  </si>
  <si>
    <t>V02-INFRA.:BASE[1]+DUTOS+ELT.-300A500KM</t>
  </si>
  <si>
    <t>V03-INFRA.:BASE[2]+DUTOS+ELT.-300A500KM</t>
  </si>
  <si>
    <t>V05-INFRA-ESTR.  MALHA ATERR.-300A500KM</t>
  </si>
  <si>
    <t>I02-INFRA-ESTR.LADO EMBRATEL ACIMA500KM</t>
  </si>
  <si>
    <t>G003C-CONST DE LINHA DUTOS ENV PAV TP A</t>
  </si>
  <si>
    <t>G005C-CONST DE LINHA DUTOS ENV PAV TP B</t>
  </si>
  <si>
    <t>G040C-CONST DE LINHA DUTOS ENV CONC ARM</t>
  </si>
  <si>
    <t>G023O-CONST PAREDE EM ALVENARIA COM REB</t>
  </si>
  <si>
    <t>S009C-CADASTRO DE DETALHES CONSTRUTIVOS</t>
  </si>
  <si>
    <t>V03C INFRA ESTRUTURA BASE CONCRETO SOLO</t>
  </si>
  <si>
    <t>G024C  CONST ESTRUTURA CONCRETO SIMPLES</t>
  </si>
  <si>
    <t>G025C  CONST DE PESCOCO OU NIVEL TAMPAO</t>
  </si>
  <si>
    <t>V01C ELAB SITE SURVEY PRJ INFRA INFOSAT</t>
  </si>
  <si>
    <t>VISTORIA DE CONSTRUCAO DE NOVOS ACESSOS</t>
  </si>
  <si>
    <t>S010C  VISTORIA PARA DEFINICAO DE DADOS</t>
  </si>
  <si>
    <t>G015C-REBAIXAMENTO DE LENÇOL EM CX SUBT</t>
  </si>
  <si>
    <t>L056I-PODA ÁRVORE/ARBUSTO-IMP REDE NOVA</t>
  </si>
  <si>
    <t>MASTER-VALOR BASE INSTAL. PTO. EXTENSÃO</t>
  </si>
  <si>
    <t>MASTER-INST. VENDA SAC SEM GESTÃO PLENA</t>
  </si>
  <si>
    <t>MASTER- &lt;100% META RETIR. DECODIFICADOR</t>
  </si>
  <si>
    <t>R15-DES.LD.CLIENTE(ANT&lt;=1,5M)-150A300KM</t>
  </si>
  <si>
    <t>R17-DES.LD.CLIENTE(ANT.&gt;1,5M)-150A300KM</t>
  </si>
  <si>
    <t>G06-DES.UNID.(INDOOR/OUTDOOR)-150A300KM</t>
  </si>
  <si>
    <t>G21-DESINSTALAÇÃO DE BASTIDOR-150A300KM</t>
  </si>
  <si>
    <t>G26-DESINSTALAÇÃO DE SUPORTE -150A300KM</t>
  </si>
  <si>
    <t>G29-TRANSP.BAST./ANT.&gt;= 1,8 M-150A300KM</t>
  </si>
  <si>
    <t>CE09-EX.O.T.DES.SV.DADOS/VOZ -150A300KM</t>
  </si>
  <si>
    <t>E04-DESINST.E1 (POR BASTIDOR)-150A300KM</t>
  </si>
  <si>
    <t>R15-DES.LD.CLIENTE(ANT&lt;=1,5M)-300A500KM</t>
  </si>
  <si>
    <t>R17-DES.LD.CLIENTE(ANT.&gt;1,5M)-300A500KM</t>
  </si>
  <si>
    <t>G06-DES.UNID.(INDOOR/OUTDOOR)-300A500KM</t>
  </si>
  <si>
    <t>G21-DESINSTALAÇÃO DE BASTIDOR-300A500KM</t>
  </si>
  <si>
    <t>G26-DESINSTALAÇÃO DE SUPORTE -300A500KM</t>
  </si>
  <si>
    <t>G29-TRANSP.BAST./ANT.&gt;= 1,8 M-300A500KM</t>
  </si>
  <si>
    <t>E04-DESINST.E1 (POR BASTIDOR)-300A500KM</t>
  </si>
  <si>
    <t>R14-DES.LADO EBT(ANT.&lt;=1,5M)-ACIMA500KM</t>
  </si>
  <si>
    <t>G24-DESINSTALACAO DE MASTRO -ACIMA500KM</t>
  </si>
  <si>
    <t>V09-DES.VSAT+EMBAL.(ATE1,8M)-ACIMA500KM</t>
  </si>
  <si>
    <t>L003O-RETIR DE POSTE EM QQ TIPO DE SOLO</t>
  </si>
  <si>
    <t>L051O-RETIR ARM DISTR QQ TP COM DEMOL P</t>
  </si>
  <si>
    <t>L035C  RETIR CABO QQ TP &gt;300 &lt;900 PARES</t>
  </si>
  <si>
    <t>L039C  RETIR CABO QQ TP &gt;300 &lt;900 PARES</t>
  </si>
  <si>
    <t>R20-DES.RD.ENL6GHZ.ANT.1,8A3,6M-ATÉ50KM</t>
  </si>
  <si>
    <t>R20-DES.RD.ENL6GHZ.ANT1,8A3,6M-50A150KM</t>
  </si>
  <si>
    <t>R20-DES.RD.ENL6GHZANT1,8A3,6M-150A300KM</t>
  </si>
  <si>
    <t>R20-DES.RD.ENL6GHZANT1,8A3,6M-300A500KM</t>
  </si>
  <si>
    <t>C07-ATENDIM.CL A EQUIPE EXT.-ACIMA500KM</t>
  </si>
  <si>
    <t>L057D-ACEIRO EM BASE DE POSTE-MAN/RECUP</t>
  </si>
  <si>
    <t>B006O-ADIC RETIR 50M FIOS/CABOS INTERNO</t>
  </si>
  <si>
    <t>G029C  IMPERMEABILIZACAO PROD ESPECIAIS</t>
  </si>
  <si>
    <t>L081C  SUBST E PINTURA DE TAMPA CX TERM</t>
  </si>
  <si>
    <t>I11-P.CABOS-RGC-LCF1/2-LCF7/8-150A300KM</t>
  </si>
  <si>
    <t>G10-INTERLIGAÇÃO - CABO PARES-150A300KM</t>
  </si>
  <si>
    <t>C09-MONITORAÇÃO CCTO.DADOS CL-150A300KM</t>
  </si>
  <si>
    <t>I11-P.CABOS-RGC-LCF1/2-LCF7/8-300A500KM</t>
  </si>
  <si>
    <t>G10-INTERLIGAÇÃO - CABO PARES-300A500KM</t>
  </si>
  <si>
    <t>C09-MONITORAÇÃO CCTO.DADOS CL-300A500KM</t>
  </si>
  <si>
    <t>I09-HASTE DE ATERRAM.C\SOLDA-ACIMA500KM</t>
  </si>
  <si>
    <t>G12-INTERLIG.-CB PARES RD/E1-ACIMA500KM</t>
  </si>
  <si>
    <t>CB05-DIST.CB BLOCOS DE PARES-ACIMA500KM</t>
  </si>
  <si>
    <t>CB07-JG.JUMPER-MULTIPLEX VOZ-ACIMA500KM</t>
  </si>
  <si>
    <t>C003C-ABER/FECH CX DE EMENDA SELAD/VENT</t>
  </si>
  <si>
    <t>C019O-IDENTIFICAÇÃO LINHA EM CX INTERNA</t>
  </si>
  <si>
    <t>C022O-CONFECÇÃO DE REGISTRO CABOS NOVOS</t>
  </si>
  <si>
    <t>B009O-CORREÇÃO FGD EM ARD OU DG DE EDIF</t>
  </si>
  <si>
    <t>B014O-ADIC 50M FIOS/CABOS EXTERNOS TROC</t>
  </si>
  <si>
    <t>B018O-IDENTIFICAÇÃO FIOS/CABOS INTER ED</t>
  </si>
  <si>
    <t>B019O-IDENTIFICAÇÃO FIOS/CABOS INTER PO</t>
  </si>
  <si>
    <t>I11C-PASSAGEM CABOS RGC/LCF 1/2 LCF 7/8</t>
  </si>
  <si>
    <t>L082C  TENSIONAMENTO ENCABECAMENTO CORD</t>
  </si>
  <si>
    <t>L084C  REFORCO BASE POSTE COM APRUMACAO</t>
  </si>
  <si>
    <t>C017C  CONFERENCIA TST PARES DG CENTRAL</t>
  </si>
  <si>
    <t>C023C  ELABORACAO LEVANT FOLHA DE CORTE</t>
  </si>
  <si>
    <t>C030C  ABERTURA FECH CX DE EMENDA QQ TP</t>
  </si>
  <si>
    <t>F013C  ABER FECH CX DE EMENDA EXISTENTE</t>
  </si>
  <si>
    <t>"G30-FXÇ BAND19"" BSTDR C/M.FRNCS-ATÉ50K</t>
  </si>
  <si>
    <t>G20-INST.SUB-BASTIDOR C\ALIM.-150A300KM</t>
  </si>
  <si>
    <t>I06-INST.PLATAF.C\GUARDACORPO-150A300KM</t>
  </si>
  <si>
    <t>I07-INST.PASS.C\G.CORPO/CORR.-150A300KM</t>
  </si>
  <si>
    <t>R01-INST.RD.ENL.2,4GHZE900MHZ-150A300KM</t>
  </si>
  <si>
    <t>R02-INST.RD.ENL. ANT.1,8M,1+1-150A300KM</t>
  </si>
  <si>
    <t>G04-INST./DES./TROCAANT.&gt;1,5M-150A300KM</t>
  </si>
  <si>
    <t>G05-INST./DES./TROCAANT.&gt;2,4M-150A300KM</t>
  </si>
  <si>
    <t>CE10-CONFIG.ROTEADORES/FRAD´S-150A300KM</t>
  </si>
  <si>
    <t>E01-INSTALAÇÃO (POR BASTIDOR)-150A300KM</t>
  </si>
  <si>
    <t>V12-TT.BASE[1](V01~02+V04~07)-150A300KM</t>
  </si>
  <si>
    <t>I06-INST.PLATAF.C\GUARDACORPO-300A500KM</t>
  </si>
  <si>
    <t>I07-INST.PASS.C\G.CORPO/CORR.-300A500KM</t>
  </si>
  <si>
    <t>I08-INST.PARA-RAIO-300A500KM.-300A500KM</t>
  </si>
  <si>
    <t>R01-INST.RD.ENL.2,4GHZE900MHZ-300A500KM</t>
  </si>
  <si>
    <t>R02-INST.RD.ENL. ANT.1,8M,1+1-300A500KM</t>
  </si>
  <si>
    <t>G20-INST.SUB-BASTIDOR C\ALIM.-300A500KM</t>
  </si>
  <si>
    <t>G04-INST./DES./TROCAANT.&gt;1,5M-300A500KM</t>
  </si>
  <si>
    <t>G05-INST./DES./TROCAANT.&gt;2,4M-300A500KM</t>
  </si>
  <si>
    <t>CE10-CONFIG.ROTEADORES/FRAD´S-300A500KM</t>
  </si>
  <si>
    <t>E01-INSTALAÇÃO (POR BASTIDOR)-300A500KM</t>
  </si>
  <si>
    <t>V12-TT.BASE[1](V01~02+V04~07)-300A500KM</t>
  </si>
  <si>
    <t>R03-INST.RD.ENL.ANT.&lt;1,2M,T1-ACIMA500KM</t>
  </si>
  <si>
    <t>R04-INST.RD.ENL.ANT.&lt;1,2M,T2-ACIMA500KM</t>
  </si>
  <si>
    <t>R05-INST.RD.ENL.ANT.&lt;1,2M,T3-ACIMA500KM</t>
  </si>
  <si>
    <t>G02-INST./TROCA UNID.OUTDOOR-ACIMA500KM</t>
  </si>
  <si>
    <t>G03-INST/DES/TROCAANT&lt;=1,5M -ACIMA500KM</t>
  </si>
  <si>
    <t>G13-TESTE BER (TRIBUT.RD-2M)-ACIMA500KM</t>
  </si>
  <si>
    <t>G17-INST.BASTIDOR 41/50/58U -ACIMA500KM</t>
  </si>
  <si>
    <t>C06-PREPARACAO TECNICA DE CL-ACIMA500KM</t>
  </si>
  <si>
    <t>CE10-CONFIG.ROTEADORES/FRADS-ACIMA500KM</t>
  </si>
  <si>
    <t>G019I-RECOMP PAV PASS CON-IMP REDE NOVA</t>
  </si>
  <si>
    <t>SOFTWARE 3PP-CONTROLE DE TRAGEGO</t>
  </si>
  <si>
    <t>LICENÇA DE SOFTWARE SFTP-BITVISE</t>
  </si>
  <si>
    <t>SERV. PROJETO E PRÉ-OPTIMIZAÇÃO SITES 2G</t>
  </si>
  <si>
    <t>SERV. DE CONSULT.NA IMPL. POINT CODE RNC</t>
  </si>
  <si>
    <t>SERV. DE CONSULTORIA NO DESING LU-FLEX.</t>
  </si>
  <si>
    <t>SERV. DE CONSULTORIA NA CONFIG LU-FLEX.</t>
  </si>
  <si>
    <t>SERVIÇO-ACEITAÇAO PRELIM/ DEFIN.REDE DCN</t>
  </si>
  <si>
    <t>GERENCIAMENTO PROJETO REDE DCN-SITE NOVO</t>
  </si>
  <si>
    <t>SOFTWARE-FUNÇAO DE CONTROLE H323</t>
  </si>
  <si>
    <t>SERVIÇO DE REFORÇO DE FUNDAÇAO</t>
  </si>
  <si>
    <t>REFORÇO DE TORRES E POSTES METALICOS</t>
  </si>
  <si>
    <t>SERVIÇO TECNICO EM ANTENA POR SETOR</t>
  </si>
  <si>
    <t>LICENÇA DE SOFTWARE-PROTOCOLO JAVA</t>
  </si>
  <si>
    <t>SOFTWARE  DE ATUALIZAÇAO DE HIT 7070</t>
  </si>
  <si>
    <t>SERV DE BUFÊ P/TREINAM SEM FORN. MERCAD.</t>
  </si>
  <si>
    <t>SERV INSTAL ELETRICA  GAB ENERGIA ELTEK</t>
  </si>
  <si>
    <t>SERV INSTAL ELETRICA GAB ENERGIA SIEMENS</t>
  </si>
  <si>
    <t>SW 3PP-SERVIDOR DE TESTE GERENCIAMENTO</t>
  </si>
  <si>
    <t>SW 3PP P/SERVIDOR DE CONTROLE DE TRAFEGO</t>
  </si>
  <si>
    <t>SW 3PP PARA SERVIDOR DE RECARGAS CS</t>
  </si>
  <si>
    <t>SW 3PP PARA REDUNDANCIA GEOGRAFICA CS</t>
  </si>
  <si>
    <t>LICENÇA DE SW TARIFAÇAO DE DADOS CS</t>
  </si>
  <si>
    <t>SOFTWARE MEDIÇAO DE REDE ICD &amp; IMS - NB</t>
  </si>
  <si>
    <t>INSTALAÇAO DE BSC DE TESTE PARA CORE</t>
  </si>
  <si>
    <t>INSTALAÇAO DE BTS DE TESTE PARA CORE</t>
  </si>
  <si>
    <t>SERV. INSTAL ELEM REDE ATIVAC MULTI 6RNC</t>
  </si>
  <si>
    <t>SERV. INSTAL ELEM DE REDE MULTI 6RNC</t>
  </si>
  <si>
    <t>SOFTWARE SMSC DE DIFUSAO MDA e FDA</t>
  </si>
  <si>
    <t>LICENÇA FUNCIONALIDADE SDH OSN8800</t>
  </si>
  <si>
    <t>PLANEJAMENTO DE REDE P/ EQUIPAMENTO MUX.</t>
  </si>
  <si>
    <t>SERV INSTAL SIST IRRAD MUX 7070 L. DIST.</t>
  </si>
  <si>
    <t>SERV INSTAL SIST IRRAD MUX 7070 C. DIST.</t>
  </si>
  <si>
    <t>SERV INSTAL SIST IRRAD MUX 7060 C. DIST.</t>
  </si>
  <si>
    <t>SERV INSTAL SIST IRRAD MUX 7060 L. DIST.</t>
  </si>
  <si>
    <t>LICENÇA RED HAT ENTERPRISE LINUX SERVER</t>
  </si>
  <si>
    <t>LICENÇA DE SOFTWARE LIVE PLAN-INTERFACE</t>
  </si>
  <si>
    <t>LICENÇA DE SOFT.LIVE PLAN-CORE 70K CELLS</t>
  </si>
  <si>
    <t>LICENÇA DE SOFTWARE EWS PCTE BASICO</t>
  </si>
  <si>
    <t>PLANEJAMENTO LOGICO EQUIP DE COMUTAÇAO</t>
  </si>
  <si>
    <t>INSTAL EQUIP SIST. P/MONITORAR O TRAFEGO</t>
  </si>
  <si>
    <t>INSTALAÇAO E ATIVAÇAO DE ASSINANTES REDE</t>
  </si>
  <si>
    <t>INSTALAÇAO EQUIP COMUTAÇAO DADOS NA REDE</t>
  </si>
  <si>
    <t>ATIVAÇAO SW EM ELEMENTOS DE REDE</t>
  </si>
  <si>
    <t>LICENÇA DE SOFTWARE WED AIRCOM</t>
  </si>
  <si>
    <t>LICENÇA DE SOFTWARE MYRIAD AIRCOM</t>
  </si>
  <si>
    <t>DESENV.CUSTOMIZAÇAO/INTEGRAÇAO SISTEMAS</t>
  </si>
  <si>
    <t>LICENÇA SOFTWARE ASSET P/ TECNOLGIA LTE</t>
  </si>
  <si>
    <t>SOFTWARE TP500 USUARIO TELEPRESENÇA</t>
  </si>
  <si>
    <t>SOFTWARE COMMUNICATIONS MANAGER HABILIT</t>
  </si>
  <si>
    <t>SOFTWARE TP500 EQUIP.VIDEO TELEPRESENÇA</t>
  </si>
  <si>
    <t>SOFTWARE DE VIDEO CISCO TELEPRESENÇA</t>
  </si>
  <si>
    <t>SOFTWARE DE HABILITAÇAO WEBEX</t>
  </si>
  <si>
    <t>SOFTWARE HABILITAÇAO MEETINGPLACE VIDEO</t>
  </si>
  <si>
    <t>SOFTWARE CISCO MEETINGPLACE 8.X ADDON</t>
  </si>
  <si>
    <t>SOFTWARE CISCO MEETINGPLACE USUAR.AUDIO</t>
  </si>
  <si>
    <t>LICENÇA DE SOFTWARE NTP TP 5000</t>
  </si>
  <si>
    <t>LICENÇA DE SOFTWARE SNMP TP 5000</t>
  </si>
  <si>
    <t>LICENÇA SOFTWARE GERENCIA  TP 5000</t>
  </si>
  <si>
    <t>CONSULTORIA RECERTIF CLUSTER E NBU TAP</t>
  </si>
  <si>
    <t>CONSULTORIA RECERTIF. CLUSTER E NBU TAD</t>
  </si>
  <si>
    <t>CONSULTORIA RECERTIFICAÇAO CLUSTER E NBU</t>
  </si>
  <si>
    <t>LICENÇA DE SINCRONISMO DE DADOS SYMANTEC</t>
  </si>
  <si>
    <t>SOFTWARE PDC-ENVIO MENSAGEM EMERGENCIAL</t>
  </si>
  <si>
    <t>INSTALAÇAO DE SOFTWARE SMS EMERGENCIAL</t>
  </si>
  <si>
    <t>SERV. PROJETO E VISTORIA PARA REDE DCN</t>
  </si>
  <si>
    <t>SERV TEC. TELEC P/LEVANT. CAMPO P/INSTAL</t>
  </si>
  <si>
    <t>SW. INTEGRAÇAO-MODULO INTERFACE QJET E1</t>
  </si>
  <si>
    <t>SW. INTEGRAÇAO-MODULO TRANSCEIVER APRISA</t>
  </si>
  <si>
    <t>SW-TRAFEGO DIRECT TUNEL-RAN/BACKBONE</t>
  </si>
  <si>
    <t>SERV INST EQUIP SIST TEL SAWP ULTRASITE</t>
  </si>
  <si>
    <t>SERVIÇO DE ASSISTENCIA TECNICA</t>
  </si>
  <si>
    <t>LICENÇA SOFTWARE P/ CONEXAO AO OSS-RC</t>
  </si>
  <si>
    <t>LICENÇA SW 150M SD/XPIC AM 1588v2 COMBO</t>
  </si>
  <si>
    <t>SERVIÇO DE MIGRAÇAO DE TRAFEGO DE SITES</t>
  </si>
  <si>
    <t>SERVIÇO DE OTIMIZAÇAO DE REDE POR SITE</t>
  </si>
  <si>
    <t>PACOTE DE SW EXPANSAO 64 CE</t>
  </si>
  <si>
    <t>PACOTE DE SW NODEB 6000 BD 3x4 512CE</t>
  </si>
  <si>
    <t>PACOTE DE SW NODEB 6000 BD 3x4 256CE</t>
  </si>
  <si>
    <t>PACOTE DE SW NODEB 6000 BD 3x4 128CE</t>
  </si>
  <si>
    <t>PACOTE DE SW NODEB 6000 BD 3x3 512CE</t>
  </si>
  <si>
    <t>PCOTE DE  SW NODEB 6000 BD 3x3 256CE</t>
  </si>
  <si>
    <t>PACOTE DE SW NODEB 6000 BD 3x3 128CE</t>
  </si>
  <si>
    <t>PACOTE DE SW NODEB 6000 BD 3x2 512CE</t>
  </si>
  <si>
    <t>LICENÇA DE USO DE SW SE100</t>
  </si>
  <si>
    <t>LICENÇA DE USO DE SW SY 2011B</t>
  </si>
  <si>
    <t>LICENÇA DE USO DE SW SAPC 2011B</t>
  </si>
  <si>
    <t>LICENÇA DE USO DE SW SY 2011A</t>
  </si>
  <si>
    <t>LICENÇA DE USO DE SW SAPC 2011A</t>
  </si>
  <si>
    <t>PACOTE DE SW NODEB 6000 BD 3x2 256CE</t>
  </si>
  <si>
    <t>PACOTE DE SW NODEB 6000 BD 3x2 128CE</t>
  </si>
  <si>
    <t>PACOTE DE SW NODEB 6000 BS 3x2 512CE</t>
  </si>
  <si>
    <t>PACOTE DE SW NODEB 6000 BS 3x2 256CE</t>
  </si>
  <si>
    <t>PACOTE DE SW NODEB 6000 BS 3x2 128CE</t>
  </si>
  <si>
    <t>PACOTE DE SW NODEB 6000 BS 3x1 512CE</t>
  </si>
  <si>
    <t>PACOTE DE SW NODEB 6000 BS 3x1 256CE</t>
  </si>
  <si>
    <t>PACOTE DE SW NODEB 6000 BS 3x1 128CE</t>
  </si>
  <si>
    <t>PACOTE DE SW EXPANSAO BANDA DUAL</t>
  </si>
  <si>
    <t>PACOTE DE SW EXPANSAO WATTS / PORTADORA</t>
  </si>
  <si>
    <t>LICENÇA DE SOFTWARE 10K VPN(100K-500K)</t>
  </si>
  <si>
    <t>LICENÇA DE SOFTWARE 10K VPN(0K-100K)</t>
  </si>
  <si>
    <t>LICENÇA DE SOFTWARE AUTOCAD 2012 SLM</t>
  </si>
  <si>
    <t>LICENÇA MICROSOFT ACESSO EXTERNO DESKTOP</t>
  </si>
  <si>
    <t>LICENÇA MICROSOFT MONITORAMENTO-SERVIDOR</t>
  </si>
  <si>
    <t>LICENÇA MICROSOFT DISTRIBUIÇAO DE PACTH</t>
  </si>
  <si>
    <t>LICENÇA MICROSOFT DE ACESSO EXTERNO</t>
  </si>
  <si>
    <t>SOFTWARE-ATUALIZAÇAO COLETOR DE DADOS</t>
  </si>
  <si>
    <t>LICENÇA UP SAM-7705 LOW RAN TP3</t>
  </si>
  <si>
    <t>LICENÇA UP SAM-7705 LOW RAN TP2</t>
  </si>
  <si>
    <t>LICENÇA UP SAM-7705 MID RAN TP3</t>
  </si>
  <si>
    <t>LICENÇA UP SAM-7705 MID RAN TP2</t>
  </si>
  <si>
    <t>LICENÇA UP SAM-C12 MID RAN TP3</t>
  </si>
  <si>
    <t>LICENÇA UP SAM-C12 MID RAN TP2</t>
  </si>
  <si>
    <t>LICENÇA UP SAM-7750 HIGHRAN TP3</t>
  </si>
  <si>
    <t>LICENÇA UP SAM-7750 HIGHRAN TP2</t>
  </si>
  <si>
    <t>LICENÇA UP 7705 LOW RAN TP3</t>
  </si>
  <si>
    <t>LICENÇA UP 7705 LOW RAN TP2</t>
  </si>
  <si>
    <t>LICENÇA UP 7705 MID RAN TP3</t>
  </si>
  <si>
    <t>LICENÇA UP 7705 MID RAN TP2</t>
  </si>
  <si>
    <t>LICENÇA UP C12 MID RAN TP3</t>
  </si>
  <si>
    <t>LICENÇA UP C12 MID RAN TP2</t>
  </si>
  <si>
    <t>LICENÇA UP 7750 HIGH RAN TP3</t>
  </si>
  <si>
    <t>LICENÇA UP 7750 HIGHRAN TP2</t>
  </si>
  <si>
    <t>LICENÇA UP SAM-7705 LOW RAN  TP1</t>
  </si>
  <si>
    <t>LICENÇA UP SAM-7705 MID RAN  TP1</t>
  </si>
  <si>
    <t>LICENÇA UP SAM-C12 MID RAN  TP1</t>
  </si>
  <si>
    <t>LICENÇA UP SAM-7750 HIGH RAN TP1</t>
  </si>
  <si>
    <t>LICENÇA UP 7705 LOWRAN TP1</t>
  </si>
  <si>
    <t>LICENÇA UP 7705 MIDRAN TP1</t>
  </si>
  <si>
    <t>LICENÇA UP C12 MIDRAN TP1</t>
  </si>
  <si>
    <t>LICENÇA UP 7750 HIGHRAN TP1</t>
  </si>
  <si>
    <t>LICENÇA UP SAM-SAR18 MID RAN TP3</t>
  </si>
  <si>
    <t>LICENÇA UP SAM-SAR18 MID RAN TP2</t>
  </si>
  <si>
    <t>LICENÇA UP SAR18 MID RAN TP3</t>
  </si>
  <si>
    <t>LICENÇA UP SAR18 MID RAN TP2</t>
  </si>
  <si>
    <t>LICENÇA UP SAM-SAR18 MID RAN NODE TP1</t>
  </si>
  <si>
    <t>LICENÇA UP SAR18 MID RAN TP1</t>
  </si>
  <si>
    <t>SERV. INSTAL. TIE-CABLE CABO POR METRO</t>
  </si>
  <si>
    <t>SERV. FUSAO DE FIBRAS OPTICAS AVULSA</t>
  </si>
  <si>
    <t>SERV. REMANEJAMENTO CONEXÇOES OPTICAS</t>
  </si>
  <si>
    <t>SERV. INSTALAÇAO-BANDEJA DE SOBRAS</t>
  </si>
  <si>
    <t>SERV INSTAL MOD 72FO-RACK C/72C SIST TEL</t>
  </si>
  <si>
    <t>SERV INSTAL MOD 72FO-RACK C/36F SIST TEL</t>
  </si>
  <si>
    <t>SERV INSTAL MOD 72FO-RACK C/72F SIST TEL</t>
  </si>
  <si>
    <t>SERV INSTAL MOD 24FO-RACK C/48C SIST TEL</t>
  </si>
  <si>
    <t>SERV INSTAL MOD 48FO-RACK C/24F SIST TEL</t>
  </si>
  <si>
    <t>SERV INSTAL MOD 48FO-RACK C/48F SIST TEL</t>
  </si>
  <si>
    <t>SERV INSTAL MOD 24FO-RACK C/24C SIST TEL</t>
  </si>
  <si>
    <t>SERV INSTAL MOD 24FO-RACK C/12F SIST TEL</t>
  </si>
  <si>
    <t>SERV INSTAL MOD 24FO-RACK C/24F SIST TEL</t>
  </si>
  <si>
    <t>SERV INSTAL RACK 19/23 EM SIST. TELECOM</t>
  </si>
  <si>
    <t>SERV INSTAL. MOD CONEX RACK SIST TELECOM</t>
  </si>
  <si>
    <t>SERV INSTAL. MOD FUSAO RACK SIST TELECOM</t>
  </si>
  <si>
    <t>SERV INSTAL RACK 600 MM EM SIST. TELECOM</t>
  </si>
  <si>
    <t>SERV INSTAL RACK 300 MM EM SIST. TELECOM</t>
  </si>
  <si>
    <t>SOFTWARE TUFIN-AUDITORIA DE FIREWALL (A)</t>
  </si>
  <si>
    <t>SOFTWARE TUFIN-AUDITORIA DE FIREWALL (C)</t>
  </si>
  <si>
    <t>LICENÇA DE SOFTWARE FLASH BUILDER-ADOBE</t>
  </si>
  <si>
    <t>SERV. CONSULT E ASSES. INFORM. GER. PROJ</t>
  </si>
  <si>
    <t>SERV. SUPORTE TECNICO INFORMAT. GARANTIA</t>
  </si>
  <si>
    <t>SERV DESENVOLV.TESTE  DESIGN DE SISTEMAS</t>
  </si>
  <si>
    <t>PACOTE BASICO DE SOFTWARE PARA LH 2.5.4</t>
  </si>
  <si>
    <t>PACOTE BASICO DE SOFTWARE PARA LH</t>
  </si>
  <si>
    <t>LICENÇA DE INTERFACE GRAFICA IBM</t>
  </si>
  <si>
    <t>LICENÇA DE HABILITAÇAO DE PORTAS HP</t>
  </si>
  <si>
    <t>LICENÇA DE SOFTWARE DSVIEW</t>
  </si>
  <si>
    <t>LICENÇA SW-ACESSO EXCHANGE CAL ALNG SA</t>
  </si>
  <si>
    <t>SERV. CUSTOMIZAÇÃO/IMPLEMENT/TESTE-VHE</t>
  </si>
  <si>
    <t>SERV CUSTOMIZAÇAO/ADEQ. SW-ODA 9º DIGITO</t>
  </si>
  <si>
    <t>SERV CONFIGURAÇÃO PROGRAM. DE INTERFACE</t>
  </si>
  <si>
    <t>SERV CONFIG SIST INTERFACE E MONIT PERFO</t>
  </si>
  <si>
    <t>SERV IMPL REDE ACESSO MIGR DE INTERF RNC</t>
  </si>
  <si>
    <t>SERV IMPL REDE ACESSO MIGR INTERF 4 RNCS</t>
  </si>
  <si>
    <t>SERV INSTAL CENTRAL COMUTAÇÃO MIDIA GATW</t>
  </si>
  <si>
    <t>SERV. PROJ E PLANEJAM FINAL NOVE DIGITOS</t>
  </si>
  <si>
    <t>SERV. INSTAL. DO PROGRAMA NOVE DIG 30MSS</t>
  </si>
  <si>
    <t>SERV. PROJ E PLANEJAMENTO NOVE DIG 30MSS</t>
  </si>
  <si>
    <t>SERV. INSTAL. DO PROGRAMA NOVE DIG. 1MSS</t>
  </si>
  <si>
    <t>SERV. PROJ E PLANEJAMENTO NOVE DIG. 1MSS</t>
  </si>
  <si>
    <t>SERV. PROJ E PLANEJAM ABERTURA NOVO MSRN</t>
  </si>
  <si>
    <t>SERV. PROJ E PLANEJAMENTO MGW SP DF</t>
  </si>
  <si>
    <t>SERV. INSTAL. FINAL PROGRAMA NOVE DIGITO</t>
  </si>
  <si>
    <t>LICENÇA MICROSOFT VISUAL STUDIO</t>
  </si>
  <si>
    <t>LICENÇA MICROSOFT TERMINAL SERVICE</t>
  </si>
  <si>
    <t>LICENÇA SW-ACESSO SHAREPOINT CAL ALNG</t>
  </si>
  <si>
    <t>LICENÇA DE SW - ACL  AX EXCEPTION</t>
  </si>
  <si>
    <t>LICENÇA SW -CL AX DATASOURSE SAP ERP&amp;CRM</t>
  </si>
  <si>
    <t>LICENÇA DE SW - ACL AX DATASOURCE</t>
  </si>
  <si>
    <t>LICENÇA DE SW - ACL DESKTOP AX</t>
  </si>
  <si>
    <t>LICENÇA DE SW - ACL AX CORE#ADICIONAL</t>
  </si>
  <si>
    <t>LICENÇA DE SW - ACL AX CORE</t>
  </si>
  <si>
    <t>SERV. DE INSTALAÇAO DE SW MODULOS ACL</t>
  </si>
  <si>
    <t>ASSESSORIA/CONSULT.- INFORMATICA ACL</t>
  </si>
  <si>
    <t>TREINAMENTO-UTILIZAÇAO DA SOLUÇAO ACL</t>
  </si>
  <si>
    <t>SUPORTE TECNICO/FUNCIONAL- LICENÇAS ACL</t>
  </si>
  <si>
    <t>SERV TEC EM TELEC INTEGRAÇAO CISCO7609SG</t>
  </si>
  <si>
    <t>SERV TEC EM TELEC INTEGRAÇAO CISCO7609SF</t>
  </si>
  <si>
    <t>SERV TEC EM TELEC INTEGRAÇAO CISCO7609SE</t>
  </si>
  <si>
    <t>SERV TEC EM TELEC INTEGRAÇAO CISCO7609SD</t>
  </si>
  <si>
    <t>SERV TEC EM TELEC INTEGRAÇAO CISCO7609SC</t>
  </si>
  <si>
    <t>SERV TEC EM TELEC INTEGRAÇAO CISCO7609SB</t>
  </si>
  <si>
    <t>SERV TEC EM TELEC INTEGRAÇAO CISCO7609SA</t>
  </si>
  <si>
    <t>SERV TEC EM TELEC INTEGRAÇAO MWR-2941-DC</t>
  </si>
  <si>
    <t>SERV INST ESPELHAMENTO 16E1 BALUN DID/TX</t>
  </si>
  <si>
    <t>SERV INST ESPELHAMENTO 16E1 DID EQP/BALU</t>
  </si>
  <si>
    <t>CONSULTORIA RELATORIO DE VISTORIA AVULSA</t>
  </si>
  <si>
    <t>SERV INSTAL ESPELHAMENTO 16 E1 DID</t>
  </si>
  <si>
    <t>SERV INSTAL ESPELHAMENTO 16 E1 DIO</t>
  </si>
  <si>
    <t>SERV TEC EM TELEC MIGRAÇAO NODEB VISITA</t>
  </si>
  <si>
    <t>SERV TEC EM TELEC MIGRAÇAO NODEB JANELA</t>
  </si>
  <si>
    <t>SERV TEC EM TELEC MIGRAÇAO NODEB REMOTA</t>
  </si>
  <si>
    <t>SERV DE INSTAL DE EQUIP PLACA ADICIONAL</t>
  </si>
  <si>
    <t>SERV TEC EM TELEC REMANEJAMENTO DE PLACA</t>
  </si>
  <si>
    <t>SERV INSTAL DE EQUIP ROTEADOR MWR2941</t>
  </si>
  <si>
    <t>SERV INSTAL EQUIP ROTEADOR 7609 1G/10G</t>
  </si>
  <si>
    <t>SERV INSTAL EQUIP ROTEADOR 7606 1GC/ES20</t>
  </si>
  <si>
    <t>SERVIÇO DE CONFECÇAO DE ADESIVOS/MOBILE</t>
  </si>
  <si>
    <t>LICENÇA DE USO DE SOFTWARE PC TAB-176 CS</t>
  </si>
  <si>
    <t>LICENÇA DE SOFTWARE VLS9000 HP</t>
  </si>
  <si>
    <t>DEDETIZAÇAO/DESINFECÇAO/DESINSETIZAÇAO</t>
  </si>
  <si>
    <t>SERV 07.13</t>
  </si>
  <si>
    <t>LICENÇA MICROSOFT SISTEMA OPERACIONAL</t>
  </si>
  <si>
    <t>LICENÇA MICROSOFT PARA CALL CENTER</t>
  </si>
  <si>
    <t>SERV. INSTAL COMUT/MIDIA GATEWAY DF BRA</t>
  </si>
  <si>
    <t>SERV. MANUTENÇAO EQUIP. DE INFORMATICA</t>
  </si>
  <si>
    <t>SERV DE ENTREGA RÁPIDA DE DOCS E OBJETOS</t>
  </si>
  <si>
    <t>SERV 26.01</t>
  </si>
  <si>
    <t>SERV. PROC. DADOS-IMPRESSAO DE CONTAS</t>
  </si>
  <si>
    <t>SERV. AGENC. VEICULAÇAO DE MIDIA VPC</t>
  </si>
  <si>
    <t>SERVIÇO-SUPORTE TECNICO EM INFORMATICA</t>
  </si>
  <si>
    <t>LICENÇA DE USO DE SW CS5.0.3</t>
  </si>
  <si>
    <t>SOFTWARE HP REPLICAÇAO VLS</t>
  </si>
  <si>
    <t>SOFTWARE HP DATA PROTECTOR MANAGER</t>
  </si>
  <si>
    <t>LICENÇA DP ADVANCED 10TB</t>
  </si>
  <si>
    <t>LICENÇA SW HP DATA PROTECTOR ADVANCED</t>
  </si>
  <si>
    <t>LICENÇA ON-LINE WINDOWS E-LTU</t>
  </si>
  <si>
    <t>LICENÇA SW HP DATA PROTECTOR UX</t>
  </si>
  <si>
    <t>SERVIÇO DE ANALISE DE DOCUMENTOS</t>
  </si>
  <si>
    <t>CONFIGURAÇAO SW. PLATAFORMA OTA 9.DIGITO</t>
  </si>
  <si>
    <t>SERVIÇO DE AGENCIAMENTO DE VIAGEM</t>
  </si>
  <si>
    <t>SERV 09.02</t>
  </si>
  <si>
    <t>FORNECIMENTO DE DADOS INFORM.P/ PESQUISA</t>
  </si>
  <si>
    <t>SERVIÇO DE GRAVAÇAO DE MENSAGEM - MKTG</t>
  </si>
  <si>
    <t>SOFTWARE HP DATA PROTECTOR 6.2</t>
  </si>
  <si>
    <t>IMPLANT. SITE 3G TELEC AT 3000 P/6001 GE</t>
  </si>
  <si>
    <t>IMPLANT. SITE 3G TELEC AT 3000 P/6001 GS</t>
  </si>
  <si>
    <t>IMPLANTAÇAO SITE 3G TELEC AT 3000 P/6001</t>
  </si>
  <si>
    <t>SERV INSTAL TRANSM SLOT 16E1 4 PORTA ETH</t>
  </si>
  <si>
    <t>SERV INSTAL TRANS RADIO COM DIV ESPACIAL</t>
  </si>
  <si>
    <t>SERV INSTAL TRANSM. ADIC. ROTA BLM x MCP</t>
  </si>
  <si>
    <t>SERV INSTAL AD RADIO COM DIV ESPACIAL</t>
  </si>
  <si>
    <t>SERV. RECUPERAÇAO DE VIA DE ACESSO</t>
  </si>
  <si>
    <t>SERVIÇO DE MAO DE OBRA TERCEIRIZADA-VPC</t>
  </si>
  <si>
    <t>SERVIÇO DE MEDICINA OCUPACIONAL</t>
  </si>
  <si>
    <t>SERV 04.01.02</t>
  </si>
  <si>
    <t>SERV.TEC.TELEC. P/ INSTAL/COMISS. TRX</t>
  </si>
  <si>
    <t>SERVIÇO DE CONFECÇAO DE CARIMBOS</t>
  </si>
  <si>
    <t>SERVIÇO DE BUFE PARA ENDOMARKETING</t>
  </si>
  <si>
    <t>FISCALIZAÇAO/LICENC. P/ IMPLANTAÇAO-ERB</t>
  </si>
  <si>
    <t>SERV. AÇAO PROMOCIONAL DE VENDAS</t>
  </si>
  <si>
    <t>SERV. COMPOSIÇAO GRAFICA ENDOMARKETING</t>
  </si>
  <si>
    <t>SERV. CAMPANHA / AÇAO DE ENDOMARKETING</t>
  </si>
  <si>
    <t>ADMINISTRAÇAO PREDIAL P/ ENDOMARKETING</t>
  </si>
  <si>
    <t>AGENCIAMENTO DE EVENTOS ENDOMARKETING</t>
  </si>
  <si>
    <t>SERV 10.02</t>
  </si>
  <si>
    <t>LOCAÇAO DE ESPAÇO EVENTO ENDOMARKETING</t>
  </si>
  <si>
    <t>SERV 03.03</t>
  </si>
  <si>
    <t>PLANEJ. E COORDENAÇAO DE EVENTOS/LOCUÇAO</t>
  </si>
  <si>
    <t>SERV.MAO DE OBRA DE PROMOTORES DE VENDA</t>
  </si>
  <si>
    <t>SERVIÇO DE GRAVAÇAO DE URA</t>
  </si>
  <si>
    <t>SERV. MANUTENÇÃO EQUIPTO INFORMATICA</t>
  </si>
  <si>
    <t>SERV. MANUT/ATUALIZAÇAO/UPGRADE SOFTWARE</t>
  </si>
  <si>
    <t>SERV.ARMAZENAGEM DE MATERIAL REVENDA</t>
  </si>
  <si>
    <t>SERV.TRANSPORTE MATERIAL DE REVENDA</t>
  </si>
  <si>
    <t>LICENÇA DE SOFTWARE ET-MF41</t>
  </si>
  <si>
    <t>SERVIÇOS DE CARTORIO</t>
  </si>
  <si>
    <t>SERV. DE ANALISE E INSPEÇAO DE CONTRATOS</t>
  </si>
  <si>
    <t>SERV 17.01.02</t>
  </si>
  <si>
    <t>SERVIÇO DE ESTUDOS PRELIMINARES-PADRAO</t>
  </si>
  <si>
    <t>PLAN. DE. REDE DADOS MULTIPLEXADORA</t>
  </si>
  <si>
    <t>INSTAL. DE. MULTIPLEXADOR. STM1 HIT7035</t>
  </si>
  <si>
    <t>INSTAL. DE. MULTIPLEXADOR. 2M - HIT7070</t>
  </si>
  <si>
    <t>INSTAL. DE. MULTIPLEXADOR. HIT7080</t>
  </si>
  <si>
    <t>INSTAL. DE. MULTIPLEXADOR. HIT7060</t>
  </si>
  <si>
    <t>LICENÇA CONEXÃO HIT7070 POR PLACA 2M</t>
  </si>
  <si>
    <t>LICENÇA CONEXÃO HIT7080</t>
  </si>
  <si>
    <t>LICENÇA CONEXÃO HIT7060</t>
  </si>
  <si>
    <t>LICENÇA ATUALIZAÇÃO HIT7035 4.2 PARA 4.3</t>
  </si>
  <si>
    <t>LICENÇA ATUALIZAÇÃO ADM-1/4 HIT7035</t>
  </si>
  <si>
    <t>LICENÇA ATUALIZAÇÃO ADM-64 HIT7070</t>
  </si>
  <si>
    <t>LICENÇA DE CAPACIDADE 2,5G MSPP HIT7080</t>
  </si>
  <si>
    <t>LICENÇA PARA SISTEMA AVANÇADO HIT7080</t>
  </si>
  <si>
    <t>LICENÇA BÁSICA MSPP HIT7080</t>
  </si>
  <si>
    <t>LICENÇA SISTEMA HIT7060 4.2</t>
  </si>
  <si>
    <t>LICENÇA HIT7060 MATRIZ 25G PROT</t>
  </si>
  <si>
    <t>LICENÇA HIT7060 ADM-16</t>
  </si>
  <si>
    <t>SERV. DE PROJ P/DESMOBILIZAÇAO DE SITE</t>
  </si>
  <si>
    <t>MANUTENÇAO PROGRAMA INFORMAT CLARO CLUBE</t>
  </si>
  <si>
    <t>SERVIÇO ATUALIZAÇAO SOFTWARE (GERENCIA)</t>
  </si>
  <si>
    <t>SERVIÇO ATUALIZAÇAO SOFTWARE-FUNÇÕES</t>
  </si>
  <si>
    <t>SERVIÇO DE OBTENÇAO-LICENÇAS DE FACHADA</t>
  </si>
  <si>
    <t>SERVIÇO PORTARIA SITES/CENTRAIS</t>
  </si>
  <si>
    <t>SERVIÇO DE  PORTARIA LOJAS/HQ</t>
  </si>
  <si>
    <t>SERVIÇO DE CONFIGURAÇÃO DE SOFTWARE-TI</t>
  </si>
  <si>
    <t>SERV MANUT E SUPORTE TECNICO-EQUITO-TI</t>
  </si>
  <si>
    <t>SERV. MIGRAÇAO DE TRAFEGO ROTEADOR IP RA</t>
  </si>
  <si>
    <t>MANUTENÇAO PROGRAMA INFORMATICA VIEOS</t>
  </si>
  <si>
    <t>CONSULTORIA/ASSESS. MONITORAMENTO CANAIS</t>
  </si>
  <si>
    <t>MANUTENÇAO DA PAGINA WEBSITE CLARO</t>
  </si>
  <si>
    <t>LICENÇA DE PROTEÇAO AO CREDITO - CRIVO</t>
  </si>
  <si>
    <t>CONSULT P/LICENC AMBIEN-ALVARA SANITARIO</t>
  </si>
  <si>
    <t>SERVIÇOS-CONTEUDO JORNALISTICO-ENDOMKT</t>
  </si>
  <si>
    <t>ASSES/CONSULT INFORM.BALANC CARGA M2000</t>
  </si>
  <si>
    <t>INST.SIST.ENERGIA-RETIFICADOR/CONVERSOR</t>
  </si>
  <si>
    <t>LICENÇA DE SOFTWARE SYBASE FILE</t>
  </si>
  <si>
    <t>LICENÇA DE SOFT. SYBASE MIDIA EBF18655</t>
  </si>
  <si>
    <t>SERVIÇO DE ASSISTENCIA TECNICA-AUTOMATOS</t>
  </si>
  <si>
    <t>LIC.MICROSOFT-GERENCIMENTO DE PROJETOS</t>
  </si>
  <si>
    <t>LIC.MICROSOFT GERENCIAMENTO PJT-PRJCTPRO</t>
  </si>
  <si>
    <t>LIC.MICROSOFT COLABORAÇAO-OFFICE WIN32</t>
  </si>
  <si>
    <t>LIC.MICROSOFT COLABORAÇAO-SHAREPOINTSTD</t>
  </si>
  <si>
    <t>LIC.MICROSOFT GERENCIAMEN.CPU-SYSCRTCNFG</t>
  </si>
  <si>
    <t>LIC.MICROSOFT MENSAGEM CORP.-OCSENT</t>
  </si>
  <si>
    <t>LIC.MICROSOFT BC.DADOS SQLSVRENT IPROC</t>
  </si>
  <si>
    <t>LIC.MICROSOFT BC.DADOS-SQLSVRSTD-IPROC</t>
  </si>
  <si>
    <t>LIC.MICROSOFT ACESSOSERVIDOR-WINDOWS</t>
  </si>
  <si>
    <t>LIC.MICROSOFT CORREIO ELETR.-EXCHANGE</t>
  </si>
  <si>
    <t>LIC.MICROSOFT SERVIDORES-WINSVRSTD</t>
  </si>
  <si>
    <t>LIC.MICROSOFT ACESSO REMOTO-WINSVRENT</t>
  </si>
  <si>
    <t>LIC.MICROSOFT SERVIDORES-SQLSVRSTD</t>
  </si>
  <si>
    <t>LIC.MICROSOFT BANCO DE DADOS-SQLSVRSTD</t>
  </si>
  <si>
    <t>LIC.MICROSOFT GERENCIAM. PJT-PRJCTSVR</t>
  </si>
  <si>
    <t>LIC.MICROSOFT PRODUTIVIDADE-OFICEPROPLUS</t>
  </si>
  <si>
    <t>LIC.MICROSOFT ANTIVIRUS-FRFRNTTMGENT</t>
  </si>
  <si>
    <t>LIC.MICROSOFT ACESSO REMOTO-WINRMTDSK</t>
  </si>
  <si>
    <t>LIC.MICROSOFT COLABORAÇAO-SHAREPOINTSVR</t>
  </si>
  <si>
    <t>LIC.MICROSOFT GERENCIAMEN.CPU-SYSCTRCNFG</t>
  </si>
  <si>
    <t>LIC.MICROSOFT MONITORAMENTO-SYSCTROP</t>
  </si>
  <si>
    <t>LIC.MICROSOFT MONITORAMENTO-SERVIDOR-OPS</t>
  </si>
  <si>
    <t>LIC.MICROSOFT CORREIO ELETR.-EXCHGSVRENT</t>
  </si>
  <si>
    <t>LIC.MICROSOFT CORREIO ELETR.-EXCHGSVRSTD</t>
  </si>
  <si>
    <t>LIC.MICROSOFT MENSAGEM CORP.-OCSENTCAL</t>
  </si>
  <si>
    <t>LIC.MICROSOFT MENSAGEM CORP.-OCSSTDCAL</t>
  </si>
  <si>
    <t>LIC.MICROSOFT PROTEÇAO DE DOCUMENTOS</t>
  </si>
  <si>
    <t>LIC.MICROSOFT MENSAGEM CORP-OFFICE</t>
  </si>
  <si>
    <t>LIC.MICROSOFT DESENVOLVIMENTO-VISTEAMDEV</t>
  </si>
  <si>
    <t>LIC.MICROSOFT ORGANOGRAMA/FLUXO-VISIOSTD</t>
  </si>
  <si>
    <t>SERVIÇO-REMANEJAEMNTO SUPORTE DE ANTENA</t>
  </si>
  <si>
    <t>SERVIÇO DE REMANEJAMENTO DE BATERIAS</t>
  </si>
  <si>
    <t>ELAB. PROJ. ARQUITETURA P/IMPLANT.LOJAS</t>
  </si>
  <si>
    <t>SERV. ARQUITETURA P/IMPLANTAÇAO DE LOJAS</t>
  </si>
  <si>
    <t>DESENHO DE MOVEIS P/ LOJAS E QUIOSQUES</t>
  </si>
  <si>
    <t>SERV 23.01</t>
  </si>
  <si>
    <t>ORGANIZAÇAO DE FEIRAS E EXPOSIÇOES</t>
  </si>
  <si>
    <t>LICENÇA SW EPAP - 500000 ENTRADAS</t>
  </si>
  <si>
    <t>LICENÇA SW CONJUNTO MODULO E5-OAM</t>
  </si>
  <si>
    <t>LICENÇA SW HIPR2 HIGH RATE MODE</t>
  </si>
  <si>
    <t>LIC.SOFT.AVALIAÇAO-SEGURANÇA-REDE-MVM310</t>
  </si>
  <si>
    <t>SOFTW.DE ANALISE DE FALHAS DE SEGURANÇA</t>
  </si>
  <si>
    <t>SOFT.GERENCIA-MODULOS-M2950/8000</t>
  </si>
  <si>
    <t>SOFT.CHAVE-COMUT.DE REDE DE DADOS M8000</t>
  </si>
  <si>
    <t>SOFT.CONVERSOR-REDE-FIBRA-COBRE-10G-GBIC</t>
  </si>
  <si>
    <t>SOFT.REDUNDANCIA-FONTES DE ALIMENT.M8000</t>
  </si>
  <si>
    <t>SOFTWARE DE SEGURANÇA DE REDE M8000</t>
  </si>
  <si>
    <t>SOFT.REDUNDANCIA-FONTES DE ALIMENT.M2950</t>
  </si>
  <si>
    <t>SOFT.CHAVE-COMUT.DE REDE DE DADOS M2950</t>
  </si>
  <si>
    <t>SOFTWARE DE SEGURANÇA DE REDE M2950</t>
  </si>
  <si>
    <t>SERV ENGENHARIA DE ANTENISTA-SIST. DE RF</t>
  </si>
  <si>
    <t>ELABORAÇAO DE PROGRAMAS DE COMPUTADORES</t>
  </si>
  <si>
    <t>LOCAÇAO DE EQUIPAMENTOS PARA ENDOMKT</t>
  </si>
  <si>
    <t>SERV TEC TELEC MIGRA. TRÁF TELEC PDH/SDH</t>
  </si>
  <si>
    <t>SERV TEC EM TELEC UPGRADE CONF/CAP RDPDH</t>
  </si>
  <si>
    <t>SERV TEC EM TELEC CONFIGURAÇÃO ROTEADOR</t>
  </si>
  <si>
    <t>SERV TEC EM TELEC UPGRADE DE RADIO SDH</t>
  </si>
  <si>
    <t>SERV TEC EM TELEC INTERF ENTRE TERMINAIS</t>
  </si>
  <si>
    <t>SERV TEC EM TELEC DIV FREQ TRAF 1+0P/1+1</t>
  </si>
  <si>
    <t>SERV TEC. EM TELEC. DIVERSID. FREQUENCIA</t>
  </si>
  <si>
    <t>SERV TEC. EM TELEC UPGRADE DE RADIO PDH</t>
  </si>
  <si>
    <t>INSTALAÇAO DE SOFTWARE APLICATIVO EXATA</t>
  </si>
  <si>
    <t>PLANEJAMENTO INST. APLICATIVO EM CENTRAL</t>
  </si>
  <si>
    <t>SERVIÇO DE CONSULTORIA TRIBUTARIA</t>
  </si>
  <si>
    <t>SERV.-COPIAS/REPRODUÇAO CINEMATOGRAFICA</t>
  </si>
  <si>
    <t>SERVIÇO DE TRADUÇAO E LEGENDAS</t>
  </si>
  <si>
    <t>EXIBIÇAO CINEMATOGRÁFICA PROGRAMA CLARO</t>
  </si>
  <si>
    <t>SUPORTE TECNICO EM INFORMAT 4HR7X24 2/3A</t>
  </si>
  <si>
    <t>SUPORTE TECNICO EM INFORMAT 4HR7X24 1A</t>
  </si>
  <si>
    <t>SUPORTE TECNICO EM INFORM. PROSUPPORT 3A</t>
  </si>
  <si>
    <t>SERVIÇO DE PUBLICIDADE E PROPAGANDA</t>
  </si>
  <si>
    <t>LICENÇA DE SOFTWARE VIGNETTE-OPEN TEXT</t>
  </si>
  <si>
    <t>SERV. TRANSM. AMPLIAÇAO TRX TP B C/SI</t>
  </si>
  <si>
    <t>SERV. TRANSM. AMPLIAÇAO TRX TP B S/SI</t>
  </si>
  <si>
    <t>SERV. TRANSM. AMPLIAÇAO TRX TP A C/SI</t>
  </si>
  <si>
    <t>SERV. TRANSM. AMPLIAÇAO TRX TP A S/SI</t>
  </si>
  <si>
    <t>SERV INSTAL DE CONTAINER P/SIST. TELECOM</t>
  </si>
  <si>
    <t>LICENÇA SW-PROTEÇAO ELP</t>
  </si>
  <si>
    <t>LICENÇA SW-PROTEÇAO PARA RADIO</t>
  </si>
  <si>
    <t>LIC. SW- HABILITAÇAO DE PORTAS ETHERNET</t>
  </si>
  <si>
    <t>LIC. SW-HABILITAÇAO ETHERNET SWITCHING</t>
  </si>
  <si>
    <t>LICENÇA SW-HABILITAÇAO 12 E1S</t>
  </si>
  <si>
    <t>LICENÇA SW-OTIMIZAÇAO DE REDE COPS</t>
  </si>
  <si>
    <t>SERVIÇO DE COMUNICAÇAO VISUAL</t>
  </si>
  <si>
    <t>MANUTENÇAO EM EQUIP. ENERGIA-INVERSOR</t>
  </si>
  <si>
    <t>MANUTENÇAO DE ESTRUTURA VERTICAL</t>
  </si>
  <si>
    <t>DESMOBILIZAÇAO DE ESTRUTURA VERTICAL SI</t>
  </si>
  <si>
    <t>LICENÇA DE SOFTWARE SUBEX - ROC FM 7.4</t>
  </si>
  <si>
    <t>SERV REMANEJAM ROTEADOR IPRAN REDE TELEC</t>
  </si>
  <si>
    <t>PLANEJ E ORGANIZAÇÃO DE FEIRAS ENDOMKT</t>
  </si>
  <si>
    <t>SERV.-CARPINTARIA P/RECUPERAÇAO-MOVEIS</t>
  </si>
  <si>
    <t>SOFTWARE IBM POWER AIX</t>
  </si>
  <si>
    <t>SERVIÇO DE CONSULTORIA-INFORM.CADASTRAIS</t>
  </si>
  <si>
    <t>SERV ANALISE DOCUMENTOS DE LICENCIAMENTO</t>
  </si>
  <si>
    <t>LIC. SOFTWARE HP-GERENCIAMENTO SERVIDOR</t>
  </si>
  <si>
    <t>LICENÇA SW 6800 TPS DB ITU P/E5-SM4G</t>
  </si>
  <si>
    <t>LICENÇA SW 6800 TPS GTT P/E5-SM4G</t>
  </si>
  <si>
    <t>LICENÇA SW PIC-PMF P/201-1,000MBPS</t>
  </si>
  <si>
    <t>LICENÇA DE SW AVAYA-RAMAL VIRTUAL</t>
  </si>
  <si>
    <t>LICENÇA DE SW AVAYA CMEE R3</t>
  </si>
  <si>
    <t>LICENÇA DE SW CRIPTOGRAFIA SOFTPHONE</t>
  </si>
  <si>
    <t>LICENÇA SOFTWARE ORACLE-REAL APPLICATION</t>
  </si>
  <si>
    <t>VISTORIA DE PROJETO C/AGENDAMENTO BLC/ED</t>
  </si>
  <si>
    <t/>
  </si>
  <si>
    <t>SERV INSTAL DE POSTE CIRCULAR CONCRETO</t>
  </si>
  <si>
    <t>INSTAL DE EMENDA POR FUSÃO OPTICA</t>
  </si>
  <si>
    <t>INSTALAÇAO DE SUPORTE PARA CABOS</t>
  </si>
  <si>
    <t>LANÇAMENTO DE CABO ÓPTICO</t>
  </si>
  <si>
    <t>SERVIÇO-REPARO EQUIPAMENTO DE SONDAGEM</t>
  </si>
  <si>
    <t>LICENÇA DE SOFTWARE EMC-ESPELHAMENTO</t>
  </si>
  <si>
    <t>LICENÇA DE SOFTWARE EMC-GOVERNANÇA</t>
  </si>
  <si>
    <t>SERVIÇOS TECNICOS DE TELECOM EM SITES</t>
  </si>
  <si>
    <t>LICENÇA SOFTWARE HP E-DELIVERY UX 11I</t>
  </si>
  <si>
    <t>LICENÇA SOFTWARE HP VIRTUAL SERVER 11IV3</t>
  </si>
  <si>
    <t>LICENÇA DE DIREITO DE USO DE SOFTWARE</t>
  </si>
  <si>
    <t>SERVIÇO DE CONSULTORIA EM MARKETING</t>
  </si>
  <si>
    <t>SERV. AGENCIAMENTO DE VIAGENS/EXCURSOES</t>
  </si>
  <si>
    <t>LIC.SOFTWARE SQL STANDARD ENTERPRISE</t>
  </si>
  <si>
    <t>LIC. SOFTWARE SQL STANDARD</t>
  </si>
  <si>
    <t>LIC.SOF.BLACKBERRY ENTERPRISE SERVER CAL</t>
  </si>
  <si>
    <t>SERVIÇO DE ANALISE DE AGUA</t>
  </si>
  <si>
    <t>SERV 30.01</t>
  </si>
  <si>
    <t>SERV. CONFECÇAO MALA DIRETA-MAT.GRAFICO</t>
  </si>
  <si>
    <t>INSTA/ABERT/FECH CAIXA EMENDA C/K D</t>
  </si>
  <si>
    <t>INSTAL/ABERT/FECH CAIXA EMENDA</t>
  </si>
  <si>
    <t>INSTALACAO CAIXA EMENDA OPTICA</t>
  </si>
  <si>
    <t>LANÇAMENTO DE CABO OPT SOBRESP RDE</t>
  </si>
  <si>
    <t>LANÇAMENTO DE CABO OPTICO ESPINADO</t>
  </si>
  <si>
    <t>TESTE POTENCIA ENLACE OPTICO CD</t>
  </si>
  <si>
    <t>SERV INST/ESTE ENLAC AB BA OTDR CD FIBRA</t>
  </si>
  <si>
    <t>SERV TESTE BOBINA CABO OPTICO OTDR-</t>
  </si>
  <si>
    <t>INSTALACAO FONTE SEM MEDIDOR ENERGIA</t>
  </si>
  <si>
    <t>INSTALAÇAO DE FONTE E MEDIDOR ENERGIA</t>
  </si>
  <si>
    <t>PROJETO/TESTE DE REDE COM RELATORIO</t>
  </si>
  <si>
    <t>SERV INSTAL/ATIVACAO DE REDE BIDIRECION.</t>
  </si>
  <si>
    <t>SERV INSTAL/CONECTOR REDE SUBT SPLICING</t>
  </si>
  <si>
    <t>INSTAL/LANÇAMENTO CABO COAXIAL S</t>
  </si>
  <si>
    <t>INSTAL/LANÇAMENTO CABO COAXIAL A</t>
  </si>
  <si>
    <t>INSTALAÇAO DE PONTO DE ATERRAMENTO</t>
  </si>
  <si>
    <t>INSTALAÇAO DE FERRAGEM E LANC CORDOLHA</t>
  </si>
  <si>
    <t>INSTALACAO DE CAIXAS DE PASSAGEM</t>
  </si>
  <si>
    <t>PROJETO E APROV. INFRA SUBTERANEA MD</t>
  </si>
  <si>
    <t>INSTALAÇAO DE DUTO DESC SUB LATERAL</t>
  </si>
  <si>
    <t>PROJETO DE INFRAESTRUTURA SUBTERRANEA</t>
  </si>
  <si>
    <t>PROJETO E APROV. INFRA SUBTERRANEA MND</t>
  </si>
  <si>
    <t>PROJETO ADEQUAÇAO REDE ELETRICA</t>
  </si>
  <si>
    <t>PROJETO ESFORÇO MECANICO P/REDE</t>
  </si>
  <si>
    <t>INSTALACAO DE ELETROCALHA PARA REDE</t>
  </si>
  <si>
    <t>INSTLACAO DE TUBULACAO APARENTE</t>
  </si>
  <si>
    <t>PODA DE ARVORES E ARBUSTOS</t>
  </si>
  <si>
    <t>RETIRADA/RECOMPOSICAO PLACAS GESSO</t>
  </si>
  <si>
    <t>INSTAL. DE DUTO DESCDA/SUBDA LATERAL 1 D</t>
  </si>
  <si>
    <t>SERV DE INSTALACAO DE ATIVOS NA REDE EXT</t>
  </si>
  <si>
    <t>PODA DE ARVORES E ARBUSTOSABOS COAXIAIS</t>
  </si>
  <si>
    <t>SERV TESTES ACEITAÇAO BOBINAS CABOS C</t>
  </si>
  <si>
    <t>CONSTRUÇAO INFRA SUBTERRANEA MD</t>
  </si>
  <si>
    <t>INSTALAÇAO DE SUBDUTO</t>
  </si>
  <si>
    <t>EXECUÇAO INFRA SUBTERRANEA MND</t>
  </si>
  <si>
    <t>OBRA INFRA PARA ENTRADA MDU</t>
  </si>
  <si>
    <t>INSTALAÇAO DE PONTO DE ENERGIA A</t>
  </si>
  <si>
    <t>PASSAGEM P/BLCO DO CABO P/INTERL</t>
  </si>
  <si>
    <t>INSTALACAO DE CAIXA DE SOBREPOR DE REDE</t>
  </si>
  <si>
    <t>SERV INSTAL DE PONTOS DE CONEXAO DE REDE</t>
  </si>
  <si>
    <t>SERV INSTAL REDE DISTRIB. E ATIVACAO AND</t>
  </si>
  <si>
    <t>PASSAGEM BLCO/EDIFICIO CABO ENTR</t>
  </si>
  <si>
    <t>PROJETO DE DISTRBUICAO E AS B BL/EDIFCIO</t>
  </si>
  <si>
    <t>CESSAO MAO-DE-OBRA PROMOTOR DIVULGAÇAO</t>
  </si>
  <si>
    <t>LICENÇA NMRS COLD STAND-BY DB</t>
  </si>
  <si>
    <t>LICENÇA SYBASE ADAPTER STANDBY 15.5WIN64</t>
  </si>
  <si>
    <t>LICENÇA SYBASE ASE EE STANDBY 15.5 WIN64</t>
  </si>
  <si>
    <t>LICENÇA SYBASE ADAPTER 15.5 WIN64</t>
  </si>
  <si>
    <t>LICENÇA SYBASE ASE EE STARTUP 15.5 WIN64</t>
  </si>
  <si>
    <t>LICENÇA SW PIC-PRORACE P/401-750MBPS</t>
  </si>
  <si>
    <t>LICENÇA SW PIC-PROTRAQ P/401-750MBPS</t>
  </si>
  <si>
    <t>LICENÇA SW PIC-TRAF P/401-750MBPS</t>
  </si>
  <si>
    <t>LICENÇA SW IAS-MODULO BASE IXP</t>
  </si>
  <si>
    <t>SERV. INSTALAÇAO DE CABOS EM REDE TELEC</t>
  </si>
  <si>
    <t>SERV. GER PROJ DE IMPLANTAÇA DE SINALIZ</t>
  </si>
  <si>
    <t>SERV. CONFIGURAÇAO-SIST DE SINALIZAÇAO</t>
  </si>
  <si>
    <t>LICENÇA DE SOFTWARE HITACHI-AMS2500/USPV</t>
  </si>
  <si>
    <t>LICENÇA DE SW STARTHOME MO SMS/GPRS</t>
  </si>
  <si>
    <t>LICENÇA DE SW STARTHOME VHE</t>
  </si>
  <si>
    <t>LICENÇA DE SW STARTHOME IPN</t>
  </si>
  <si>
    <t>CONSULTOR./GERENCIAMENTO PROJETO INFORM.</t>
  </si>
  <si>
    <t>SERV SUPORTE TECNICO EM INFORM PLAT 7X24</t>
  </si>
  <si>
    <t>SERV CONFIG/TESTE DO SIST PLAT VHE 9ºDIG</t>
  </si>
  <si>
    <t>SERV. CONFIGURAÇAO REMOTA DE SISTEM PLAT</t>
  </si>
  <si>
    <t>SERV. CONFIGURAÇAO DE SIST. PLAT IPN VHE</t>
  </si>
  <si>
    <t>SERV. CONFIGURAÇAO DE SIST. MO SMS PLAT.</t>
  </si>
  <si>
    <t>MONITORAMENTO/COMPIL MATERIAS NAC TELEC.</t>
  </si>
  <si>
    <t>REPRODUÇAO DE INFORMAÇOES P/PESQUISA</t>
  </si>
  <si>
    <t>LICENÇA FV P/PLAT. DE ACESSO UNIVERSAL</t>
  </si>
  <si>
    <t>LICENÇA FV P/SERVIDOR DE NBU</t>
  </si>
  <si>
    <t>LICENÇA FV P/SERV.DE BANCO DADOS MSP</t>
  </si>
  <si>
    <t>LICENÇA FV P/SERV. DE BANCO DE DADOS</t>
  </si>
  <si>
    <t>LICENÇA FV P/SERV. DE ADM.</t>
  </si>
  <si>
    <t>LICENÇA FV P/AGENTE OM</t>
  </si>
  <si>
    <t>LICENÇA FV P/SERVIDOR DE TAREFAS</t>
  </si>
  <si>
    <t>LICENÇA FV P/SERVIDOR DE RELATORIOS</t>
  </si>
  <si>
    <t>LICENÇA FV P/REL. E ESTAÇAO DE DADOS</t>
  </si>
  <si>
    <t>LICENÇA FV P/SERV. DE DADOS OPERAC.</t>
  </si>
  <si>
    <t>LICENÇA FV P/CONTROLE ROTEAMENTO REDE</t>
  </si>
  <si>
    <t>LICENÇA FV P/PROC. DE MSGS MULTIMIDIA</t>
  </si>
  <si>
    <t>LICENÇA FV P/PROXY DE CONEXAO MAS</t>
  </si>
  <si>
    <t>LICENÇA FV P/AGENTE MULTIMIDA</t>
  </si>
  <si>
    <t>LICENÇA FV P/SERVIDOR IVR</t>
  </si>
  <si>
    <t>LICENÇA FV P/GW DE INTERFACE</t>
  </si>
  <si>
    <t>LICENÇA FV P/SERV. DE ARQUIVOS</t>
  </si>
  <si>
    <t>LICENÇA FV P/SERV. DE INT. DE MÍDIAS</t>
  </si>
  <si>
    <t>LICENÇA FV P/SERV. DE CONV. DE FAX</t>
  </si>
  <si>
    <t>LICENÇA FV P/CONTROLE DE CHAMADAS</t>
  </si>
  <si>
    <t>LICENÇA FV P/SERVIÇO DE CONTROLE</t>
  </si>
  <si>
    <t>LICENÇA FV P/UNID. DE DISCO RIGIDO</t>
  </si>
  <si>
    <t>LICENÇA FV P/UNID. DE DISTRIB. DE MEDIA</t>
  </si>
  <si>
    <t>LICENÇA FV P/UNID. DE MANUT. E OPERAÇAO</t>
  </si>
  <si>
    <t>LICENÇA FV P/UNID. DE PROC. GERAL SIN.</t>
  </si>
  <si>
    <t>LICENÇA FV P/UNID. DE PROC. GERAL</t>
  </si>
  <si>
    <t>LICENÇA FV P/UNIDADE DE IC</t>
  </si>
  <si>
    <t>LICENÇA FV P/UNIDADE DE CLOCK</t>
  </si>
  <si>
    <t>LICENÇA FV P/ITCH DE CAMADA 3</t>
  </si>
  <si>
    <t>LICENÇA FV P/UNID. DE PROC. CSP</t>
  </si>
  <si>
    <t>LICENÇA FV P/INTERFACE DE CELULAR</t>
  </si>
  <si>
    <t>LICENÇA FV P/ITCH KVM</t>
  </si>
  <si>
    <t>LICENÇA FV P/ITCH DO ATAE</t>
  </si>
  <si>
    <t>LICENÇA FV P/PLAT. DE COMP. INTEGRDA</t>
  </si>
  <si>
    <t>LICENÇA FV P/ATAE</t>
  </si>
  <si>
    <t>LICENÇA FV P/SERVIDOR</t>
  </si>
  <si>
    <t>LICENÇA FV P/UNIDADE DE FITA</t>
  </si>
  <si>
    <t>LICENÇA FV P/UNID. DE GERENC. DE SIST.</t>
  </si>
  <si>
    <t>LICENÇA FV P/PLACA DE CONV. DE ENERGIA</t>
  </si>
  <si>
    <t>LICENÇA FV P/INTERFACES DE ITCHES</t>
  </si>
  <si>
    <t>LICENÇA FV P/U2 DE CONFIG PADRAO 4GE</t>
  </si>
  <si>
    <t>LICENÇA FV P/UNID. DE SERVIDOR DE MIDIA</t>
  </si>
  <si>
    <t>LICENÇA FV P/UNID. DE PROC. DO IVR</t>
  </si>
  <si>
    <t>LICENÇA FV P/CEL. DE PROC. DE SERVIÇO</t>
  </si>
  <si>
    <t>LICENÇA FV P/INTERFACE DE CELULAR GE</t>
  </si>
  <si>
    <t>SERVIÇOS DE ANALISE DE DOCUMENTOS</t>
  </si>
  <si>
    <t>SERVIÇO DE SUPORTE TECNICO DE SOFTWARE</t>
  </si>
  <si>
    <t>SERV.INST.SWAP ULTRASITE C/DESCARTE SI</t>
  </si>
  <si>
    <t>LICENÇA DE SOFT. SYBASE MIDIA EE155W64</t>
  </si>
  <si>
    <t>SOFTW DE FUNCIONALIDADE OSS - MGW</t>
  </si>
  <si>
    <t>LICENÇA DE SOFTWARE OSS-MSC</t>
  </si>
  <si>
    <t>LICENÇA DE SOFTWARE  OSS-MGW</t>
  </si>
  <si>
    <t>SW.CHAVE ACESSO FEATURE E5-OAM INT MEAS</t>
  </si>
  <si>
    <t>SW.CHAVE ACESSO FEATURE AMGTT 1</t>
  </si>
  <si>
    <t>SW.CHAVE ACESSO FEATURE HIPR2 HIGH RATE</t>
  </si>
  <si>
    <t>SW.CHAVE ACESSO FEATURE LOADSHARE FLEX</t>
  </si>
  <si>
    <t>LICENÇA DE SW LG -RH</t>
  </si>
  <si>
    <t>SERV.ASSISTENCIA TECNICA-EQUIPAMENTOS TI</t>
  </si>
  <si>
    <t>LICENÇA TEMIP NUCLEO BAS. SECUND. 4 CPU</t>
  </si>
  <si>
    <t>LICENÇA TEMIP NUCLEO BAS. PRINC. 4 CPU</t>
  </si>
  <si>
    <t>LICENÇA TEMIP INTEGR.REMEDY ARS.SECUND</t>
  </si>
  <si>
    <t>LICENÇA TEMIP INTEGR. REMEDY ARS PRINC</t>
  </si>
  <si>
    <t>LICENÇA TEMIP EDITOR MAPAS 1 USUARIO</t>
  </si>
  <si>
    <t>LICENÇA TEMIP VISUAL. MAPAS 1 USUARIO</t>
  </si>
  <si>
    <t>LICENÇA TEMIP VISUAL. ALARMES 1 USUARIO</t>
  </si>
  <si>
    <t>LICENÇA TEMIP EXEC. GAT AM SERV. SECUND.</t>
  </si>
  <si>
    <t>LICENÇA TEMIP EXEC. GAT AM SERV. PRINC.</t>
  </si>
  <si>
    <t>LICENÇA TEMIP MOD. KIT DESENV. GAT AM</t>
  </si>
  <si>
    <t>LICENÇA TEMIP USO COL. ALARMES COMPLEXO</t>
  </si>
  <si>
    <t>LICENÇA TEMIP MAP. ALARMES SECUND.</t>
  </si>
  <si>
    <t>LICENÇA TEMIP MAP. ALARMES PRINC.</t>
  </si>
  <si>
    <t>LICENÇA TEMIP COLETOR DE ALARM.COMPLEXO</t>
  </si>
  <si>
    <t>LICENÇA TEMIP VISUAL. ALARM.WEB 25 USU</t>
  </si>
  <si>
    <t>LICENÇA TEMIP GER. SNMP 1K ELEM. SECUND</t>
  </si>
  <si>
    <t>LICENÇA TEMIP GER. SNMP 1K ELEM. PRINC.</t>
  </si>
  <si>
    <t>LICENÇA TEMIP MEDIA ELETR.SOL.GER.FALHAS</t>
  </si>
  <si>
    <t>LICENÇA TEMIP AGREG. RELAT. SERV. SECUND</t>
  </si>
  <si>
    <t>LICENÇA TEMIP AGREG. RELAT. SERV. PRINC</t>
  </si>
  <si>
    <t>LIC SWITCH 8/8 E 8/24 SAN 8PT</t>
  </si>
  <si>
    <t>SOFTWARE HP P6000 CV V10.0  SUITE</t>
  </si>
  <si>
    <t>SOFTWARE GRAVADO EM MÍDIA ÓPTICA CHAMADO</t>
  </si>
  <si>
    <t>LIC HP 3PAR SYSTEM REPORTER F200</t>
  </si>
  <si>
    <t>LICENÇA TEMIP DESENV. CORR. ALARMES</t>
  </si>
  <si>
    <t>LICENÇA TEMIP CORR. ALARMES SECUND.</t>
  </si>
  <si>
    <t>LICENÇA TEMIP CORR. ALARMES PRINC.</t>
  </si>
  <si>
    <t>SERV DE ENGENHARIA NA AVALIAÇAO IMOVEIS</t>
  </si>
  <si>
    <t>SERVIÇO DE ESTUDOS PRELIMINARES-COMPACTO</t>
  </si>
  <si>
    <t>LICENÇA DE SOFTWARE OSS-HLR</t>
  </si>
  <si>
    <t>LICENÇA DE SOFTWARE OSS-MGW</t>
  </si>
  <si>
    <t>LICENÇA DE SOFTWARE OSS-MCS</t>
  </si>
  <si>
    <t>LIC.MONITORAMENTO DE ATIVIDADES-SPECTRO</t>
  </si>
  <si>
    <t>SERV.PLAN. REDE PRE-OPTIMIZAÇAO SITE 2GE</t>
  </si>
  <si>
    <t>LICENÇA DE SOFTWARE ZEND GUARD</t>
  </si>
  <si>
    <t>LICENÇA DE SOFTWARE ZEND SERVER</t>
  </si>
  <si>
    <t>OPERAÇ.LOGISTICA-TERMINAL RODOVIARIO ENG</t>
  </si>
  <si>
    <t>SERV 20.03</t>
  </si>
  <si>
    <t>OPERAÇ.LOGISTICA-TERMINAL RODOVIARIO MKT</t>
  </si>
  <si>
    <t>PACOTE SW EXPANSAO POTENCIA 40-60 -RU</t>
  </si>
  <si>
    <t>PACOTE  SW EXP BANDA DUAL MACRO</t>
  </si>
  <si>
    <t>PACOTE SW EXP WATTS / PORTADORA MACRO</t>
  </si>
  <si>
    <t>PACOTE SW NODEB 6000M BD 3x4 512CE</t>
  </si>
  <si>
    <t>PACOTE SW NODEB 6000M BD 3x4 256CE</t>
  </si>
  <si>
    <t>PACOTE SW NODEB 6000M BD 3x4 128CE</t>
  </si>
  <si>
    <t>PACOTE SW NODEB 6000M BD 3x3 512CE</t>
  </si>
  <si>
    <t>PACOTE SW NODEB 6000M BD 3x3 256CE</t>
  </si>
  <si>
    <t>PACOTE SW NODEB 6000M BD 3x3 128CE</t>
  </si>
  <si>
    <t>PACOTE SW NODEB 6000M BD 3x2 512CE</t>
  </si>
  <si>
    <t>PACOTE SW NODEB 6000M BD 3x2 256CE</t>
  </si>
  <si>
    <t>PACOTE SW NODEB 6000M BD 3x2 128CE</t>
  </si>
  <si>
    <t>PACOTE SW NODEB 6000M BS 3x2 512CE</t>
  </si>
  <si>
    <t>PACOTE SW NODEB 6000M BS 3x2 256CE</t>
  </si>
  <si>
    <t>PACOTE SW NODEB 6000M BS 3x2 128CE</t>
  </si>
  <si>
    <t>PACOTE SW NODEB 6000M BS 3x1 512CE</t>
  </si>
  <si>
    <t>PACOTE SW NODEB 6000M BS 3x1 256CE</t>
  </si>
  <si>
    <t>PACOTE SW NODEB 6000M BS 3x1 128CE</t>
  </si>
  <si>
    <t>INSTAL./ADEQ. EM SISTEMA DE GERENCIA RD</t>
  </si>
  <si>
    <t>SERVIÇO-OPERAÇAO INTERMED. DE CAMBIO</t>
  </si>
  <si>
    <t>SERV 15.13</t>
  </si>
  <si>
    <t>SERVIÇO AGENTE FIDUCIARIO/DEPOSITARIO</t>
  </si>
  <si>
    <t>SERV 15.06</t>
  </si>
  <si>
    <t>LICENÇA SW-RELATORIO WEB-7100 SIM</t>
  </si>
  <si>
    <t>LICENÇA SW-PACOTE DE TESTE-7100 SIM</t>
  </si>
  <si>
    <t>LICENÇA SW-MONITORAMENTO FALHAS 7100SIM</t>
  </si>
  <si>
    <t>LICENÇA SW-APROVISIONAMENTO TDM7100 SIM</t>
  </si>
  <si>
    <t>LICENÇA SW-APROVISIONAMENTO OPT7100 SIM</t>
  </si>
  <si>
    <t>LICENÇA SW-APROVISIONAMENTO ETH7100 SIM</t>
  </si>
  <si>
    <t>LICENÇA SW-GERENCIA DESEMPENHO-7100 SIM</t>
  </si>
  <si>
    <t>LICENÇA SW-ADAPTADOR 7100-7100 SIM</t>
  </si>
  <si>
    <t>LICENÇA SW-ELEMENTO 7100 FP6.1 INIT.RTU</t>
  </si>
  <si>
    <t>LICENÇA SW-OTNM-D OTU-MUX SEM SPLITTER</t>
  </si>
  <si>
    <t>LICENÇA SW-PLACA OTNM-D OTU-MUX</t>
  </si>
  <si>
    <t>LICENÇA SW-PLACA TRANSPONDER 10G</t>
  </si>
  <si>
    <t>LICENÇA SW-PLC PROCESSADORA SIST. NANO</t>
  </si>
  <si>
    <t>LICENÇA SW-PLACA AMPLIFICADORA 88 CH ER</t>
  </si>
  <si>
    <t>LICENÇA SW-PLACA AMPLIFICADORA 88 CH LR</t>
  </si>
  <si>
    <t>SERV VISITA IMPRODUTIVA - POR VISITA</t>
  </si>
  <si>
    <t>SERV ADEQUAÇAO MSS PARA MIG DE MGW BSC</t>
  </si>
  <si>
    <t>SERV ADEQUAÇAO MSS PARA MIG DE MGW JM</t>
  </si>
  <si>
    <t>SERVIÇO-PESQUISA E INFORMAÇAO FINANCEIRA</t>
  </si>
  <si>
    <t>LICENÇA-CONTROLE CAPAC. DE DADOS F150</t>
  </si>
  <si>
    <t>LICENÇA-CONTROLE NAGEVAÇAO INTERNET SG7</t>
  </si>
  <si>
    <t>LICENÇA-CONTROLE DE CAPACIDADE SGSNSG7</t>
  </si>
  <si>
    <t>LICENÇA-GERENCIAMENTO NETACT/IEDGE</t>
  </si>
  <si>
    <t>LICENÇA-GERENCIAMENTO DE CONTROLE SD4500</t>
  </si>
  <si>
    <t>LICENÇA DE SW MSC SERVER BASE</t>
  </si>
  <si>
    <t>SERV INST EQUIP TELEC MGW C BASTIDOR</t>
  </si>
  <si>
    <t>SERV INST EQUIP TELEC MGW S BASTIDOR</t>
  </si>
  <si>
    <t>SERV INSTAL GAB 19 POL EM SIST TELECOM</t>
  </si>
  <si>
    <t>SERV. TEC. TELECOM P/ INTEGRAÇAO DE SBC</t>
  </si>
  <si>
    <t>SERV. TEC. TELECOM EM CONFIG IP DE SBC</t>
  </si>
  <si>
    <t>SERV. DE PROJ PLANEJAMENTO CONECTIP SBC</t>
  </si>
  <si>
    <t>SERV INST DE SW EM SBC</t>
  </si>
  <si>
    <t>SERV INST DE SW EM MSS U4 A U5</t>
  </si>
  <si>
    <t>SERV INST DE SW EM MSS V14 A V15</t>
  </si>
  <si>
    <t>SERV INST DE VERSAO ATUALIZADA DE SW</t>
  </si>
  <si>
    <t>SERV CONFIG. SW SUPORTE  CIRCUITO VIRTUA</t>
  </si>
  <si>
    <t>SERV CONFIG. SW INTERW SIP-BICC</t>
  </si>
  <si>
    <t>SERV CONFIG. SW IU-CS PARA MSS E MGW</t>
  </si>
  <si>
    <t>SERV INST E CONFIG CAB E1 AD 120BAL ROTA</t>
  </si>
  <si>
    <t>SERV INST E CONFIG CAB 1O E1 120BAL ROTA</t>
  </si>
  <si>
    <t>SERV INST E CONFIG CAB E1 AD 75 BAL ROTA</t>
  </si>
  <si>
    <t>SERV INST E CONFIG CAB 1O E1 75 BAL ROTA</t>
  </si>
  <si>
    <t>SERV. INSTAL. E CONFIG EQUIP TELEC. MGW</t>
  </si>
  <si>
    <t>SERV. INSTAL EQUIP TELEC. HP SERVER</t>
  </si>
  <si>
    <t>SERV. INSTAL EQUIP TELEC. SBC SD4500</t>
  </si>
  <si>
    <t>SERV. INSTAL. EQUIP TELEC. MSS</t>
  </si>
  <si>
    <t>SERV. INSTAL. EQUIP TELEC. MGW</t>
  </si>
  <si>
    <t>SERV. INSTAL DE SUBRACK EM SIST TELECOM</t>
  </si>
  <si>
    <t>SERV. INSTAL DE RACK DSX EM SIST TELECOM</t>
  </si>
  <si>
    <t>SERV. INSTAL.EQUIP TELEC. MGW</t>
  </si>
  <si>
    <t>TREINAMENTO EM ACME PACKET</t>
  </si>
  <si>
    <t>SERV DE PROJ E PLANEJAMENTO 20 ROTAS SIP</t>
  </si>
  <si>
    <t>SERV. DE PROJ E PLANEJAMENTO DE ONNET</t>
  </si>
  <si>
    <t>SERV. DE PROJ E PLAN ATIVAÇAO SW IUCS/IP</t>
  </si>
  <si>
    <t>SERV MIGR BSC E RNC E RECONF REDE CORE</t>
  </si>
  <si>
    <t>SERV. DE PROJ E PLANEJAMENTO DE MGW/MSS</t>
  </si>
  <si>
    <t>SERV. TEC. TELECOM EM OPERAÇAO DE SBC</t>
  </si>
  <si>
    <t>LIC. SYMANTEC-MONITORAMENTO DE INFORM.</t>
  </si>
  <si>
    <t>SERV. DE REMOÇAO DE CENTRAL TELEF MGW</t>
  </si>
  <si>
    <t>SERV ADEQUAÇAO MGW/MSS P/ MIG DE BSC MV</t>
  </si>
  <si>
    <t>SERV DESMOBILIZAÇAO DE EQUIPAMENTO MGW</t>
  </si>
  <si>
    <t>SERV ADEQUAÇAO MGW PARA MIG DE BSC MV</t>
  </si>
  <si>
    <t>SERV ADEQUAÇAO DE MSS PARA MIG DE MGW</t>
  </si>
  <si>
    <t>SERV ADEQUAÇAO MGW PARA MIG DE BSC/RNC</t>
  </si>
  <si>
    <t>SERV ADEQUAÇAO EQUIPAMENTO P/ NOVA MGW</t>
  </si>
  <si>
    <t>OPERAÇAO LOGISTICA-TERMINAL RODOVIARIO</t>
  </si>
  <si>
    <t>LIC. SOFTWARE ORACLE ULA MIDDLEWARE</t>
  </si>
  <si>
    <t>CONFECÇAO FORM.GRAFICOS P/LICENCIAMENTO</t>
  </si>
  <si>
    <t>TEC.TELEC.P/HABIL LINKS DE TRANS N-B/BTS</t>
  </si>
  <si>
    <t>SERV INSTAL P RACK EM CALHA FO EXISTENTE</t>
  </si>
  <si>
    <t>SERV INSTAL CALHA FO(FIBERRUNNING)12X4</t>
  </si>
  <si>
    <t>SERV INSTAL CALHA FO(FIBER RUNNING)4X2</t>
  </si>
  <si>
    <t>SERV INSTAL CALHA FO(FIBER RUNNING)4X4</t>
  </si>
  <si>
    <t>SERV.INSTAL.CALHAFO(FIBERRUN)4X4 REMOV</t>
  </si>
  <si>
    <t>SERV.INSTAL.CALHAFO(FIBERRUN)4X2 REMOV</t>
  </si>
  <si>
    <t>SERV.INSTAL.CALHAFO(FIBERRUN)12X4 REMOV</t>
  </si>
  <si>
    <t>SERV INSTAL CABOTRUNKCOG SIST TEL-48/100</t>
  </si>
  <si>
    <t>SERV INSTAL CABOTRUNKCOG SIST TEL-24/100</t>
  </si>
  <si>
    <t>SERV INSTAL CABOTRUNKCOG SIST TEL-12/100</t>
  </si>
  <si>
    <t>SERV INSTAL CABOTRUNKCOG SIST TEL-48/50</t>
  </si>
  <si>
    <t>SERV INSTAL CABOTRUNKCOG SIST TEL-24/50</t>
  </si>
  <si>
    <t>SERV INSTAL CABOTRUNKCOG SIST TEL-12/50</t>
  </si>
  <si>
    <t>SERV INSTAL CABOTRUNKLS SIST TEL-48/100</t>
  </si>
  <si>
    <t>SERV INSTAL CABOTRUNKLS SIST TEL-24/100</t>
  </si>
  <si>
    <t>SERV INSTAL CABOTRUNKLS SIST TEL-12/100</t>
  </si>
  <si>
    <t>SERV INSTAL CABOTRUNKLS SIST TELEC-48/70</t>
  </si>
  <si>
    <t>SERV INSTAL CABOTRUNKLS SIST TELEC-24/70</t>
  </si>
  <si>
    <t>SERV INSTAL CABOTRUNKLS SIST TELEC-12/70</t>
  </si>
  <si>
    <t>SERV INSTAL CABOTRUNKLS SIST TELEC-48/50</t>
  </si>
  <si>
    <t>SERV INSTAL CABOTRUNKLS SIST TELEC-24/50</t>
  </si>
  <si>
    <t>SERV INSTAL CABOTRUNKLS SIST TELEC-12/50</t>
  </si>
  <si>
    <t>SERV INSTAL CABOTRUNKLS SIST TELEC-48/40</t>
  </si>
  <si>
    <t>SERV INSTAL CABOTRUNKLS SIST TELEC-24/40</t>
  </si>
  <si>
    <t>SERV INSTAL CABOTRUNKLS SIST TELEC-12/40</t>
  </si>
  <si>
    <t>SERV INSTAL CABOTRUNKLS SIST TELEC-48/30</t>
  </si>
  <si>
    <t>SERV INSTAL CABOTRUNKLS SIST TELEC-24/30</t>
  </si>
  <si>
    <t>SERV INSTAL CABOTRUNKLS SIST TELEC-12/30</t>
  </si>
  <si>
    <t>SERV INSTAL CABOTRUNKLS SIST TELEC-48/20</t>
  </si>
  <si>
    <t>SERV INSTAL CABOTRUNKLS SIST TELEC-24/20</t>
  </si>
  <si>
    <t>SERV INSTAL CABOTRUNKLS SIST TELEC-12/20</t>
  </si>
  <si>
    <t>SERV INSTAL CABOTRUNKLS SIST TELEC-48/10</t>
  </si>
  <si>
    <t>SERV INSTAL CABOTRUNKLS SIST TELEC-24/10</t>
  </si>
  <si>
    <t>SERV INSTAL CABOTRUNKLS SIST TELEC-12/10</t>
  </si>
  <si>
    <t>LICENÇA SOFTWARE TELALBS NMS-8100-SC</t>
  </si>
  <si>
    <t>CONSULTORIA-PROC.DE DIGITALIZAÇAO DOCS.</t>
  </si>
  <si>
    <t>SERVIÇO DE AGENCIAMENTO DE TRANSPORTE</t>
  </si>
  <si>
    <t>ANALISE/DESENV SIST LIVE PLAN INTERFACES</t>
  </si>
  <si>
    <t>ANALISE E DESENV. SIST. LIVE PLAN ENGINE</t>
  </si>
  <si>
    <t>ANALISE E DESENVOLVIMENTO SISTEMA EWS</t>
  </si>
  <si>
    <t>ANALISE E DESENVOLVIMENTO SISTEMA WED</t>
  </si>
  <si>
    <t>ANALISE/DESENV SIST ARRAYWIZARD GMS-UMTS</t>
  </si>
  <si>
    <t>ANALISE E DESENVOLVIMENTO SISTEMA MYRIAD</t>
  </si>
  <si>
    <t>ANALISE/DESENV. SIST ASSET GSM UMTS-LTE</t>
  </si>
  <si>
    <t>SUPORTE EM INFORMÁTICA ON-SITE TIPO MAST</t>
  </si>
  <si>
    <t>SUPORTE EM INFORMATICA ON-SITE TIPO SR</t>
  </si>
  <si>
    <t>SERVIÇO-ASSISTENCIA TECNICA AO CLIENTE</t>
  </si>
  <si>
    <t>INSTALAÇAO GRADIL BTS DISTRIBUIDAS</t>
  </si>
  <si>
    <t>INSTALAÇAO GRADIL GABINETE-FCOA/APM100</t>
  </si>
  <si>
    <t>INST GRADIL-PROTEÇAO MINISHELTER</t>
  </si>
  <si>
    <t>INSTALAÇAO GRADIL BTS - BATERIAS</t>
  </si>
  <si>
    <t>INSTALAÇAO GRADIL MOD BTS INTEIRA</t>
  </si>
  <si>
    <t>INSTALAÇAO GRADIL GUILHOTINA ATE 5 GAB</t>
  </si>
  <si>
    <t>ADEQUAÇAO GRADIL SIMPLES 3P/5 E/OU 4P/5</t>
  </si>
  <si>
    <t>INSTALAÇAO  GRADIL SIMPLES ATE  5 GAB.</t>
  </si>
  <si>
    <t>LICENÇA DE SW LINUX ENTERPRISE-SLES SUSE</t>
  </si>
  <si>
    <t>FISCALIZAÇAO E ACOMPANHAMENTO DE OBRAS-N</t>
  </si>
  <si>
    <t>SERV. ELABORAÇAO DE PROJETOS DE ENGEN.-N</t>
  </si>
  <si>
    <t>SERV.IMPLANTAÇAO DO PROJ.REDE TELECOM-N</t>
  </si>
  <si>
    <t>LICENÇA DE SW ARIESOGEO USUARIO</t>
  </si>
  <si>
    <t>LICENÇA DE SW ARIESOGEO PERPETUAL RNC</t>
  </si>
  <si>
    <t>SERVIÇO-INSTALAÇAO SW ARIESOGEO</t>
  </si>
  <si>
    <t>LICENCAS DE SOFTWARE ECOZONE</t>
  </si>
  <si>
    <t>SW PROCESS SINALIZACAO BROAD BAND</t>
  </si>
  <si>
    <t>SW MODULO GERENC ZXIN10</t>
  </si>
  <si>
    <t>SW MODULO GERENC LCS</t>
  </si>
  <si>
    <t>SERVIÇO DE PAISAGISMO</t>
  </si>
  <si>
    <t>SW DE SERVIDOR DE INTERFACES-ZTESVIF</t>
  </si>
  <si>
    <t>SW DE CONFIGURACAO E GERENCIA-ZTECMSW</t>
  </si>
  <si>
    <t>SOFTWARE DE SUPORTE DO SISTEMA-ZTESSW</t>
  </si>
  <si>
    <t>SOFTWARE DE INTERFACE SMS-ZTESMSIF</t>
  </si>
  <si>
    <t>SOFTWARE INTERFACE NOTIFIC SMS-ZTENSMSIF</t>
  </si>
  <si>
    <t>SOFTWARE INTERFACE GEREN SMS-ZTEOSMSIF</t>
  </si>
  <si>
    <t>SOFTWARE INTERFACE PREPAGO IN-ZTEINIF</t>
  </si>
  <si>
    <t>SOFTWARE DE INTERFACE - ZTEIFW</t>
  </si>
  <si>
    <t>SOFTWARE DE CLUSTER NEWSTART HA</t>
  </si>
  <si>
    <t>SW LICENCAS SMLC TA</t>
  </si>
  <si>
    <t>SW INTEGRACAO SYSLOG COM GER ALARMES</t>
  </si>
  <si>
    <t>SW INTEGRACAO CORBA COM GER ALARMES</t>
  </si>
  <si>
    <t>SW INTEGRACAO ASCII COM EMERGENCIA</t>
  </si>
  <si>
    <t>SW GER CLIENTE NETNUMEN N31</t>
  </si>
  <si>
    <t>SW DECDESENV INTERFACE INTEG LBS CLARO</t>
  </si>
  <si>
    <t>SW DE SUPORTE MULTI-IDIOMA SERVICO GUI</t>
  </si>
  <si>
    <t>SW DE SERVICO PARA SERVIDOR WEB</t>
  </si>
  <si>
    <t>SW DE SERVICO PARA INTERFACE BOSS</t>
  </si>
  <si>
    <t>SW DE PROCESSAMENTO SINALIZACAO SIGTRAN</t>
  </si>
  <si>
    <t>SW DE PROCESSAMENTO NARROW BAND</t>
  </si>
  <si>
    <t>SW DE PROCESSAMENTO DE SINALIZACAO SS7</t>
  </si>
  <si>
    <t>SW DE LOCALIZACAO WCDMA CELLID</t>
  </si>
  <si>
    <t>SW DE LOCALIZACAO TA</t>
  </si>
  <si>
    <t>SW DE LOCALIZACAO GSM CELLID</t>
  </si>
  <si>
    <t>SW DE GERENCIAMENTO NGIN</t>
  </si>
  <si>
    <t>SW DE CONTROLE NGIN</t>
  </si>
  <si>
    <t>SW DE COMUNICACAO VIA INTERFACE BOSS</t>
  </si>
  <si>
    <t>SW DA PILHA DE PROTOCOLO TCP/IP</t>
  </si>
  <si>
    <t>SW DA PILHA DE PROTOCOLO SS7</t>
  </si>
  <si>
    <t>SW BASICO DE SERVICO M100</t>
  </si>
  <si>
    <t>SOFTWARE SMAP</t>
  </si>
  <si>
    <t>SOFTWARE SERVICO OAM</t>
  </si>
  <si>
    <t>SOFTWARE PARA OAM</t>
  </si>
  <si>
    <t>SOFTWARE OMM</t>
  </si>
  <si>
    <t>SOFTWARE DE SERVIDOR DE CDR</t>
  </si>
  <si>
    <t>SOFTWARE DE PROTOCOLO WIN</t>
  </si>
  <si>
    <t>SOFTWARE DE PROTOCOLO MAP</t>
  </si>
  <si>
    <t>SOFTWARE DE PROTOCOLO CAMEL2</t>
  </si>
  <si>
    <t>SOFTWARE DE PROCESSAMENTO 64K NO.7</t>
  </si>
  <si>
    <t>SOFTWARE DE MONITORAMENTO ATCA</t>
  </si>
  <si>
    <t>SOFTWARE DE INTERFACE MMS</t>
  </si>
  <si>
    <t>SOFTWARE DE BANCO DE DADOS-SYBASE STAN</t>
  </si>
  <si>
    <t>SOFTWARE DE BANCO DE DADOS-SYBASE LIC</t>
  </si>
  <si>
    <t>SOFTWARE DE BANCO DE DADOS-ORACLE</t>
  </si>
  <si>
    <t>SOFTWARE BASICO PARA MS100</t>
  </si>
  <si>
    <t>SOFTWARE BASICO ECOZONE</t>
  </si>
  <si>
    <t>SISTEMA OPERACIONAL  - WINDOWS SERVER</t>
  </si>
  <si>
    <t>PACOTE DE SOFTWARE BASICO ATCA</t>
  </si>
  <si>
    <t>LICENCAS DO SISTEMA DE GERENCIA 25K-50K</t>
  </si>
  <si>
    <t>SOFTWARE DO SISTEMA SIU - ZTESIU BASE</t>
  </si>
  <si>
    <t>SOFTWARE ADMINISTRACAO DO SIU-ZTESIUOAM</t>
  </si>
  <si>
    <t>SOFTWARE-PACOTE O&amp;M-ZTELBSOAM</t>
  </si>
  <si>
    <t>PACOTE DE SOFTWARE BASICO ZTELBS BASE</t>
  </si>
  <si>
    <t>SW ANTIVIRUS TRENDMICRO WORRY-FREE</t>
  </si>
  <si>
    <t>SERV PROJETO ENG PLATAFORMA DE MIDLEWARE</t>
  </si>
  <si>
    <t>SERV. PROJETO LOGICO P/ REDE ACESSO WIFI</t>
  </si>
  <si>
    <t>SERV. TEC. EM TELEC. INTEGRAÇAO UCS C460</t>
  </si>
  <si>
    <t>SERV TEC. TELEC. INTEGRAÇAO LMA ASR 5000</t>
  </si>
  <si>
    <t>SERV TEC TELEC P/INTEGRAÇAO MAG ASR 1006</t>
  </si>
  <si>
    <t>SERV INSTAL EQP SIST TELEC EXP INTERFACE</t>
  </si>
  <si>
    <t>SERV. SUPORTE TEC. INFORM. P/PROD.IVRCS5</t>
  </si>
  <si>
    <t>PROGRA/COMUNICAÇAO VISUAL DE IMAGENS</t>
  </si>
  <si>
    <t>SERVIÇO DE CONSULTORIA PLATAFORMA</t>
  </si>
  <si>
    <t>SERV. TEC EM TELEC OPER ASSISTIDA 1A</t>
  </si>
  <si>
    <t>SERV. TEC. TELEC COMISS PLAT HZ AMB PROD</t>
  </si>
  <si>
    <t>SERV. TEC. TELEC COMISS PLAT. LBS AM LAB</t>
  </si>
  <si>
    <t>SERV. TEC. TELEC COMISS PLAT LBS AM PROD</t>
  </si>
  <si>
    <t>SOFTWARE 8100 SERVICE COMPUTER</t>
  </si>
  <si>
    <t>LICENÇA SW ENTERPRISE AGREEMENT MICROSOF</t>
  </si>
  <si>
    <t>SERVIÇO DE CONFECÇAO DE PLACA-TROFEU</t>
  </si>
  <si>
    <t>SERV. PLANEJAM. P/OTIMIZAÇÃO REDE 850</t>
  </si>
  <si>
    <t>SERVIÇO ADEQ.INFRA SITE 2G RE-USO RT</t>
  </si>
  <si>
    <t>SERVIÇO ADEQ.INFRA SITE 2G RE-USO GF</t>
  </si>
  <si>
    <t>SERV.PLANEJ.REDE/DOCUMENTAÇAO E ROLLOUT</t>
  </si>
  <si>
    <t>LICENÇA DE SOFTWARE ACTIXONE - MAPS</t>
  </si>
  <si>
    <t>LICENÇA DE SOFTWARE - ACTIXONE</t>
  </si>
  <si>
    <t>SERV. INSTALAÇAO/MIGRAÇAO DE SOFTWARE</t>
  </si>
  <si>
    <t>SERV. DE MANUTENÇÃO DE EQUIPAMENTO</t>
  </si>
  <si>
    <t>LICENÇA ORACLE PARTITIONING POR PROCESSA</t>
  </si>
  <si>
    <t>LICENÇA ORACLE PARTITIONING USUARIO PLUS</t>
  </si>
  <si>
    <t>SERV DE ENGEN. REMODULAÇÃO NODE B NA RNC</t>
  </si>
  <si>
    <t>PLANEJ/ORGAN.DE FEIRAS P/EXPO PROD.CLARO</t>
  </si>
  <si>
    <t>IMPRESSAO ARTES GRAFICAS(TREINAMENTO)</t>
  </si>
  <si>
    <t>SERV. DE LICENÇA DE SOFTWARE WEB CLIQ</t>
  </si>
  <si>
    <t>SERV.INSTALAÇAO/SUP SOFT COMPONENTS CLIQ</t>
  </si>
  <si>
    <t>SERVIÇO TREINAMENTO P/ USO WEB CLIQ</t>
  </si>
  <si>
    <t>SERVIÇO DE CHAVEIRO</t>
  </si>
  <si>
    <t>SERV.ENGEN.TESTE REDE 2G/3G DADOS/VOZ</t>
  </si>
  <si>
    <t>CONFECÇÃO REVESTIMENTO DE FACHADA P/AA</t>
  </si>
  <si>
    <t>SERVIÇO DE DESMONTAGEM DE QUIOSQUE</t>
  </si>
  <si>
    <t>SERVIÇO DE MONTAGEM DE QUIOSQUE</t>
  </si>
  <si>
    <t>SERVIÇO DE DESEMBARAÇO ADUANEIRO</t>
  </si>
  <si>
    <t>ELABORAÇAO DE PROGRAMA MARKET DATA WEB</t>
  </si>
  <si>
    <t>PROGRAMAÇAO CONVER PAG.DE HTML P/ PDF</t>
  </si>
  <si>
    <t>PROGRAMAÇAO LINUX REDHAT/DEBIAN/ORACLE</t>
  </si>
  <si>
    <t>LICENÇA SOFT FUNC SINCRON CLIEN NTP S/IP</t>
  </si>
  <si>
    <t>SERV INSTAL SWITCH-NWIE&amp;PLACA-PGW EM BSC</t>
  </si>
  <si>
    <t>SERV INSTAL PLACA-PGW EM BSC SIST TELEC</t>
  </si>
  <si>
    <t>SERV INSTAL SWITCH-SIU EM BTS SIST TELEC</t>
  </si>
  <si>
    <t>SERV PROJETO ENGENHARIA NWIE&amp;PGW P/BSC</t>
  </si>
  <si>
    <t>SERV PROJETO ENGENHARIA SWITCH-SIU P/BTS</t>
  </si>
  <si>
    <t>SERV PROJETO ENGENHARIA PLACA-PGW P/BSC</t>
  </si>
  <si>
    <t>LICENÇA QLIKVIEW DOCUMENT CAL</t>
  </si>
  <si>
    <t>LICENÇA QLIKVIEW NAMED USER CAL</t>
  </si>
  <si>
    <t>LICENÇA QLIKVIEW SMALL BUSINESS EDITION</t>
  </si>
  <si>
    <t>SOFTWARE ORACLE EXALOGIC CLOUD</t>
  </si>
  <si>
    <t>SERV.TEC.TELEC.ATIVAÇAO DE CAPAC.100MBPS</t>
  </si>
  <si>
    <t>SERV.TEC.TELEC.-ATIVAÇAO DE CAPAC 50MBPS</t>
  </si>
  <si>
    <t>SERV.AGENCIAMENTO DE PROGRAMA DE TURISMO</t>
  </si>
  <si>
    <t>MAO DE OBRA TERCEIRIZADA/TEMPORARIA-LPZ</t>
  </si>
  <si>
    <t>MAO DE OBRA TERCEIRIZADA/TEMPORARIA-RECP</t>
  </si>
  <si>
    <t>SERV CONSULTORIA P/PLATAFORMA USSD-MSE4M</t>
  </si>
  <si>
    <t>SERV INSTAL/COM PLATAF.USSD-NV INTER.MSE</t>
  </si>
  <si>
    <t>SERV. DE ENTREGA/REMESSA DE OBJETOS-MKT</t>
  </si>
  <si>
    <t>SERV. DE ENTREGA/REMESSA DE OBJETOS-ENG.</t>
  </si>
  <si>
    <t>SERV DE ENTREGA/REMESSA OBJETOS-HANDSETS</t>
  </si>
  <si>
    <t>SERV.ISOLAÇAO/TROCA-CABOS CORREÇAO VSWR</t>
  </si>
  <si>
    <t>SERV DE CONSTR/ADEQ._REUSO_RT_COMPAR LTE</t>
  </si>
  <si>
    <t>SERV DE CONSTR/ADEQ._REUSO_GF_COMPAR LTE</t>
  </si>
  <si>
    <t>SERV DE CONSTR/ADEQ REUSO_RT_LTE</t>
  </si>
  <si>
    <t>SERV DE CONSTR/ADEQ_REUSO_GF_LTE</t>
  </si>
  <si>
    <t>LICENÇA SW SWITCH X460 SUMMIT OSS LTE</t>
  </si>
  <si>
    <t>LICENÇA DE SW OSS LTE RAN P/ ENODEB</t>
  </si>
  <si>
    <t>SERV. PLANEJAMENTO DE REDE P/ NOVA BSC</t>
  </si>
  <si>
    <t>LICENÇA DE SOFTWARE COL-UP-TRAFSLA5</t>
  </si>
  <si>
    <t>LICENÇA DE SOFT. COL-TRAFSLA5-D750-F1440</t>
  </si>
  <si>
    <t>LICENÇA DE SOFTWARE TRAFSLA5</t>
  </si>
  <si>
    <t>SERV. DE INSTALAÇAO TECNICA -PLACA 1G</t>
  </si>
  <si>
    <t>LICENÇA DE SOFTWARE LTU VERITAS CLUSTER</t>
  </si>
  <si>
    <t>LICENÇA SOFTWARE LTU ORACLE 10G REL 2-ED</t>
  </si>
  <si>
    <t>LICENÇA SOFTWARE LTU TRANSCODING SERVER</t>
  </si>
  <si>
    <t>SERV CONSULTORIA EM SISTEMA ON SITE MMS</t>
  </si>
  <si>
    <t>SERV. CONFIG/OTIMIZAÇAO DE SOFTWARE MSS</t>
  </si>
  <si>
    <t>SERV. MIGRAÇAO DA BASE DE DADOS P/NETAPP</t>
  </si>
  <si>
    <t>SERVIÇO DE ADESIVAGEM DE VEICULOS</t>
  </si>
  <si>
    <t>LICENÇA DE SOFTWATE OPNET NET DOCTOR</t>
  </si>
  <si>
    <t>LICENÇA DE USO DE SOFTWARE GP/EMA 6.3</t>
  </si>
  <si>
    <t>SERV. ELABORAÇAO LAUDO ESTRUTUTAL-ADM</t>
  </si>
  <si>
    <t>SERV.TEC.EM TELEC.ROTEADOR SUB7750SARF</t>
  </si>
  <si>
    <t>SERV.TEC.EM TELEC.ROTEADOR SUB7705SAR8</t>
  </si>
  <si>
    <t>SERV.TEC.EM TELEC.ROTEADOR SUB7750SR</t>
  </si>
  <si>
    <t>SERV. DE CONFECÇAO DE BANNERS E ADESIVOS</t>
  </si>
  <si>
    <t>SERVIÇOS DE CONFECÇAO GRAFICA PARA MIDIA</t>
  </si>
  <si>
    <t>SERVIÇO DE TREINAMENTO_HSS_CUDB_PG</t>
  </si>
  <si>
    <t>SERV DE FISCALIZAÇ/GER PROJ_HSS_CUDB_PG</t>
  </si>
  <si>
    <t>SERV TEC TELEC  PLAN ENG_HSS_CUDB_PG</t>
  </si>
  <si>
    <t>SERV TEC EM OPERAÇAO ASSIST._HSS_CUDB_PG</t>
  </si>
  <si>
    <t>LICENÇA SW  CONN EXT WIN REMOTE DESK</t>
  </si>
  <si>
    <t>LICENÇA SW. CONN EXT WINDOWS SERVER</t>
  </si>
  <si>
    <t>LICENÇA USO SOFTWARE SQL SERVER 1 PROC</t>
  </si>
  <si>
    <t>LICENÇA DE USO SYSTEM CENTER OPERATION</t>
  </si>
  <si>
    <t>LICENÇA DE USO PROJECT PROFESSIONAL</t>
  </si>
  <si>
    <t>LICENÇA DE USO DE SOFTWARE CORECAL</t>
  </si>
  <si>
    <t>LICENÇA DE USO SW  OFFICE E CORECAL</t>
  </si>
  <si>
    <t>SERV.LICENCIAMENTO AMBIENTAL SIMPLIF.</t>
  </si>
  <si>
    <t>LIC.SOFTWARE P/UPG NOVELL ACC MAN.</t>
  </si>
  <si>
    <t>LIC.SOFTWARE P/UPG NOVELL JDBC DRVR</t>
  </si>
  <si>
    <t>CONFIGURAÇAO INTER XML AUTOR-MMS DECODIF</t>
  </si>
  <si>
    <t>CONFIGURAÇAO/INTEGRAÇÃO SW PIM FASE 2</t>
  </si>
  <si>
    <t>CONFIGURAÇAO MELHORIAS MODULO VIGIA IP</t>
  </si>
  <si>
    <t>CONFIGUR/INTEGRAÇAO DO SW AO SISTEMA CDI</t>
  </si>
  <si>
    <t>LICENCIAMENTO INTEGRAÇAO SW AO LIS 12A</t>
  </si>
  <si>
    <t>LICENCIAMENTO EXPANSAO PIM FASE2</t>
  </si>
  <si>
    <t>LICENCIAMENTO INTEGRAÇAO SW SISTEMA CDI</t>
  </si>
  <si>
    <t>CONFIGURAÇ/INTEG SIST MOD VIGIA TRACKING</t>
  </si>
  <si>
    <t>CONFIGURAÇAO/INTEG SIST. GGSNs AO VIGIA</t>
  </si>
  <si>
    <t>LICENÇA SW RBT-TESTES BASEADOS EM RISCOS</t>
  </si>
  <si>
    <t>LICENÇA DE USO DE SOFTWARE HSS12</t>
  </si>
  <si>
    <t>LICENÇA DE USO DE SOFTWARE CUDB</t>
  </si>
  <si>
    <t>SERVIÇO DE TREINAMENTO IPT NMS</t>
  </si>
  <si>
    <t>SERVIÇO DE TREINAMENTO SOEM</t>
  </si>
  <si>
    <t>SERV. CONSULTORIA INFORM/PLANEJ ENG OSS</t>
  </si>
  <si>
    <t>SERV INSTAL/INT/COMIS EQUIP HW_ML PLATAF</t>
  </si>
  <si>
    <t>SERV FISCALIZ/GERENCIAM. OBRA PROJ-INTEG</t>
  </si>
  <si>
    <t>SERV FISCALIZ/GERENCIAMENTO OB PROJ-OPTO</t>
  </si>
  <si>
    <t>SERV FISCALIZ/GERENCIAMENTO OBRA PROJ-ML</t>
  </si>
  <si>
    <t>SERV INSTAL/INT/COM EQUIP SERVID. PLATAF</t>
  </si>
  <si>
    <t>LIC.SOFTWARE P/UPG NOVELL IDENT.MAN.4STD</t>
  </si>
  <si>
    <t>SERV. PARA TREINAMENTO INSCRIÇOES</t>
  </si>
  <si>
    <t>SERVIÇOS DE ESCOLAS DE IDIOMAS</t>
  </si>
  <si>
    <t>SERVIÇOS DE TREINAMENTO RH-INSTRUTOR</t>
  </si>
  <si>
    <t>SERV. TRANSPORTE LOCAL PARA TREINAMENTO</t>
  </si>
  <si>
    <t>SERV. DE CONSULTORIA PARA TREINAMENTOS</t>
  </si>
  <si>
    <t>SERV. APRESENTAÇOES DE SEMINARIOS-TREIN.</t>
  </si>
  <si>
    <t>SERV APRESENTAÇAO DE CONFERENCIAS -TREIN</t>
  </si>
  <si>
    <t>SERV DE APRESENTAÇOES DE PALESTRAS TREIN</t>
  </si>
  <si>
    <t>SERV. DE ENCADERNAÇOES PARA TREINAMENTO</t>
  </si>
  <si>
    <t>SERV DE INSTAL. INTEG E COM_HSS_CUDB_PG</t>
  </si>
  <si>
    <t>SERV PROJ. PLANEJAMENTO ENGE_HSS_CUDB_PG</t>
  </si>
  <si>
    <t>SERV. CONSULTORIA TECNICA TELECOM ENODEB</t>
  </si>
  <si>
    <t>SERV. CONSULTORIA LTE ACESSO</t>
  </si>
  <si>
    <t>LICENÇA DE SOFTWARE IPN - SCL</t>
  </si>
  <si>
    <t>LICENÇA DE SOFTWARE PROBE MAP LINK</t>
  </si>
  <si>
    <t>LICENÇA DE SOFTWARE WSMS</t>
  </si>
  <si>
    <t>CERTIFICADO DE LIC. USO SOFTWARE-TE200B</t>
  </si>
  <si>
    <t>CERTIFICADO DE LIC. USO SOFTWARE-TE168B</t>
  </si>
  <si>
    <t>SERV INSTAL/INT/COM EQUIP PLATAF. BACKUP</t>
  </si>
  <si>
    <t>SERV DE MANUT/SUPORTE EQUIP 24X7 HW SOEM</t>
  </si>
  <si>
    <t>SERV SUPORTE TEC.EM INFORM SOFTWARE SOEM</t>
  </si>
  <si>
    <t>SERV SUPORTE TEC.EM INFORM. SOFTWARE_BCK</t>
  </si>
  <si>
    <t>SERV INSTAL/INT/COM EQP SERV.PLATAF.OPTO</t>
  </si>
  <si>
    <t>SERV. INSTAL/INTEGRAÇÃO DE SOFTWARE SOEM</t>
  </si>
  <si>
    <t>SERV. INSTAL/INT/COMISS EQP PLATAF. OPTO</t>
  </si>
  <si>
    <t>SERV. DE SUPORTE EM INFORMAT 24X7 SW_OSS</t>
  </si>
  <si>
    <t>SERV. DE MANUT/SUPORTE EQUIP 24X7 HW+OSS</t>
  </si>
  <si>
    <t>LICENÇA DE SW EXTREME XOS SUMMIT X460</t>
  </si>
  <si>
    <t>ANALISE TECNICA-AVALIAÇAO PONT.COMERC.AA</t>
  </si>
  <si>
    <t>SERV DE CONFIG.INTEG.SOFTWARE DATA POWER</t>
  </si>
  <si>
    <t>SERV. DE CONFIGURAÇAO/INEG. SOFTW DMVIEW</t>
  </si>
  <si>
    <t>SERV. INSTALAÇAO DE EQUIPAM. DATA PWXI52</t>
  </si>
  <si>
    <t>SERV DE CONFIGURAÇAO/INEGRAÇAO SOFTW ANA</t>
  </si>
  <si>
    <t>SERV. INSTALAÇAO DE EQUIPAM. SWITCH 4948</t>
  </si>
  <si>
    <t>LICENÇA DE SOFTWARE OPM</t>
  </si>
  <si>
    <t>DEDETIZAÇAO/DESINFEC/DESINSETIZAÇAO SITE</t>
  </si>
  <si>
    <t>LICENÇA DE SOFTWARE SOEM UPD</t>
  </si>
  <si>
    <t>LICENÇA DE SOFTWARE SOEM UPG</t>
  </si>
  <si>
    <t>LICENÇA SW-INTERFACE PLATAFORMA SOEM IPT</t>
  </si>
  <si>
    <t>LICENÇA SW CAPAC. PLATAFORMA SOEM CAP</t>
  </si>
  <si>
    <t>LICENÇA SW-GERENCIA REDE OPTICA SOEM GO</t>
  </si>
  <si>
    <t>LICENÇA DE SOFTWARE CESOPSN</t>
  </si>
  <si>
    <t>LICENÇA DE SOFTWARE CONECTIVIDADA L3</t>
  </si>
  <si>
    <t>LICENÇA SOFTWARE PACKET MEDIDAS DESEMP.</t>
  </si>
  <si>
    <t>LICENÇA DE SOFTWARE PACKET ABIS NETACT</t>
  </si>
  <si>
    <t>LICENÇA DE SOFTWARE PACKET ABIS TDM</t>
  </si>
  <si>
    <t>LICENÇA DE SOFTWARE TOP IEEE 1588-2008</t>
  </si>
  <si>
    <t>LICENÇA DE SOFTWARE PRECISE PAGING</t>
  </si>
  <si>
    <t>LICENÇA DE SOFTWARE PACKET ABIS ETHERNET</t>
  </si>
  <si>
    <t>SERV INSTAL SITE ABIS C/CESONPSN 120OHMS</t>
  </si>
  <si>
    <t>SERV INST.ATIV.SITE ABIS C/ESOPSN 75OHMS</t>
  </si>
  <si>
    <t>SERV INSTAL SITE P.ABIS/ETH C/TR PLAX TX</t>
  </si>
  <si>
    <t>SERV INSTAL SITE P.ABIS/ETH S/TR PLAX TX</t>
  </si>
  <si>
    <t>SERV PROJ. PLANEJ PABIS/ETH CESOPSAN/SIT</t>
  </si>
  <si>
    <t>CONF.PLANEJ.ATUALIZ. PAGINAS ELETRONICAS</t>
  </si>
  <si>
    <t>LICENÇA DE SW eNodeB 6601 BS 1x1 RRUS</t>
  </si>
  <si>
    <t>LICENÇA DE SW eNodeB 6301 BS 3x1 RRUS</t>
  </si>
  <si>
    <t>LICENÇA DE SW eNodeB 6601 BS 3x1 RRUS</t>
  </si>
  <si>
    <t>LICENÇA DE SW ENODEB 6000 P/ ACTIVE USER</t>
  </si>
  <si>
    <t>SERV. DE CONSULTORIA ENODEB SUP. OPERAC.</t>
  </si>
  <si>
    <t>SERV. DE CONSULTORIA EM ENGENHARIA</t>
  </si>
  <si>
    <t>SERV. DE GERENCIAMENTO DE PROJETO ENGENH</t>
  </si>
  <si>
    <t>SERV INSTAL S. TELEC. COMISSION ENB MCEL</t>
  </si>
  <si>
    <t>SERV INSTAL SIST TELEC. COMISSIONAM. ENB</t>
  </si>
  <si>
    <t>SERV. TREINAMENTO LTE ACESSO (INSTR/DIA)</t>
  </si>
  <si>
    <t>SERV. DE PROJETO ENGENH. DRIVE TEST</t>
  </si>
  <si>
    <t>SERV. DE PROJETO ENGENHARIA AFERIÇAO</t>
  </si>
  <si>
    <t>SERV DE PROJ. ENGEN. DE RF ENODEB INIC</t>
  </si>
  <si>
    <t>SERVIÇO DE FISCALIZ/VISTORIA ENODEB</t>
  </si>
  <si>
    <t>SERV IMPLEMENT REFILIAÇAO ENODEB SGW MME</t>
  </si>
  <si>
    <t>SERV DE INVESTIGAÇAO DE FREQUENCIA TELEC</t>
  </si>
  <si>
    <t>LICENÇA DE SOFTWARE M2000</t>
  </si>
  <si>
    <t>LICENÇA DE SOFTWARE ENODEB</t>
  </si>
  <si>
    <t>SERV. TREINAMENTO LTE OSS (INSTR/DIA)</t>
  </si>
  <si>
    <t>SERV.CONSULTORIA EM ENGENHARIA OSS LTE</t>
  </si>
  <si>
    <t>SERV. CONSULTORIA OSS LTE SUP. OPERAC.</t>
  </si>
  <si>
    <t>SERV.GERENCIAMENTO DE PROJETO OSS LTE</t>
  </si>
  <si>
    <t>SERV. DE PROJ. ENGENH. OSS LTE</t>
  </si>
  <si>
    <t>SERV.INST.SIST TELEC.COMISSIONAM.OSS LTE</t>
  </si>
  <si>
    <t>LICENÇA DE SOFTWARE RNC 2600</t>
  </si>
  <si>
    <t>LICENÇA DE SOFTWARE RNC 1885</t>
  </si>
  <si>
    <t>LICENÇA DE SOFTWARE RNC 1170</t>
  </si>
  <si>
    <t>LICENÇA DE SOFTWARE RNC 585</t>
  </si>
  <si>
    <t>SERV CONST/AD INFRA SITE CICLOPICO-15MPA</t>
  </si>
  <si>
    <t>SERV CONSTR/ADEQ INFRA SITE CICLOPICO-PD</t>
  </si>
  <si>
    <t>LICENÇA SW- MANAG.PACK PLUS-IDM</t>
  </si>
  <si>
    <t>LICENÇA SW- IDM CONN NOVELL</t>
  </si>
  <si>
    <t>LICENÇA SW-ENTERPRISE SSO SUITE PLUS</t>
  </si>
  <si>
    <t>LICENÇA SW-GOVERNANCE SUITE</t>
  </si>
  <si>
    <t>LICENÇA SW-IDENTITY AM SUITE PLUS</t>
  </si>
  <si>
    <t>LICENÇA SW ORACLE-ENTERPRISE GATEWAY</t>
  </si>
  <si>
    <t>LICENÇA SW- MANAG.PACK PLUS-IDM EXTERNAL</t>
  </si>
  <si>
    <t>SERV. PROJ. E PLANEJAMENTO CONS NSN 12 M</t>
  </si>
  <si>
    <t>SERV PROJ. PLANEJAMENT CS FALLBACK/ELEM.</t>
  </si>
  <si>
    <t>SERV. INST/EXPAN DE SW P/CSFALLBACK</t>
  </si>
  <si>
    <t>SERV INSTAL SOFTWARE FEATURE CS FALLBACK</t>
  </si>
  <si>
    <t>SERV INSTAL RACK19 SDU P/INST PATCHPANEL</t>
  </si>
  <si>
    <t>SERV OPER ASSIST. VISITA EXPERT SITE 8X5</t>
  </si>
  <si>
    <t>SERV. INST/ATUALIZA DE SOFTWARE TRAFFICA</t>
  </si>
  <si>
    <t>SERV. INST/ATUALIZA DE SOFTWARE P/SGSN</t>
  </si>
  <si>
    <t>SERV. TREINAMENTO P/NOVA TECNO SGSN TRAF</t>
  </si>
  <si>
    <t>SERV PROJ/PLANJ P/REFILIAÇAO P/NOVO SGSN</t>
  </si>
  <si>
    <t>SERV. REFELIAÇ DE RNCS PARA SITE GSNS</t>
  </si>
  <si>
    <t>SERV PROJ/PLANEJAM. SGSN/TRAFFICA ASSOC.</t>
  </si>
  <si>
    <t>SERV INSTAL  EQUIP/COMIS/INTEG. TRAFFICA</t>
  </si>
  <si>
    <t>SERV INSTAL DE EQUIP/COMIS/INT. DO SGSN</t>
  </si>
  <si>
    <t>SERV LICENÇA DE SW FUNC FALLBACK OVERLAY</t>
  </si>
  <si>
    <t>SERV. LICENÇA DE SW FUNC. DE CS FALLBACK</t>
  </si>
  <si>
    <t>SERV. DE TREINAMENTO MMER</t>
  </si>
  <si>
    <t>SERV. DE TEC. EM TELECOM PLANEJ EM MME</t>
  </si>
  <si>
    <t>SERV. TEC. EM TELEC OPERAÇÃO ASSIST MME</t>
  </si>
  <si>
    <t>SERV. DE GERENCIAMENTO DE PROJETO MME</t>
  </si>
  <si>
    <t>SERV. INSTAL/INTEG E COMISS EM TELEC MME</t>
  </si>
  <si>
    <t>SERV. DE PROJETO/PLANEJAMENTO E ENG. MME</t>
  </si>
  <si>
    <t>SERV. LICENÇA DE USO DE SW MME P/SAL</t>
  </si>
  <si>
    <t>SERV TEC EM TELEC OPER ASSIT 12M 5X8NETA</t>
  </si>
  <si>
    <t>SERV. INST/AUTALILZ. DE SW DE NETACT 5.4</t>
  </si>
  <si>
    <t>SERV TEC EM TELEC OPER ASSIT 12M 5X8TNMS</t>
  </si>
  <si>
    <t>SERV. ASSIST E SUPORTE TÉCNICO INF TNMS</t>
  </si>
  <si>
    <t>SERV. PROJ/PLANEJAMENTO IMPLANT. TNMS</t>
  </si>
  <si>
    <t>SERV. IMPLANT/MIGRA DE TRAF TNMS TELECOM</t>
  </si>
  <si>
    <t>SERV. DE DESMOB. DE SERV EM SIST TELECOM</t>
  </si>
  <si>
    <t>SERV TEC. EM TELEC OPER.ASSIT 12M 5X8 NV</t>
  </si>
  <si>
    <t>SERV. ASSIST E SUPORTE TÉCNICO INF NET V</t>
  </si>
  <si>
    <t>SERV. DE PROJ/PLANEJAMENTO IMPL NET V</t>
  </si>
  <si>
    <t>SERV. IMPLANT/MIGRA DE TRAF NET V TELEC.</t>
  </si>
  <si>
    <t>SERVIÇO DE CONSULTORIA DE OMR</t>
  </si>
  <si>
    <t>LICENÇA DE USO SW ADOBE INDESIGN</t>
  </si>
  <si>
    <t>LICENÇA DE USO SW ADOBE FLASH PRO</t>
  </si>
  <si>
    <t>LICENÇA DE USO SW ADOBE DREAMWEAVER</t>
  </si>
  <si>
    <t>LICENÇA DE USO SW ADOBE AFTER EFFECTS</t>
  </si>
  <si>
    <t>LICENÇA DE USO SW ADOBE PREMIERE PRO</t>
  </si>
  <si>
    <t>SERV. TEC EM TELECOM REHOMING ENODE B</t>
  </si>
  <si>
    <t>LICENÇA DE SOFTWARE  W11 RXI</t>
  </si>
  <si>
    <t>LICENÇA DE SOFTWARE  W11 ENODEB</t>
  </si>
  <si>
    <t>LICENÇA DE SOFTWARE W11 RNC</t>
  </si>
  <si>
    <t>SERV ATUALIZAÇAO SW -  W10 PARA W11 RXI</t>
  </si>
  <si>
    <t>SERV ATUALIZAÇAO SW - W10 PARA W11 NODEB</t>
  </si>
  <si>
    <t>SERV ATUALIZAÇAO  SW - W10 PARA W11 RNC</t>
  </si>
  <si>
    <t>LICENÇA DE SW PRE-PAGO AIR</t>
  </si>
  <si>
    <t>LICENÇA DE SW PRE-PAGO CHS 5.03</t>
  </si>
  <si>
    <t>SERV INSTALA DISJ PLUG IN32A REDE ENEGIA</t>
  </si>
  <si>
    <t>SERV INSTAL DISJ PLUG IN20A REDE ENERGIA</t>
  </si>
  <si>
    <t>CONFECÇAO DE CRACHAS P/TREINAMENTO</t>
  </si>
  <si>
    <t>CONFECÇAO DE CERTIFICADOS P/TREINAMENTO</t>
  </si>
  <si>
    <t>CONFECÇAO DE MATERIAL GRAF P/TREINAMENTO</t>
  </si>
  <si>
    <t>HONORARIOS ADVOCATICIOS-EXITO</t>
  </si>
  <si>
    <t>LEGALIZAÇAO DE SITE-TAXAS</t>
  </si>
  <si>
    <t>SERVIÇO DE CONSULTORIA AMBIENTAL</t>
  </si>
  <si>
    <t>SERV TRATAMENTO/ASSIT MOVEL DE PACIENTE</t>
  </si>
  <si>
    <t>SERV CESSAO DE MAO OBRA PROGRAMA MENOR</t>
  </si>
  <si>
    <t>SERV DE PESQUISA DE CLIMA INTERNO</t>
  </si>
  <si>
    <t>SERV. CONSULTA/ANAL.CADASTRAL CANDIDATO</t>
  </si>
  <si>
    <t>SERV ADMINISTRAÇAO TX-DISTR VALE TRANSP</t>
  </si>
  <si>
    <t>SERV ADMINISTRAÇAO TX-DIST VALE REFEIÇAO</t>
  </si>
  <si>
    <t>SERV DE SELEÇAO RECRUTAMENTO DE PESSOAL</t>
  </si>
  <si>
    <t>SERV 17.04</t>
  </si>
  <si>
    <t>TRANSPORTE DE VOL E DOCUMENTOS-EVENTUAL</t>
  </si>
  <si>
    <t>SERVIÇO DE ADMINISTRAÇAO FEE</t>
  </si>
  <si>
    <t>SERV DE CORREIOS E TELEGRAF-FRANQUEADAS</t>
  </si>
  <si>
    <t>SERV DE INSTAL DE CABOS-DSX AT 64E1/FC</t>
  </si>
  <si>
    <t>SERV DE INSTAL DE CABOS-DSX AT 64E1/DE</t>
  </si>
  <si>
    <t>SERV DE INSTAL DE CABOS-DSX AT 64E1/FCO</t>
  </si>
  <si>
    <t>SERV DE INSTAL DE CABOS-DSX AT 32E1/FC</t>
  </si>
  <si>
    <t>AÇAO PROM.CAMPANHA DE INCENTIVO DE VENDA</t>
  </si>
  <si>
    <t>SERVIÇO DE AGENCIAMENTO DE VIAGENS</t>
  </si>
  <si>
    <t>SERV AMPLIAÇAO CAPACID TRX C/IR  C/FS</t>
  </si>
  <si>
    <t>SERV DE AMPLIAÇAO CAPACID TRX C/IR  S/FS</t>
  </si>
  <si>
    <t>SERV. DE AMPLIAÇAO DE CAPACID. TRX S/IR</t>
  </si>
  <si>
    <t>SERV DE AMPLIAÇAO DE BTS/BSC EM TELECOM</t>
  </si>
  <si>
    <t>SERV INSTAL/AMPL DE GABIN/BTS C/IR C/FS</t>
  </si>
  <si>
    <t>SERV INSTAL/AMPL DE GABIN/BTS C/IR S/FS</t>
  </si>
  <si>
    <t>SERV DE INSTAL/AMPL DE GABIN/BTS S/IRRAD</t>
  </si>
  <si>
    <t>SERV. INSTAL SIST. TRANSMIS-TRX C/F S/I</t>
  </si>
  <si>
    <t>SERV. TEC EM TELECOM INV FREQ UPLINK LTE</t>
  </si>
  <si>
    <t>SERV. TECNICO EM TELECOM DESIGN RF LTE</t>
  </si>
  <si>
    <t>SERV TEC EM TELECOM VIST DE EQUIP ENODEB</t>
  </si>
  <si>
    <t>SERV.TEC EM TELECOM ANA EST VERT S DADOS</t>
  </si>
  <si>
    <t>SERV.TEC EM TELEC ANALISE DE EST VER LTE</t>
  </si>
  <si>
    <t>SERV.TEC EM TELECOM SUPORTE ANTENA LTE</t>
  </si>
  <si>
    <t>SERV.DE INSTAL DE QTM ACBB R ENERGIA-LTE</t>
  </si>
  <si>
    <t>SERV.CONSTR BASE METALICA GABINETE LTE</t>
  </si>
  <si>
    <t>SERV.CONSTR E BASE CONCRETO P/GABIN LTE</t>
  </si>
  <si>
    <t>SERV. DE INSTALAÇAO DE CABOS EM REDE LTE</t>
  </si>
  <si>
    <t>SERV.PROJETO PRELIMINAR DE INST PPI LTE</t>
  </si>
  <si>
    <t>SERV.CONSUL INF.UP LTE SW RNC/BSCNDB/BTS</t>
  </si>
  <si>
    <t>SERV.CONSULT INF.UPGRADE LTE SW RNC/BSC</t>
  </si>
  <si>
    <t>SERV.CONSULT INFORM.P/NOVA FUNCI SW LTE</t>
  </si>
  <si>
    <t>SERV.TECNICO EM TELECOM INVENT EQ LTE</t>
  </si>
  <si>
    <t>SERV. INSTAL EXTENSAO DE JUMPER E1FE</t>
  </si>
  <si>
    <t>SERV.TEC EM TELECOM DESINS DE FEEDER LTE</t>
  </si>
  <si>
    <t>SERV.TEC EM TELECOM DESIN DE ANTENA LTE</t>
  </si>
  <si>
    <t>SERV.TEC EM TELEC.TRANSP HOEIZONTAL LTE</t>
  </si>
  <si>
    <t>SERV.TECNICO EM TELECOM INVEST FREQ.LTE</t>
  </si>
  <si>
    <t>SERV.TECNICO EM TELECOM SUPORTE CLI LTE</t>
  </si>
  <si>
    <t>SERV. CONSULTORIA ENGENH. SUP.OPER. LTE</t>
  </si>
  <si>
    <t>SERV. CONSULTORIA ENGENH.TECNOLOGIA LTE</t>
  </si>
  <si>
    <t>SERV. GERENCIAM.PROJETO SPARE PARTS LTE</t>
  </si>
  <si>
    <t>SERV. DE GERENCIAMENTO DE PROJETO LTE</t>
  </si>
  <si>
    <t>SERV.INSTAL CONVER EM TELEC INDOOR LTE</t>
  </si>
  <si>
    <t>SERV.INSTAL BAT SIST TELEC BKUP IND LTE</t>
  </si>
  <si>
    <t>SERV. INSTAL BAT SIST TELEC BKUP OUT LTE</t>
  </si>
  <si>
    <t>SERV.TEC TELEC RRU UPGRADE 2X2/4X4 LTE</t>
  </si>
  <si>
    <t>SERV. EC EM TELEC IMP/CONF BASE BAND LTE</t>
  </si>
  <si>
    <t>SERV. TEC EM TELECOM IMPL/CONF COW LTE</t>
  </si>
  <si>
    <t>SERV.TEC EM TELEC IMP/CONF MICROCELL LTE</t>
  </si>
  <si>
    <t>SERV. TECNICO EM TELECOM IMPL/CONF LTE</t>
  </si>
  <si>
    <t>SERV.TEC EM TELEC IMPL/CONF SEM ANT LTE</t>
  </si>
  <si>
    <t>SERV.TEC EM TELEC TRANS CONH.ON-SITE</t>
  </si>
  <si>
    <t>SERV. TEC EM TELECOM EM DRIVE TEST LTE</t>
  </si>
  <si>
    <t>SERV.TEC EM TELECOM DE BENCHM EM LTE</t>
  </si>
  <si>
    <t>SERV.DE PROJETO EM TELECOM TUNNING LTE</t>
  </si>
  <si>
    <t>SERV. INSTAL BAT SIST TELEC BKUP IND LTE</t>
  </si>
  <si>
    <t>SERV. TEC EM TELECOM TRANSF CONH LTE</t>
  </si>
  <si>
    <t>SERV.TEC EM TELEC LAU DE PERFORMANCE LTE</t>
  </si>
  <si>
    <t>SERV. DE PROJETO FINAL DE RF LTE</t>
  </si>
  <si>
    <t>SERV. DE CADASTRO DE SITE NO SITAR LTE</t>
  </si>
  <si>
    <t>SERV.TEC TELEC SSV-VERIF FIN. SITE LTE</t>
  </si>
  <si>
    <t>SERV.TEC EM TELECOM DRIVE TESTE SITE LTE</t>
  </si>
  <si>
    <t>SERV.DE CONSULTORIA PARA PLANEJAMENTO RF</t>
  </si>
  <si>
    <t>SERV.TEC TELEC TESTE N-REGRES P/SITE LTE</t>
  </si>
  <si>
    <t>SERV.TEC EM TELECOM MODELO TUNNING LTE</t>
  </si>
  <si>
    <t>SERV.TEC EM TELECOM DIG E GIS MAPS P/LTE</t>
  </si>
  <si>
    <t>SERV.TEC TELEC IMPLAN ACESS ENERG AC LTE</t>
  </si>
  <si>
    <t>SERV.TEC EM TELECOM MET ANTI-VAND LTE</t>
  </si>
  <si>
    <t>SERV.TEC EM TELECOM EXP ATERRAMENTO LTE</t>
  </si>
  <si>
    <t>SERV INSTALAÇAO DE MUX DE SITE TELECOM</t>
  </si>
  <si>
    <t>SERV. INST ENLACE ANTENA ACIMA 1,8M SITE</t>
  </si>
  <si>
    <t>SERV INSTAL ENLACE ANTENA ATE 1,8M SITE</t>
  </si>
  <si>
    <t>SERV DESMOBIL MUX EM TELECOM C/MIGRACAO</t>
  </si>
  <si>
    <t>SERV DESMOBIL ENLACE PDH/SHU C/MIGRACAO</t>
  </si>
  <si>
    <t>LICENÇA DE SW-GERENCIA RELAT. ELC</t>
  </si>
  <si>
    <t>SERV INSTAL DISJ PLUG IN16A REDE ENERGIA</t>
  </si>
  <si>
    <t>SERV INSTAL QTM TRIF COMP 160A/225A-ENER</t>
  </si>
  <si>
    <t>SERV INSTAL DISJ CX MOLD TRI 225A- ENERG</t>
  </si>
  <si>
    <t>SERV INSTAL DISJ CX MOLD TRI 160A- ENERG</t>
  </si>
  <si>
    <t>SERV INSTAL DISJ CX MOLD TRI 125A- ENERG</t>
  </si>
  <si>
    <t>SERV INSTAL DISJ CX MOLD TRI 100A- ENERG</t>
  </si>
  <si>
    <t>SERV INSTAL CABO COBRE FLEX PVC 1KV240MM</t>
  </si>
  <si>
    <t>SERV INSTAL CABO COBRE FLEX PVC 1KV185MM</t>
  </si>
  <si>
    <t>SERV INSTAL CABO COBRE FLEX PVC 1KV150MM</t>
  </si>
  <si>
    <t>SERV INSTAL CABO COBRE FLEX PVC750V240MM</t>
  </si>
  <si>
    <t>SERV INSTAL CABO COBRE FLEX PVC750V185MM</t>
  </si>
  <si>
    <t>SERV INSTAL CABO COBRE FLEX PVC750V150MM</t>
  </si>
  <si>
    <t>LICENÇA DE USO DE SOFTWARE TRAFFICA</t>
  </si>
  <si>
    <t>LICENÇA DE USO DE SOFTWARE HP RLIC</t>
  </si>
  <si>
    <t>SERV.CONFECÇAO GRAFICA P/ REDE DE VAREJO</t>
  </si>
  <si>
    <t>SERV DE INSTAL DE CABOS-DSX AT 32E1/DE</t>
  </si>
  <si>
    <t>SERV DE INSTAL DE CABOS-DSX AT 32E1/FCO</t>
  </si>
  <si>
    <t>SERV DE INSTAL DE CABOS-DSX AT 16E1/FC</t>
  </si>
  <si>
    <t>SERV DE INSTAL DE CABOS-DSX AT 16E1/DE</t>
  </si>
  <si>
    <t>SERV DE INSTAL DE CABOS-DSX AT 16E1/FCO</t>
  </si>
  <si>
    <t>SERV DE INSTAL DE CABOS-FE AT 48P/FC</t>
  </si>
  <si>
    <t>SERV DE INSTAL DE CABOS-FE AT 48P/DE</t>
  </si>
  <si>
    <t>SERV DE INSTAL DE CABOS-FE AT 48P/FCO</t>
  </si>
  <si>
    <t>SERV DE INSTAL DE CABOS-FE AT 24P/FC</t>
  </si>
  <si>
    <t>SERV DE INSTAL DE CABOS-FE AT 24P/DE</t>
  </si>
  <si>
    <t>SERV DE INSTAL DE CABOS-FE AT 24P/FCO</t>
  </si>
  <si>
    <t>SERV DE INSTAL DE CABOS-FE AT 12P/FC</t>
  </si>
  <si>
    <t>SERV DE INSTAL DE CABOS-FE AT 12P/DE</t>
  </si>
  <si>
    <t>SERV DE INSTAL DE CABOS-FE AT 12P/FCO</t>
  </si>
  <si>
    <t>SERV DE INSTAL DE CABOS-OPT AT 48FO/FC</t>
  </si>
  <si>
    <t>SERV DE INSTAL DE CABOS-OPT AT 48FO/DE</t>
  </si>
  <si>
    <t>SERV DE INSTAL DE CABOS-OPT AT 48FO/FCO</t>
  </si>
  <si>
    <t>SERV DE INSTAL DE CABOS-OPT AT 24FO/FC</t>
  </si>
  <si>
    <t>SERV DE INSTAL DE CABOS-OPT AT 24FO/DE</t>
  </si>
  <si>
    <t>SERV DE INSTAL DE CABOS-OPT AT 24FO/FCO</t>
  </si>
  <si>
    <t>SERV DE INSTAL DE CABOS-OPT AT 12FO/FC</t>
  </si>
  <si>
    <t>SERV DE INSTAL DE CABOS-OPT AT 12FO/DE</t>
  </si>
  <si>
    <t>SERV DE INSTAL DE CABO-OPT AT 12FO/FCO</t>
  </si>
  <si>
    <t>SERV DE INSTAL DE CABOS-DID AT 64E1/FC</t>
  </si>
  <si>
    <t>SERV DE INSTAL DE CABOS-DID AT 64E1/DE</t>
  </si>
  <si>
    <t>SERV DE INSTAL DE CABOS-DID AT 64E1/FCO</t>
  </si>
  <si>
    <t>SERV DE INSTAL DE CABOS-DID AT 32E1/FC</t>
  </si>
  <si>
    <t>SERV DE INSTAL DE CABOS-DID AT 32E1/DE</t>
  </si>
  <si>
    <t>SERV DE INSTAL DE CABOS-DID AT 32E1/FCO</t>
  </si>
  <si>
    <t>SERV DE INSTAL DE CABOS-DID AT 16E1/FC</t>
  </si>
  <si>
    <t>SERV DE INSTAL DE CABOS-DID AT 16E1/DE</t>
  </si>
  <si>
    <t>SERV DE INSTAL DE CABOS-DID AT 16E1/FCO</t>
  </si>
  <si>
    <t>SERV TEC EM TELECOM TRANSF CONH. OSS</t>
  </si>
  <si>
    <t>SERV TEC EM TELEC DE SUPORTE TEC MES OSS</t>
  </si>
  <si>
    <t>SERV. TEC. EM TELECOM OP ASSIST MES OSS</t>
  </si>
  <si>
    <t>SERV. DE INSTALAÇÃO/INTEG/COMIS. MME OSS</t>
  </si>
  <si>
    <t>SERV. TEC. EM TELECOM EM PLANJ DE OSS</t>
  </si>
  <si>
    <t>SERV TEC EM TELECOM TRANSF CONH. MME</t>
  </si>
  <si>
    <t>SERV TEC EM TELEC SUPORTE TEC MME</t>
  </si>
  <si>
    <t>SERV DE CONSULTORIA OPERACIONAL MME</t>
  </si>
  <si>
    <t>SERV DE CONSULTORIA DE PLANEJAMENTO MME</t>
  </si>
  <si>
    <t>SOFTWARE DE PLATAFORMA VPN TZ</t>
  </si>
  <si>
    <t>LICENÇA DE SW-GERENCIA MGMT ELC</t>
  </si>
  <si>
    <t>LICENÇA DE SW-GERENCIA TESTE ELC</t>
  </si>
  <si>
    <t>LICENÇA DE SW-GERENCIA FALHAS ELC</t>
  </si>
  <si>
    <t>LICENÇA DE SW-GERENCIA IP/VPN ELC</t>
  </si>
  <si>
    <t>LICENÇA DE SW-GERENCIA ETHERNET ELC</t>
  </si>
  <si>
    <t>LICENÇA DE SW-GERENCIA ATM ELC</t>
  </si>
  <si>
    <t>LICENÇA DE SW-DESEMPENHO ELC</t>
  </si>
  <si>
    <t>LICENÇA DE SW-PARTICIONAMENTO ELC</t>
  </si>
  <si>
    <t>LICENÇA DE SW-GERENCIA PCT. BASICO ELC</t>
  </si>
  <si>
    <t>LICENÇA DE SW-GERENCIA ADAPTADOR 8600ELC</t>
  </si>
  <si>
    <t>LICENÇA DE SW ELC1 FP4.0</t>
  </si>
  <si>
    <t>SERV. SUPORTE EM INFORMT-UPGRADE DE SW</t>
  </si>
  <si>
    <t>SERV. INSTAL SIST. TRANSMIS-TRX S/F S/I</t>
  </si>
  <si>
    <t>SERVIÇO DE COLETA DE LIXO / RESIDUOS</t>
  </si>
  <si>
    <t>LICENÇA DE SOFTWARE LTE-ACTIVE USERS</t>
  </si>
  <si>
    <t>SERV DESINSTAL DE ANTENA MOVEL-COW 200Km</t>
  </si>
  <si>
    <t>LICENÇA DE SOFTWARE GOOGLE EARTH PRO</t>
  </si>
  <si>
    <t>LICENÇA DE USO DE SOFTWARE JAWS13</t>
  </si>
  <si>
    <t>SERV. UPGERADE DE SOFTWARE - OSS</t>
  </si>
  <si>
    <t>SERV.ELABORAÇAO DE PROGR. P/JOGOS ELETR.</t>
  </si>
  <si>
    <t>LICENÇA-USO DE SOFTWARE LYNC STD CAL</t>
  </si>
  <si>
    <t>LICENÇA-USO DE SOFTWARE LYNC PLUS CAL</t>
  </si>
  <si>
    <t>LICENÇA-USO DE SOFTWARE LYNC ENT CAL</t>
  </si>
  <si>
    <t>LICENÇA-USO DE SOFTWARE LYNC SERVER ENT</t>
  </si>
  <si>
    <t>LICENÇA DE USO DE SOFTWARE LYNC CLIENTE</t>
  </si>
  <si>
    <t>LICENÇA DE SOFTWARE SCCM CAL</t>
  </si>
  <si>
    <t>LICENÇA DE SOFTWARE SCOM ENT CLIENTE</t>
  </si>
  <si>
    <t>LICENÇA DE SOFTWARE SCOM CLIENTE</t>
  </si>
  <si>
    <t>LICENÇA DE SOFTWARE SCCM SERVER</t>
  </si>
  <si>
    <t>LICENÇA DE SOFTWARE WINDOWS SERVER STD</t>
  </si>
  <si>
    <t>LICENÇA DE SOFTWARE EXCHANGE CAL</t>
  </si>
  <si>
    <t>LICENÇA DE SOFTWARE WINDOWS SERVER CAL</t>
  </si>
  <si>
    <t>LICENÇA DE SOFTWARE EXCHANGE SERVER STD</t>
  </si>
  <si>
    <t>LICENÇA DE SOFTWARE EXCHANGE SERVER ENT</t>
  </si>
  <si>
    <t>LICENÇA-USO DE SOFTWARE VISIO STANDARD</t>
  </si>
  <si>
    <t>LICENÇA-USO DE SW SHAREPOINT SERVER</t>
  </si>
  <si>
    <t>LICENÇA-USO DE SOFTWARE PROJECT CAL</t>
  </si>
  <si>
    <t>LICENÇA-USO DE SOFTWARE PROJECT SERVER</t>
  </si>
  <si>
    <t>LICENÇA DE USO DE SOFTWARE RMS CAL</t>
  </si>
  <si>
    <t>LICENÇA DE SOFTWARE WINDOWS SERVER ENT</t>
  </si>
  <si>
    <t>LICENÇA DE SOFTW.REMOTE DESKTOP SVC CAL</t>
  </si>
  <si>
    <t>LICENÇA DE USO DE SOFTWARE OFFICE STD</t>
  </si>
  <si>
    <t>LICENÇA DE USO DE SOFTWARE NETVIEWER</t>
  </si>
  <si>
    <t>SERV DE INSTAL SW P/ALT FUNC.PAPU P/IPPU</t>
  </si>
  <si>
    <t>LICENÇA DE SOFTWARE OSS - LTE</t>
  </si>
  <si>
    <t>LICENÇA SW OSC HR P/CAPACIDADE ADICIONAL</t>
  </si>
  <si>
    <t>LICENÇA DE SOFTWARE CSDAP</t>
  </si>
  <si>
    <t>LICENÇA DE SOFTWARE OSC HR</t>
  </si>
  <si>
    <t>LIC. SOFTWARE APLICATIVO TOP6 RED GSM</t>
  </si>
  <si>
    <t>SERV DE INSTALAÇAO DE GRADIL BTS DISTRIB</t>
  </si>
  <si>
    <t>SERV DE INSTALAÇAO DE GRADIL  FCOA/APM</t>
  </si>
  <si>
    <t>SERV DE INSTALAÇAO DE GRADIL CONTAINER</t>
  </si>
  <si>
    <t>SERV DE INSTALAÇAO DE GRADIL MINISHELTER</t>
  </si>
  <si>
    <t>SERV DE INSTALAÇAO DE GRADIL  BBC EDB</t>
  </si>
  <si>
    <t>SERV DE INSTALAÇAO DE GRADIL  BTS EDB</t>
  </si>
  <si>
    <t>SERV. DE READEQUAÇAO GRADIL GUILHOTINA</t>
  </si>
  <si>
    <t>SERV DE INSTALAÇAO DE GRADIL GUILHOTINA</t>
  </si>
  <si>
    <t>SERV. DE CONSTR CANALETA ALV CONCR 600MM</t>
  </si>
  <si>
    <t>SERV. DE CONSTR CANALETA ALV CONCR 400MM</t>
  </si>
  <si>
    <t>SERV. DE CONSTR DE PAREDE/MURO ALVENARIA</t>
  </si>
  <si>
    <t>SERV. DE CONSTR DE PAREDE DRYWALL TP RF</t>
  </si>
  <si>
    <t>SERV. DE CONSTR DE PAREDE DRYWALL TP RU</t>
  </si>
  <si>
    <t>SERV. DE FURAÇAO DE LAJE 4POL</t>
  </si>
  <si>
    <t>SERV. DE FURACAO DE FORRO OU GESSO 4POL</t>
  </si>
  <si>
    <t>SERV INSTALAÇAO DE ELETROCALHA FIBER12X4</t>
  </si>
  <si>
    <t>SERV INSTALAÇAO DE ELETROCALHA FIBER 4X2</t>
  </si>
  <si>
    <t>SERV INSTALAÇAO DE ELETROCALHA FIBER 4X4</t>
  </si>
  <si>
    <t>SERV. INSTAL. ELETROCALHA ACO GALV 600MM</t>
  </si>
  <si>
    <t>SERV. INSTAL. ELETROCALHA ACO GALV 400MM</t>
  </si>
  <si>
    <t>SERV. INSTAL ELETROCALHA ACO GALV 200MM</t>
  </si>
  <si>
    <t>SERV. INSTAL. DE ESTEIRA DE FER.GAL600MM</t>
  </si>
  <si>
    <t>SERV. INSTAL. DE ESTEIRA DE FER.GAL400MM</t>
  </si>
  <si>
    <t>SERV. INSTAL. DE ESTEIRA DE FER.GAL300MM</t>
  </si>
  <si>
    <t>SERV. INSTAL. DE ESTEIRA DE FER.GAL200MM</t>
  </si>
  <si>
    <t>SERV. INSTALAÇAO ELETROCALHA PVC140X100</t>
  </si>
  <si>
    <t>SERV. REFORÇO ESTR VERT TP4-ACIMA 5000KG</t>
  </si>
  <si>
    <t>SERV. REFORÇO ESTR VERT TP 4-3000A5000KG</t>
  </si>
  <si>
    <t>SERV. REFORÇO ESTR VERT TP 4-1500A3000KG</t>
  </si>
  <si>
    <t>SERV. REFORÇO ESTR VERT TP 4-ATÉ 1.500KG</t>
  </si>
  <si>
    <t>SERV. REFORÇO ESTR VERT TP3-ACIMA 5000KG</t>
  </si>
  <si>
    <t>SERV. REFORÇO ESTR VERT TP 3-3000A5000KG</t>
  </si>
  <si>
    <t>SERV. REFORÇO ESTR VERT TP 3-1500A3000KG</t>
  </si>
  <si>
    <t>SERV. REFORÇO ESTR VERT TP 3-ATÉ 1.500KG</t>
  </si>
  <si>
    <t>SERV. REFORÇO ESTR VERT TP2-ACIMA 5000KG</t>
  </si>
  <si>
    <t>SERV. REFORÇO ESTR VERT TP 2-3000a5000KG</t>
  </si>
  <si>
    <t>SERV. REFORÇO ESTR VERT TP 2-1500A3000KG</t>
  </si>
  <si>
    <t>SERV. REFORÇO ESTR VERT TP 2-ATÉ 1.500KG</t>
  </si>
  <si>
    <t>SERV. REFORÇO ESTR VERT TP1-ACIMA 5000KG</t>
  </si>
  <si>
    <t>SERV. REFORÇO ESTR VERT TP 1-3000A5000KG</t>
  </si>
  <si>
    <t>SERV. REFORÇO ESTR VERT TP 1-1500A3000KG</t>
  </si>
  <si>
    <t>SERV. REFORÇO DE ESTR. VERT TP 1-1.500KG</t>
  </si>
  <si>
    <t>LICENÇA DE SOFTWARE MAPS ENGINE-MAPLINK</t>
  </si>
  <si>
    <t>SERV. DE TREINAMENTO PARA OSS P/DIA</t>
  </si>
  <si>
    <t>SERV. DE GERENCIAMENTO DE PROJETO P/OSS</t>
  </si>
  <si>
    <t>SERV. TEC EM TELECOM P/OPER.ASSIST.OSS</t>
  </si>
  <si>
    <t>SERV. INSTAL DE PLATAFORMA GER. REDE OSS</t>
  </si>
  <si>
    <t>SERV. DE PROJETO DE ENGENHARIA DE OSS</t>
  </si>
  <si>
    <t>SERV. TEC EM TELEC P/OPER. ASSIST ENODEB</t>
  </si>
  <si>
    <t>SERV. PROJETO CONS.ENGENHARIA DE RF</t>
  </si>
  <si>
    <t>SERV. DE GERENCIAMENTO DE PROJETO ENODEB</t>
  </si>
  <si>
    <t>SERV. DE INSTAL DE GABINETE DE ENERGIA</t>
  </si>
  <si>
    <t>SERV.DE INSTAL.ENODEB DISTRB.C/3 ANTENAS</t>
  </si>
  <si>
    <t>SERV. DE TREINAMENTO PARA ENODEB P/DIA</t>
  </si>
  <si>
    <t>SERV. DE MEDIÇAO C/DRIVE TEST-20 ENODEB</t>
  </si>
  <si>
    <t>SERV. DE ESTUDO DE PERFORMANCE DE REDES</t>
  </si>
  <si>
    <t>SERV. PROJETO DE REFIL. P/AJUSTE INICIAL</t>
  </si>
  <si>
    <t>SERV. PROJETO INICIAL ENGENHARIA ENODEB</t>
  </si>
  <si>
    <t>SERV. PROJ/VISTORIA REFILIAÇAO P/ENODEB</t>
  </si>
  <si>
    <t>SERV. IMPLEM. DE REFILIAÇAO DE ENODEB</t>
  </si>
  <si>
    <t>SOFTWARE IPA PARA USM ATAE</t>
  </si>
  <si>
    <t>SOFTWARE DMS PARA USM ATAE</t>
  </si>
  <si>
    <t>SOFTWARE USM ATAE</t>
  </si>
  <si>
    <t>SOFTWARE SMSC</t>
  </si>
  <si>
    <t>LICENÇA DE SOFTWARE SMSC</t>
  </si>
  <si>
    <t>LICENÇA DE SOFTWARE ASAU</t>
  </si>
  <si>
    <t>LICENÇA DE SW SMSC 2001-5000MPS (1MPS)</t>
  </si>
  <si>
    <t>LICENÇA DE SW SMSC 1001-2000MPS (1MPS)</t>
  </si>
  <si>
    <t>LICENÇA DE SW SMSC 501-1000MPS (1MPS)</t>
  </si>
  <si>
    <t>LICENÇA DE SW SMSC 1-500MPS (1MPS)</t>
  </si>
  <si>
    <t>LICENÇA BREEZE_MAINASt-1_1_18 para DB</t>
  </si>
  <si>
    <t>LICENÇA BREEZE_MAINAST-1_1_18 LINUX</t>
  </si>
  <si>
    <t>SOFTWARE CACHE SMS</t>
  </si>
  <si>
    <t>LICENÇA PARA INTERFACE SINALIZAÇÃO SS7</t>
  </si>
  <si>
    <t>SOFTWARE BLACKLIST</t>
  </si>
  <si>
    <t>LICENÇA DE SOFTWARE SERVICE PROXY</t>
  </si>
  <si>
    <t>LICENÇA DE SOFTWARE CLUSTER</t>
  </si>
  <si>
    <t>SOFTWARE SHORT MESSAGE CENTER</t>
  </si>
  <si>
    <t>SOFTWARE DB4O</t>
  </si>
  <si>
    <t>LICENÇA DE SOFTWARE TWAVER JARE V.3</t>
  </si>
  <si>
    <t>LICENÇA DE SOFTWARE OSTA &amp; ATAE (1-11P)</t>
  </si>
  <si>
    <t>LICENÇA DE SOFTWARE OSTA &amp; ATAE (1-11E)</t>
  </si>
  <si>
    <t>LICENÇA SMSC PROTEÇAO PRIVACIDADE</t>
  </si>
  <si>
    <t>SOFTWARE-ANALISE DE RELATORIOS IWEB-SMSC</t>
  </si>
  <si>
    <t>LICENÇA SW-ANALISE SEGUR HP FORTIFY FSCA</t>
  </si>
  <si>
    <t>SERV. EVENTO P/ CONFRATERNIZAÇAO INTERNA</t>
  </si>
  <si>
    <t>SERV.INST.EM FIX.SUB-BASTIDOR CONV.ELTEK</t>
  </si>
  <si>
    <t>SERV.INST.EM FIX.SUB-BASTIDOR CONV.PHB</t>
  </si>
  <si>
    <t>LIC.SW-CRIPTOGRAFIA SYMANTEC PGP GATEWAY</t>
  </si>
  <si>
    <t>LIC.SW-CRIPTOGRAFIA SYMANTEC PGP WHOLE</t>
  </si>
  <si>
    <t>SERV. DE INSTAL MODULO UNID. REM. ENODEB</t>
  </si>
  <si>
    <t>SERV. DE INSTAL MODULO BANDA BASE ENODEB</t>
  </si>
  <si>
    <t>LICENÇA DE USO DE SOFTWARE - SGR</t>
  </si>
  <si>
    <t>LICENÇA SW.SECURE TRACK ROTEADOR CISCO</t>
  </si>
  <si>
    <t>LICENÇA SW.SECURE TRACK FIREWALL CLUSTER</t>
  </si>
  <si>
    <t>LICENÇA DE SOFTWARE HP CMDB</t>
  </si>
  <si>
    <t>LICENÇA SW. HP DMM INVENTARIO S/ AGENTE</t>
  </si>
  <si>
    <t>LICENÇA SW. HP DMM INVENTARIO AGENTE</t>
  </si>
  <si>
    <t>LICENÇA SW. HP CONECTOR APERV SERVER</t>
  </si>
  <si>
    <t>LICENÇA DE SOFTWARE HP CONECTOR JMS</t>
  </si>
  <si>
    <t>LICENÇA SW.HP CONECTOR JCA-COMPLIANT</t>
  </si>
  <si>
    <t>LICENÇA SW.HP CONECTOR ALDATABASE DEVICE</t>
  </si>
  <si>
    <t>LICENÇA SW.HP CONECTOR ALTIRIS INVENTORY</t>
  </si>
  <si>
    <t>LICENÇA SW. HP CONECTOR TALLY TS.CENSUS</t>
  </si>
  <si>
    <t>LICENÇA SW. HP CONECTOR TIVOLI TEDW</t>
  </si>
  <si>
    <t>LICENÇA SOFTWARE HP CONECTOR TIVOLI TCM</t>
  </si>
  <si>
    <t>LICENÇA SOFTWARE HP CONECTOR TIVOLI TEC</t>
  </si>
  <si>
    <t>LICENÇA DE SOFTWARE HP CONECTOR MS SCCM</t>
  </si>
  <si>
    <t>LICENÇA SW. HP CONECTOR IT LOTUS NOTES</t>
  </si>
  <si>
    <t>LICENÇA SW. HP CONECTOR LANDESK INV.</t>
  </si>
  <si>
    <t>LICENÇA SW. HP CONECTOR WEBSPHERE MQ</t>
  </si>
  <si>
    <t>LICENÇA DE SOFTWARE HP CONECTOR SAP SM</t>
  </si>
  <si>
    <t>LICENÇA SW. HP CONECTOR CA UNICENTER</t>
  </si>
  <si>
    <t>LICENÇA SW. HP CONECTOR REMEDY ARS</t>
  </si>
  <si>
    <t>LICENÇA DE SOFTWARE HP CONECTOR XML</t>
  </si>
  <si>
    <t>LI CENÇA SW. HP CONECTOR WEB SERVICE</t>
  </si>
  <si>
    <t>LICENÇA SW. HP CONECTOR SAP EXCEL ODBC</t>
  </si>
  <si>
    <t>LICENÇA SW. HP CONECTOR DB EXCEL ODBC</t>
  </si>
  <si>
    <t>LICENÇA SOFTW. HP CONECTOR SDK UNIX/NT</t>
  </si>
  <si>
    <t>LICENÇA DE SOFTWARE HP CONECTOR SPECTRUM</t>
  </si>
  <si>
    <t>LICENÇA DE SOFTWARE HP CONECTOR TIVOLI</t>
  </si>
  <si>
    <t>LICENÇA DE SOFTWARE HP LOTUS NOTE</t>
  </si>
  <si>
    <t>LICENÇA DE SOFTWARE HP-KM ESS AUTO SERV</t>
  </si>
  <si>
    <t>LICENÇA DE SOFTWARE HP-KM NMD USR</t>
  </si>
  <si>
    <t>LICENÇA SW. HP ENTERPRISE SUITE SM E-LTU</t>
  </si>
  <si>
    <t>LICENÇA DE SOFTWARE HP SM-E LTU NOMEADA</t>
  </si>
  <si>
    <t>LICENÇA DE SOFTWARE HP SM-E LTU-SERVIDOR</t>
  </si>
  <si>
    <t>LICENÇA DE SOFTWARE HP SM-E LTU</t>
  </si>
  <si>
    <t>SERV LICENÇA SW P/CERTIFICAÇAO DIGITAL</t>
  </si>
  <si>
    <t>SERV CONSULT ESTATISTICA CREDITO/CAPACIT</t>
  </si>
  <si>
    <t>SERV. INSTALAÇAO DE EQUIP MIG SWIPRAN TA</t>
  </si>
  <si>
    <t>SERV. DE INSTALAÇAO DE EQUIP. MIG ASR903</t>
  </si>
  <si>
    <t>SERV TEC TELECOM INTEGRAÇAO ES+XT-4TG3C</t>
  </si>
  <si>
    <t>SERV TEC TELECOM P/INTEGRAÇAO ES+20G3C</t>
  </si>
  <si>
    <t>SERV TEC EM TELECOM P/INTEGRAÇAO 7606 TC</t>
  </si>
  <si>
    <t>SERV. DE INSTALAÇAO ENODEB ESTAÇAO COW</t>
  </si>
  <si>
    <t>SERV. DE INSTAL ENODEB PARA MICROCELULAS</t>
  </si>
  <si>
    <t>SERV DE INSTALAÇAO ENODEB EMP. S/ANTENAS</t>
  </si>
  <si>
    <t>SERV. MEDIÇAO DE CAMPO P/LIMP. ESPECTRAL</t>
  </si>
  <si>
    <t>SERV. DE ORGANIZAÇAO DE FESTA E RECEPÇAO</t>
  </si>
  <si>
    <t>FORNEC.DE DADOS INFORM CADAST.P/PESQUISA</t>
  </si>
  <si>
    <t>LICENÇA DE SW - RNC-RRC LOAD CONTROL</t>
  </si>
  <si>
    <t>SERV. DE DESMOBILIZAÇAO DE JUMPER 120OHS</t>
  </si>
  <si>
    <t>SERV. DE DESMOBILIZAÇAO DE JUMPER 75OHS</t>
  </si>
  <si>
    <t>SERV DE INSTAL TRANS REDE BASTIDOR 19P</t>
  </si>
  <si>
    <t>LICENÇA DE SOFTWARE IAC COPPER GIGABIT</t>
  </si>
  <si>
    <t>LICENÇA DE SOFTWARE IAC OPT (850NM)</t>
  </si>
  <si>
    <t>SERV CONFIGURAÇAO DE BANCO DE DADOS-API</t>
  </si>
  <si>
    <t>SERV. LICENÇA DE USO DE SOFTWARE 80MPS</t>
  </si>
  <si>
    <t>SERV.CONFIGURAÇAO/INTEGRAÇAO E TESTE-MMS</t>
  </si>
  <si>
    <t>LICENÇA SW HP UD OS INSTANCE SW E-LTU</t>
  </si>
  <si>
    <t>LICENÇA SW HP SM-SAP SOL MAN EX 1.00 ENG</t>
  </si>
  <si>
    <t>LICENÇA SW HP SM KM ESS USR FOR SM7.X+92</t>
  </si>
  <si>
    <t>LICENÇA SW HP SM KM NMD USR FOR SM7.X+92</t>
  </si>
  <si>
    <t>LICENÇA SW HP SM KM SEARCH ENGINE 2.0 SW</t>
  </si>
  <si>
    <t>LIC.IBM ENDPOINT MANAGER P/MOBILE-DEVICE</t>
  </si>
  <si>
    <t>SERV. MANUT. E CONSERVAÇAO DE ELEVADORES</t>
  </si>
  <si>
    <t>SERV DE VISTORIA PROJETO DE RF AVUL.</t>
  </si>
  <si>
    <t>SERV DE VISTORIA PROJ DE INFRA/INST AVUL</t>
  </si>
  <si>
    <t>SERV INSTALAÇAO DE CABOS DID 64E1S</t>
  </si>
  <si>
    <t>SERV INSTALAÇAO DE CABOS DID 32E1S</t>
  </si>
  <si>
    <t>SERV INSTALAÇAO DE CABOS DID 16E1S</t>
  </si>
  <si>
    <t>SERV INSTAL TRANS/REDE ESP PCH P 48 POS</t>
  </si>
  <si>
    <t>SERV INSTAL TRANS/REDE ESP PCH P 24 POS</t>
  </si>
  <si>
    <t>SERV INSTAL TRANS/REDE ESP PCH P 12 POS</t>
  </si>
  <si>
    <t>SERV. DE INSTAL/TEST E ATEND CAB OPTICOS</t>
  </si>
  <si>
    <t>SERV DE INSTAL FIBRA OPTICA ATE 48FO</t>
  </si>
  <si>
    <t>SERV DE INSTAL FIBRA OPTICA ATE 24FO</t>
  </si>
  <si>
    <t>SERV DE INSTAL FIBRA OPTICA ATE 12FO</t>
  </si>
  <si>
    <t>SERV INSTAL CORDAO/JUMPER P/FIB.OPTICA</t>
  </si>
  <si>
    <t>SERV DE INSTAL CALHA 12X4 P/FIBRA OPTICA</t>
  </si>
  <si>
    <t>SERV. DE INSTAL CALHA 4X4 P/FIBRA OPTICA</t>
  </si>
  <si>
    <t>SERV. DE INSTAL CALHA 4X2 P/FIBRA OPTICA</t>
  </si>
  <si>
    <t>SERV DE INSTAL DE TRANS/REDE DSX SUBRACK</t>
  </si>
  <si>
    <t>SERV INSTAL TRANS REDE DSX RACK23 COMPL</t>
  </si>
  <si>
    <t>SERV INSTAL TRANS REDE DSX RACK19 COMPL</t>
  </si>
  <si>
    <t>SERV INSTAL TRANS REDE CARTÃO PIX-1C-120</t>
  </si>
  <si>
    <t>SERV DE DESMOBILIZAÇAO DE ROTA ETHERNET</t>
  </si>
  <si>
    <t>SERV DE FORNECIM.DE DADOS P/NEGATIVAÇAO</t>
  </si>
  <si>
    <t>SERV. MANUT.BANCO DE DADOS P/NEGATIVAÇAO</t>
  </si>
  <si>
    <t>LICENÇA DE SW. HP SUPERDOME TICAP</t>
  </si>
  <si>
    <t>LICENÇA SW-TABLEAU WEB SERVER INTERACTOR</t>
  </si>
  <si>
    <t>LICENÇA - ENTREPRISE BUNDLE TRAINING</t>
  </si>
  <si>
    <t>LICENÇA-ACCESSDATA ENTREPRISE BUNDLE</t>
  </si>
  <si>
    <t>LICENÇA DE SW-BASE DE DADOS 3D-BHEIGHTS</t>
  </si>
  <si>
    <t>SERV TEC EM TELECOM P/INTEGRAÇAO7609 TB</t>
  </si>
  <si>
    <t>SERV TEC EM TELECOM P/INTEGRAÇAO 7606 TA</t>
  </si>
  <si>
    <t>SERV TEC TELECOM P/INTEGRAÇAO SWIPRAN TA</t>
  </si>
  <si>
    <t>SERV TEC EM TELECOM P/INTEGRAÇAO ONS-I1</t>
  </si>
  <si>
    <t>SERV TEC EM TELECOM P/INTEGRAÇAO IMA4OS</t>
  </si>
  <si>
    <t>SERV TEC EM TELECOM P/INTEGRAÇAO IMA16D</t>
  </si>
  <si>
    <t>SERV TEC EM TELECOM P/INTEGRAÇAO IMA8S</t>
  </si>
  <si>
    <t>SERV TEC TELECOM P/INTEGRAÇAO RSP1A-55</t>
  </si>
  <si>
    <t>SERV TEC EM TELECOM P/INTEGRAÇAO ASR-903</t>
  </si>
  <si>
    <t>SERV.COMUNICAÇAO VISUAL CRIAÇAO DE LOGO</t>
  </si>
  <si>
    <t>LICENÇA DE USO DE SOFTWARE TNMS</t>
  </si>
  <si>
    <t>LICENÇA SW HP SM 9.30 ENGLISH SW E-MEDIA</t>
  </si>
  <si>
    <t>LICENÇA SW HP SM 9.20 BRZ SW E-MEDIA</t>
  </si>
  <si>
    <t>LICENÇA SW HP DDM INVENTORY 7.60 ENG SW</t>
  </si>
  <si>
    <t>LICENÇA SW HP SC AUTO SDK MVS SVR SW E</t>
  </si>
  <si>
    <t>LICENÇA SW HP SC AUTO APPLICATNS ENG SW</t>
  </si>
  <si>
    <t>LICENÇA SW HP CONNECT-IT 9.30 SW E-MEDIA</t>
  </si>
  <si>
    <t>SOFTWARE DE CONTROLE DE ACESSO-AUTOSEG</t>
  </si>
  <si>
    <t>SERV.INST. TRANSMISSAO/REDE ACESSO-PLACA</t>
  </si>
  <si>
    <t>SERV.INSTAL/TESTE P/ATENUAÇ.CABO OPTICO</t>
  </si>
  <si>
    <t>LICENÇA DE SOFTWARE - JAWS</t>
  </si>
  <si>
    <t>SERV. DE INSTALAÇAO FIBRA OPTICA/DERIV.</t>
  </si>
  <si>
    <t>SERV MANUT EQP. C/TROCA DE SEGREDO STAM</t>
  </si>
  <si>
    <t>SERV. IMPLANT. REDE TELEC.CABO SUBMARINO</t>
  </si>
  <si>
    <t>LICENÇA DE SOFTWARE RNC C-PACK</t>
  </si>
  <si>
    <t>SERVIÇO DE ASSESSORIA P/ AVERBAÇAO INPI</t>
  </si>
  <si>
    <t>LICENÇA CAPACIDADE HW EVO 50 MBPS</t>
  </si>
  <si>
    <t>LICENÇA CAPACIDADE HW EVO 1000 USUARIOS</t>
  </si>
  <si>
    <t>SOFTWARE CONTROLADOR EVO 8200 68 EPB1</t>
  </si>
  <si>
    <t>SOFTWARE CONTROLADOR EVO 8200 56 EPB1</t>
  </si>
  <si>
    <t>SOFTWARE CONTROLADOR EVO 8200 44 EPB1</t>
  </si>
  <si>
    <t>SOFTWARE CONTROLADOR EVO 8200 32 EPB1</t>
  </si>
  <si>
    <t>SOFTWARE CONTROLADOR EVO 8200 20 EPB1</t>
  </si>
  <si>
    <t>SOFTWARE MEGAMON</t>
  </si>
  <si>
    <t>SERV.-SETORIZAÇAO -ULTRASITE/FLEXEDGE</t>
  </si>
  <si>
    <t>LICENÇA SOFTWARE STC POR PLACA E5ENET</t>
  </si>
  <si>
    <t>LICENÇA SOFTWARE ENLACE E1 HSL ATM</t>
  </si>
  <si>
    <t>LICENÇA SOFTWARE 8 ENLACES E1 LSL</t>
  </si>
  <si>
    <t>LICENÇA SW 10000 TPS DB ITU P/E5-SM8G</t>
  </si>
  <si>
    <t>LICENÇA SW 10000 TPS GTT P/E5-SM8G</t>
  </si>
  <si>
    <t>LICENÇA SW IPSG POR PLACA E5-ENET 500TU</t>
  </si>
  <si>
    <t>SW.CHAVE ACESSO FEATURE 6-10 ATM 3ENL</t>
  </si>
  <si>
    <t>SW.CHAVE ACESSO FEATURE TRADUCAO PC</t>
  </si>
  <si>
    <t>SW.CHAVE ACESSO FEATURE 10000TPS E5-SM8G</t>
  </si>
  <si>
    <t>SERV INSTAL/COMIS. SIST. IRRAD ENB S/PR.</t>
  </si>
  <si>
    <t>SERV IMPLANT SITE NOVO 3GMAIN-REM S/PREL</t>
  </si>
  <si>
    <t>SERV. IMPLANT SITE NOVO 3G MACRO S/PREL.</t>
  </si>
  <si>
    <t>SERV. INSTAL DE INFRA SITE 2G GF S/PREL.</t>
  </si>
  <si>
    <t>SERV. INSTAL DE INFRA SITE 2G RT S/PREL.</t>
  </si>
  <si>
    <t>SERV. IMPLANT SITE NOVO 2G S/SI S/PREL.</t>
  </si>
  <si>
    <t>SERV. IMPLANT SITE NOVO 2G C/SI S/PREL.</t>
  </si>
  <si>
    <t>LICENÇA DE SOFTWARE EPASS2000</t>
  </si>
  <si>
    <t>SERV. DE INSTAL/MONTAGEM DE POSTE PM036</t>
  </si>
  <si>
    <t>SERV. DE INSTAL/MONTAGEM DE POSTE PM035</t>
  </si>
  <si>
    <t>SERV. DE INSTAL/MONTAGEM DE POSTE PM034</t>
  </si>
  <si>
    <t>SERV. DE INSTAL/MONTAGEM DE POSTE PM033</t>
  </si>
  <si>
    <t>SERV. DE INSTAL/MONTAGEM DE POSTE PM024</t>
  </si>
  <si>
    <t>SERV. DE INSTAL/MONTAGEM DE POSTE PM023</t>
  </si>
  <si>
    <t>SERV. DE INSTAL/MONTAGEM DE POSTE PM022</t>
  </si>
  <si>
    <t>SERV. DE INSTAL/MONTAGEM DE POSTE PM021</t>
  </si>
  <si>
    <t>SERV. DE INSTAL/MONTAGEM DE POSTE PM020</t>
  </si>
  <si>
    <t>SERV. DE INSTAL/MONTAGEM DE POSTE PM019</t>
  </si>
  <si>
    <t>SERV. DE INSTAL/MONTAGEM DE POSTE PM018</t>
  </si>
  <si>
    <t>SERV. DE INSTAL/MONTAGEM DE POSTE PM017</t>
  </si>
  <si>
    <t>SERV. DE INSTAL/MONTAGEM DE POSTE PM008</t>
  </si>
  <si>
    <t>SERV. DE INSTAL/MONTAGEM DE POSTE PM007</t>
  </si>
  <si>
    <t>SERV. DE INSTAL/MONTAGEM DE POSTE PM006</t>
  </si>
  <si>
    <t>SERV. DE INSTAL/MONTAGEM DE POSTE PM005</t>
  </si>
  <si>
    <t>SERV. DE INSTAL/MONTAGEM DE POSTE PM004</t>
  </si>
  <si>
    <t>SERV. DE INSTAL/MONTAGEM DE POSTE PM003</t>
  </si>
  <si>
    <t>SERV. DE INSTAL/MONTAGEM DE POSTE PM002</t>
  </si>
  <si>
    <t>SERV. DE INSTAL/MONTAGEM DE POSTE PM001</t>
  </si>
  <si>
    <t>SERV. DE INSTAL/MONTAGEM TORRE TAS006</t>
  </si>
  <si>
    <t>SERV. DE INSTAL/MONTAGEM TORRE TAS005</t>
  </si>
  <si>
    <t>SERV. DE INSTAL/MONTAGEM TORRE TAS004</t>
  </si>
  <si>
    <t>SERV. DE INSTAL/MONTAGEM TORRE TAS003</t>
  </si>
  <si>
    <t>SERV. DE INSTAL/MONTAGEM TORRE TAS002</t>
  </si>
  <si>
    <t>SERV. DE INSTAL/MONTAGEM TORRE TAS001</t>
  </si>
  <si>
    <t>SERV. DE INSTAL/MONTAGEM DE POSTE PM040</t>
  </si>
  <si>
    <t>SERV. DE INSTAL/MONTAGEM DE POSTE PM039</t>
  </si>
  <si>
    <t>SERV. DE INSTAL/MONTAGEM DE POSTE PM038</t>
  </si>
  <si>
    <t>SERV. DE INSTAL/MONTAGEM DE POSTE PM037</t>
  </si>
  <si>
    <t>SERV. DE INSTAL/MONTAGEM TORRE TAS064</t>
  </si>
  <si>
    <t>SERV. DE INSTAL/MONTAGEM TORRE TAS063</t>
  </si>
  <si>
    <t>SERV. DE INSTAL/MONTAGEM TORRE TAS062</t>
  </si>
  <si>
    <t>SERV. DE INSTAL/MONTAGEM TORRE TAS061</t>
  </si>
  <si>
    <t>SERV. DE INSTAL/MONTAGEM TORRE TAS060</t>
  </si>
  <si>
    <t>SERV. DE INSTAL/MONTAGEM TORRE TAS059</t>
  </si>
  <si>
    <t>SERV. DE INSTAL/MONTAGEM TORRE TAS058</t>
  </si>
  <si>
    <t>SERV. DE INSTAL/MONTAGEM TORRE TAS057</t>
  </si>
  <si>
    <t>SERV. DE INSTAL/MONTAGEM TORRE TAS008</t>
  </si>
  <si>
    <t>SERV. DE INSTAL/MONTAGEM TORRE TAS007</t>
  </si>
  <si>
    <t>SERV. DE INSTAL/MONTAGEM TORRE TAS175</t>
  </si>
  <si>
    <t>SERV. DE INSTAL/MONTAGEM TORRE TAS174</t>
  </si>
  <si>
    <t>SERV. DE INSTAL/MONTAGEM TORRE TAS173</t>
  </si>
  <si>
    <t>SERV. DE INSTAL/MONTAGEM TORRE TAS172</t>
  </si>
  <si>
    <t>SERV. DE INSTAL/MONTAGEM TORRE TAS171</t>
  </si>
  <si>
    <t>SERV. DE INSTAL/MONTAGEM TORRE TAS170</t>
  </si>
  <si>
    <t>SERV. DE INSTAL/MONTAGEM TORRE TAS169</t>
  </si>
  <si>
    <t>SERV. DE INSTAL/MONTAGEM TORRE TAS120</t>
  </si>
  <si>
    <t>SERV. DE INSTAL/MONTAGEM TORRE TAS119</t>
  </si>
  <si>
    <t>SERV. DE INSTAL/MONTAGEM TORRE TAS118</t>
  </si>
  <si>
    <t>SERV. DE INSTAL/MONTAGEM TORRE TAS117</t>
  </si>
  <si>
    <t>SERV. DE INSTAL/MONTAGEM TORRE TAS116</t>
  </si>
  <si>
    <t>SERV. DE INSTAL/MONTAGEM TORRE TAS115</t>
  </si>
  <si>
    <t>SERV. DE INSTAL/MONTAGEM TORRE TAS114</t>
  </si>
  <si>
    <t>SERV. DE INSTAL/MONTAGEM TORRE TAS113</t>
  </si>
  <si>
    <t>SERV. DE INSTAL/MONTAGEM TORRE TAS314</t>
  </si>
  <si>
    <t>SERV. DE INSTAL/MONTAGEM TORRE TAS313</t>
  </si>
  <si>
    <t>SERV. DE INSTAL/MONTAGEM TORRE TAS232</t>
  </si>
  <si>
    <t>SERV. DE INSTAL/MONTAGEM TORRE TAS231</t>
  </si>
  <si>
    <t>SERV. DE INSTAL/MONTAGEM TORRE TAS230</t>
  </si>
  <si>
    <t>SERV. DE INSTAL/MONTAGEM TORRE TAS229</t>
  </si>
  <si>
    <t>SERV. DE INSTAL/MONTAGEM TORRE TAS228</t>
  </si>
  <si>
    <t>SERV. DE INSTAL/MONTAGEM TORRE TAS227</t>
  </si>
  <si>
    <t>SERV. DE INSTAL/MONTAGEM TORRE TAS226</t>
  </si>
  <si>
    <t>SERV. DE INSTAL/MONTAGEM TORRE TAS225</t>
  </si>
  <si>
    <t>SERV. DE INSTAL/MONTAGEM TORRE TAS176</t>
  </si>
  <si>
    <t>SERV. DE INSTAL/MONTAGEM TORRE TAS317</t>
  </si>
  <si>
    <t>SERV. DE INSTAL/MONTAGEM TORRE TAS316</t>
  </si>
  <si>
    <t>SERV. DE INSTAL/MONTAGEM TORRE TAS315</t>
  </si>
  <si>
    <t>SERV. DE INSTAL/MONTAGEM TORRE TAS336</t>
  </si>
  <si>
    <t>SERV. DE INSTAL/MONTAGEM TORRE TAS335</t>
  </si>
  <si>
    <t>SERV. DE INSTAL/MONTAGEM TORRETAS334</t>
  </si>
  <si>
    <t>SERV. DE INSTAL/MONTAGEM TORRE TAS333</t>
  </si>
  <si>
    <t>SERV. DE INSTAL/MONTAGEM TORRE TAS332</t>
  </si>
  <si>
    <t>SERV. DE INSTAL/MONTAGEM TORRE TAS331</t>
  </si>
  <si>
    <t>SERV. DE INSTAL/MONTAGEM TORRE TAS330</t>
  </si>
  <si>
    <t>SERV. DE INSTAL/MONTAGEM TORRE TAS329</t>
  </si>
  <si>
    <t>SERV. DE INSTAL/MONTAGEM TORRE TAS320</t>
  </si>
  <si>
    <t>SERV. DE INSTAL/MONTAGEM TORRE TAS319</t>
  </si>
  <si>
    <t>SERV. DE INSTAL/MONTAGEM TORRE TAS318</t>
  </si>
  <si>
    <t>SERV. CONSULTORIA EM SW SON INTUCELL</t>
  </si>
  <si>
    <t>SERVIÇO-ATIVAÇAO DE SW SON INTUCELL</t>
  </si>
  <si>
    <t>SERV.TREINAMENTO OTIMIZAÇAO SON INTUCELL</t>
  </si>
  <si>
    <t>LICENÇA DE SOFTWARE  INTUCELL - SCCR</t>
  </si>
  <si>
    <t>SERV DE INSTAL/JUMPEAM EQUIP-TRANSMIS-CE</t>
  </si>
  <si>
    <t>SERV CONFIGURAÇAO EM SW CIRC NA GERENCIA</t>
  </si>
  <si>
    <t>SERV PROJETO-SIST.DETEC ALARME INCENDIO</t>
  </si>
  <si>
    <t>SERV. DE INSTAL. SIST. ENERGIA AC/DC</t>
  </si>
  <si>
    <t>SERV. DE PROJETO SIST DE ENERGIA AC/DC</t>
  </si>
  <si>
    <t>SERV. DE INSTAL SISTEMA DE CLIMATIZAÇAO</t>
  </si>
  <si>
    <t>SERV. DE PROJETO SIST DE CLIMATIZAÇAO</t>
  </si>
  <si>
    <t>SERV INSTAL/COMISSION. EQUIP SIST IRRAD.</t>
  </si>
  <si>
    <t>SERV.  INSTALAÇAO MASTER DE FIBRA OPTICA</t>
  </si>
  <si>
    <t>SERV. DE PROJETO ENG RADIO FREQUENCIA</t>
  </si>
  <si>
    <t>LICENÇA SW PROTOCOLO GSM SS7MAP STRACK</t>
  </si>
  <si>
    <t>LICENÇA DE SW PROTOCOLO SS7M3UA 4</t>
  </si>
  <si>
    <t>LICENÇA DE SW PROTOCOLO SS7M3UA 256</t>
  </si>
  <si>
    <t>LICENÇA APLICATIVO DE SOFTWARE JASPER BI</t>
  </si>
  <si>
    <t>LICENÇA DE SW SISTEMA OPERACIONAL LINUX</t>
  </si>
  <si>
    <t>LICENÇA DE SW MYSQL SERVER PRO</t>
  </si>
  <si>
    <t>LICENÇA DE USO DE SOFTWARE JINNY</t>
  </si>
  <si>
    <t>SERV DE INSTALAÇÃO DE PROGRAMA ANTI SAPM</t>
  </si>
  <si>
    <t>LICENÇA DE SOFTWARE ORACLE ULA SGBD</t>
  </si>
  <si>
    <t>LICENÇA-USO DE SOFTWARE TECNOTREE NGM</t>
  </si>
  <si>
    <t>SERV. DE PRODUÇAO DE EVENTO SHOW MUSICAL</t>
  </si>
  <si>
    <t>SERV CONFIGURAÇAO SW ATV ANEL NODEB AT10</t>
  </si>
  <si>
    <t>SERV CONFIGURAÇAO SW ATIV LINK CAP-AT300</t>
  </si>
  <si>
    <t>LICENÇA DE USO DE SOFTWARE -SALPE</t>
  </si>
  <si>
    <t>SERV TEC EM TELEC ATIVAÇ LINK ANEL NODEB</t>
  </si>
  <si>
    <t>SERV TEC EM TELEC. ATIVAÇÃO LINK CAPACID</t>
  </si>
  <si>
    <t>SERV. DE PROJETO ENG. P/OBTEN.AVCB LOJAS</t>
  </si>
  <si>
    <t>LICENÇA DE USO DE SOFTWARE SON INTUCELL</t>
  </si>
  <si>
    <t>LICENÇA DE SOFTWARECAPESSO MULTI-TECH</t>
  </si>
  <si>
    <t>LICENÇA-USO DE SOFTWARE ARRAYWIZARD LTE</t>
  </si>
  <si>
    <t>SERV. DE GERENCIAMENTO / ADMINS. DE BENS</t>
  </si>
  <si>
    <t>SERV. DE CONSULTA / PESQUISA CADASTRAL</t>
  </si>
  <si>
    <t>MODERNIZAÇAO/RESTAURAÇAO DE ELEVADOR</t>
  </si>
  <si>
    <t>SERV. INSTAL.RADIO TRANSM. EM SIST.TELEC</t>
  </si>
  <si>
    <t>SERV CONSULT.INFORM. INTEGRAÇÃO/TEST MMS</t>
  </si>
  <si>
    <t>SERV. DE PLANEJAM/ENG RNC 20/54 PLACAS</t>
  </si>
  <si>
    <t>SERV. DE PLANEJAM/ENG RNC 10/20 PLACAS</t>
  </si>
  <si>
    <t>SERV. DE INSTALAÇAO RNC 20/54 PLACAS</t>
  </si>
  <si>
    <t>SERV. DE INSTALAÇAO RNC 10/20 PLACAS</t>
  </si>
  <si>
    <t>SERV DE REMOÇAO DE CABOS REMAN.  ANTENA</t>
  </si>
  <si>
    <t>SERV INSTAL/CORTE CABOS P/RED ALT ANTENA</t>
  </si>
  <si>
    <t>SERV DE INSTAL CABOS P/AUM DA ALT ANTENA</t>
  </si>
  <si>
    <t>SERV. DE INSTAL DE SUP Y ANTENA 3G MANT.</t>
  </si>
  <si>
    <t>SERV. INSTAL DE SUP. ANTENA 2G IND/MANT.</t>
  </si>
  <si>
    <t>SERV DE INSTAL DE SUPORTE ANTENA S/D GSM</t>
  </si>
  <si>
    <t>SERV. DE INSTAL DE ANTENA 2G HEX</t>
  </si>
  <si>
    <t>SERV.INSTALAÇAO/MOBIL.GAB.ENERGIA 21/30A</t>
  </si>
  <si>
    <t>SERV.INSTALAÇAO/MOBIL.GAB.ENERGIA 11/20A</t>
  </si>
  <si>
    <t>SERV. INSTALAÇAO/MOBIL.GAB.ENERGIA 4A</t>
  </si>
  <si>
    <t>SERV. DE INSTAL. DE SUPORTES DUPLO BAND</t>
  </si>
  <si>
    <t>SERV. DE PRODUÇAO DE VIDEO INSTITUCIONAL</t>
  </si>
  <si>
    <t>SERV. DE INSTALAÇAO DO SISTEMA WIFI</t>
  </si>
  <si>
    <t>SERV INSTALAÇAO SIST. DETEC. ALAR INCEN.</t>
  </si>
  <si>
    <t>SERV DE INSTAL .SIST. DE AUTOM SALAS/DAS</t>
  </si>
  <si>
    <t>SERV PROJETO DE SIST. DE AUTOM SALAS/DAS</t>
  </si>
  <si>
    <t>SERV TESTES DE COBERTURA DAS SIST IRRAD.</t>
  </si>
  <si>
    <t>SERV.OPERAÇAO ASSISTIDA/TECNICA DO DAS</t>
  </si>
  <si>
    <t>SERV. DE INSTAL/IMPLEMENTAÇÃO DO HPSA</t>
  </si>
  <si>
    <t>SERV. SUPORTE DE INF. EM SOFTWARE HPSA</t>
  </si>
  <si>
    <t>SERV. DE LICENÇA DE SOFTWARE DO HPSA</t>
  </si>
  <si>
    <t>SERV. DE EXCUÇÃO OBRA CIVIL PROJ ESTÁDIO</t>
  </si>
  <si>
    <t>SERV. REPARO/RET EM EQUIP SIST DAS P/EST</t>
  </si>
  <si>
    <t>SERV. DE REPARO/RET EM EQUIP IPOI P/EST.</t>
  </si>
  <si>
    <t>SERV INSTALAÇÃO DE SIST. DE CLIMATIZAÇÃO</t>
  </si>
  <si>
    <t>SERV DE INSTALAÇÃO DE SIST. DE AUTOMAÇÃO</t>
  </si>
  <si>
    <t>SERV. INSTALAÇÃO DE SIST. DE ENERCIA(DC)</t>
  </si>
  <si>
    <t>SERV. INSTALAÇÃO DE SIST. DE ENERCIA(AC)</t>
  </si>
  <si>
    <t>SERV DE GERENCIAMENTO DE PROJETO ESTÁDIO</t>
  </si>
  <si>
    <t>SERVIÇO DE ASSISTENCIA TECNICA DO SIST.</t>
  </si>
  <si>
    <t>SERV TEC EM TELECOM NA MANUT CAMP CORRET</t>
  </si>
  <si>
    <t>SERV LIC. SOFTWARE SIST DE SUPEV E MONT.</t>
  </si>
  <si>
    <t>SERV. DE INSTAL DE PLACAS RNC EM COMUTAC</t>
  </si>
  <si>
    <t>LICENÇA DE USO DE SOFTWARE MINITAB 16</t>
  </si>
  <si>
    <t>LICENÇA DE USO SOFTWARE LABEL MATRIX</t>
  </si>
  <si>
    <t>SERV.DE ATENDIMENTO AO CLIENTE-CALLINK</t>
  </si>
  <si>
    <t>SERV 15.14</t>
  </si>
  <si>
    <t>SERV TEC TELEC PLACA CONV ETHERNET LSY</t>
  </si>
  <si>
    <t>LICENÇA DE USO DE SOFTWARE WEBSENSE</t>
  </si>
  <si>
    <t>SERV. INSTALAÇÃO DE PLACAS INTERF. 1 VIS</t>
  </si>
  <si>
    <t>SERV. INSTALAÇÃO DE PLACAS INTERF.  ADC</t>
  </si>
  <si>
    <t>SERV. INSTALAÇÃO DE PLACAS INTERF. 2 VIS</t>
  </si>
  <si>
    <t>SERV. TEC. EM TELEC. JANELA DE MIGRAÇ.</t>
  </si>
  <si>
    <t>SERV. TEC. EM TELEC. ATIVAÇÃO CIRC. 2VIS</t>
  </si>
  <si>
    <t>SERV. TEC. EM TELEC. ATIVAÇÃO EQUIP. SEQ</t>
  </si>
  <si>
    <t>SERV INSTAL. DE PLACA EM EQUIP TRKM1004U</t>
  </si>
  <si>
    <t>SERV INSTAL. DE PLACA EM EQUIP TRKM5004U</t>
  </si>
  <si>
    <t>SERV INSTAL DE PLACA EM EQUIP TRKM30004U</t>
  </si>
  <si>
    <t>SERV INSTAL DE PLACA EM EQUIP TRKM10021U</t>
  </si>
  <si>
    <t>SERV INSTAL DE PLACA EM EQUIP TRKM50021U</t>
  </si>
  <si>
    <t>SERV INSTAL DE PLACA EQUIP. TRKM300021U</t>
  </si>
  <si>
    <t>SERV. ELABORAÇÃO DE PROJET ENG. P/EQUIP.</t>
  </si>
  <si>
    <t>SERV. TEC. EM TELEC. ALTERAÇÃO NOM.ESTAÇ</t>
  </si>
  <si>
    <t>SERV. TEC. EM TELECOM OTIMIZ REDE 3G TRI</t>
  </si>
  <si>
    <t>SERV INSTAL EQUIP.BAST COMUT INTERF COMB</t>
  </si>
  <si>
    <t>SERV DE INSTAL/CONFIG.BSC/SWITCH/RNC</t>
  </si>
  <si>
    <t>SERVIÇO DE ASSISTENCIA/SUPOR TECNICO JMJ</t>
  </si>
  <si>
    <t>SERVIÇO DE ASSISTENCIA/SUPOR TECNICO CDC</t>
  </si>
  <si>
    <t>SERV. ASSIST. TECNICA PRE-AVAL. CDC&amp;JMJ</t>
  </si>
  <si>
    <t>SERV. TEC. EM TELECOM EXT.GAR. SIST. DAS</t>
  </si>
  <si>
    <t>SERV TEC EM TELECOM SUPORTE TEC ADCN1&amp;N2</t>
  </si>
  <si>
    <t>SERV TEC EM TELEC SUPORTE TECN SIST. DAS</t>
  </si>
  <si>
    <t>SERV DE INSTALAÇÃO DE INFRAESTRUTURA</t>
  </si>
  <si>
    <t>SERV. DESINSTAL./INSTAL.EQUIP VIDEO CONF</t>
  </si>
  <si>
    <t>SERV ATUALIZ/MANUT SE W11B PARA W12B RNC</t>
  </si>
  <si>
    <t>SERV ATUALIZAÇÃO W11B PARA W12B NODEB</t>
  </si>
  <si>
    <t>SERV ATUALIZAÇÃO W11B PARA W12B RXI</t>
  </si>
  <si>
    <t>SERV IMPL/CONF. LICENÇA SW OPC. W12B RNC</t>
  </si>
  <si>
    <t>SERV IMPL/CONF LICENÇA SW OPC W12B NODEB</t>
  </si>
  <si>
    <t>SERV IMPL/CONF. LICENÇA SW OPC. W12B RXI</t>
  </si>
  <si>
    <t>SERV LICENÇA DE SOFTWARE BASICO W12B RNC</t>
  </si>
  <si>
    <t>SERV LICENÇA SOFTWARE BASICO W12B NODEB</t>
  </si>
  <si>
    <t>SERV LICENÇA DE SOFTWARE BASICO W12B RXI</t>
  </si>
  <si>
    <t>SERV LICENÇA DE SOFTWARE OPCION.W12B RNC</t>
  </si>
  <si>
    <t>SERV LICENÇA SOFTWARE OPCION. W12B NODEB</t>
  </si>
  <si>
    <t>SERV. LICENÇA SOFTWARE OPCIONAL W12B RXI</t>
  </si>
  <si>
    <t>SERV LICENÇA USO SW SCG SUP 10000 T SGOA</t>
  </si>
  <si>
    <t>SERV LICENÇA DE USO SW SCG SUP 100R WIFI</t>
  </si>
  <si>
    <t>LIC.SW-SISTEMA DE ARMAZENAMENTO HP 3PAR</t>
  </si>
  <si>
    <t>LIC.SW-RELATÓRIOS SIST. ARMAZ.HP 3PAR</t>
  </si>
  <si>
    <t>LIC.SW-REDHAT LINUX ENTERPRISE 2 SOCKETS</t>
  </si>
  <si>
    <t>LICENÇA DE SW HP SERVICEGUARD FOR LINUX</t>
  </si>
  <si>
    <t>LICENÇA SW ELETRONICA DATA PROTECTOR</t>
  </si>
  <si>
    <t>LICENCA DE SW SMSGW INTERFACE SMPP (200)</t>
  </si>
  <si>
    <t>LICENCA DE SW TRAFEGO SMS GATEWAY (1MPS)</t>
  </si>
  <si>
    <t>LICENCA SOFTWARE PLATAFORMA SMS GATEWAY</t>
  </si>
  <si>
    <t>LICENÇA DE SOFTWARE SCG 10000 TUNEL SG0A</t>
  </si>
  <si>
    <t>LICENÇA DE SOFTWARE SCG 100 RUCKUS WIFI</t>
  </si>
  <si>
    <t>LICENÇA SOFTWARE SMSC 1-250 MDA (1MDA)</t>
  </si>
  <si>
    <t>LICENÇA SOFTWARE SMSC 501-1000 MDA(1MDA)</t>
  </si>
  <si>
    <t>LICENÇA SOFTWARE SMSC 251-500 MDA (1MDA)</t>
  </si>
  <si>
    <t>LICENCA SOFTWARE INTERFACE MAX</t>
  </si>
  <si>
    <t>SERV. TEC. ELETR MANUT CERCA ELET ENGEN.</t>
  </si>
  <si>
    <t>SERV. TEC. EM ELETR MANUT CERCA ELET ADM</t>
  </si>
  <si>
    <t>SERV. CONF. FAIXA CARTAZ ADES. RD VAREJO</t>
  </si>
  <si>
    <t>SERV ADMIN. NA INSPEÇAO DE RISCOS P/SEG.</t>
  </si>
  <si>
    <t>SERV. DE INSTALAÇAO DE GAB ENERGIA4A LTE</t>
  </si>
  <si>
    <t>SERV INSTAL DE GABIN. ENERGIA 11/20A LTE</t>
  </si>
  <si>
    <t>SERV INSTAL DE GABIN. ENERGIA 21/30A LTE</t>
  </si>
  <si>
    <t>SERV PROJETO E VISTORIA DE RF AVUL LTE</t>
  </si>
  <si>
    <t>SERV PROJETO VISTORIA DE INFRA AVUL LTE</t>
  </si>
  <si>
    <t>SERV. ELAB. PROJETO  PRE DE INST(PPI)LTE</t>
  </si>
  <si>
    <t>SERV INSTAL ELETR GAB ENERGIA ELTEK LTE</t>
  </si>
  <si>
    <t>SERV FISCALIZ/VISTORIA IMP SITE C/RF_LTE</t>
  </si>
  <si>
    <t>SERV. ELABORAÇAO DE PROJETO RF(QRF)_LTE</t>
  </si>
  <si>
    <t>SERV. ELABORAÇAO PROJETO CELULA (CDD)LTE</t>
  </si>
  <si>
    <t>SERV. ELABORAÇAO DE PROJETO DE SITAR_LTE</t>
  </si>
  <si>
    <t>SERV DE EXPANSAO ROTA E1 MULTIVENDER_LTE</t>
  </si>
  <si>
    <t>SERV DE EXPANSAO ROTA ETHERNET MULTV_LTE</t>
  </si>
  <si>
    <t>SERV EXPAN. ROTA DUAL STACK(E1+ETH)M_LTE</t>
  </si>
  <si>
    <t>SERV PROJ EXECUT DE ENG -NO/AC/RO/MT LTE</t>
  </si>
  <si>
    <t>SERV DE SUP. TEC P/IMPL SOLUÇAO DATAPROT</t>
  </si>
  <si>
    <t>SERV DE SUP.TEC P/IMPL SOLUÇAO SERVGUARD</t>
  </si>
  <si>
    <t>SERVIÇO DE INSTALAÇAO LH ACIMA DE 6+1</t>
  </si>
  <si>
    <t>SERVIÇO DE INSTALAÇAO LH DE 4+1 A 6+1</t>
  </si>
  <si>
    <t>SERVIÇO DE INSTALAÇAO LHR ATE 3+1</t>
  </si>
  <si>
    <t>SERVIÇO DE INSTALAÇAO  SH  ACIMA 6 PES</t>
  </si>
  <si>
    <t>SERVIÇO DE INSTALAÇAO SH ATE 6 PES</t>
  </si>
  <si>
    <t>SERVIÇO DE INSTALAÇAO SH ATE 2 PES</t>
  </si>
  <si>
    <t>SERVIÇO PRELIMINAR INSTALAÇAO RADIO</t>
  </si>
  <si>
    <t>SERVIÇO DE FILMAGEM DE EVENTO</t>
  </si>
  <si>
    <t>SERV.MANUTENÇAO JARDIM EM SITE  -REGULAR</t>
  </si>
  <si>
    <t>SERV. CONSULTORIA TECNICA TELECOM OMR</t>
  </si>
  <si>
    <t>SERV. IMPLEMENT. TRANSF. DA REDE 2G P/3G</t>
  </si>
  <si>
    <t>LICENÇA DE USO DE SOFTWARE OFFICE HOME</t>
  </si>
  <si>
    <t>SERV. ENG. REVISAO DE LAUDO ESTRUTURAL</t>
  </si>
  <si>
    <t>SERV.  ENG. ELABORAÇAO DE LAUDO ESTRUT.</t>
  </si>
  <si>
    <t>SERV. INSTAL DE BTS EM RACK FMFA P/FCOA</t>
  </si>
  <si>
    <t>SERV DE IMPLAT.DE SIST DE SUPERV. OPTICA</t>
  </si>
  <si>
    <t>LICENÇA-USO DE SOFTWARE EXTREME SUMMIT</t>
  </si>
  <si>
    <t>LICENÇA-USO DE SOFTWARE CHARGING SYSTEM</t>
  </si>
  <si>
    <t>SERV MANUT. E CONSERV. PRED. POS VANDAL.</t>
  </si>
  <si>
    <t>LICENÇA DE SW CHANNEL ELEMENT PAYG</t>
  </si>
  <si>
    <t>SERV CONFIG EM SW COMPLEX ALTA IBM/CISCO</t>
  </si>
  <si>
    <t>SERV CONFIG EM SOFT COMPLEX MED SO CISCO</t>
  </si>
  <si>
    <t>SERV. CONFIG/IMPLEM. SOFTWARE- INST.SIST</t>
  </si>
  <si>
    <t>SERV. LICENÇA DE USO DE SOFTWARE TEMIP</t>
  </si>
  <si>
    <t>SERV.INTERMEDIAÇAO/NEGOCIAÇAO DE IMOVEL</t>
  </si>
  <si>
    <t>LICENÇA DE SOFTWARE NEMO HANDY A</t>
  </si>
  <si>
    <t>SERV PROJ/ LAUDO DE PERFORMANCE POR SITE</t>
  </si>
  <si>
    <t>SERV. LICENÇA DE USO DE SOFTWARE ROAMFIX</t>
  </si>
  <si>
    <t>SERV. CONSULTORIA ENG. P/REDE FEMTOCELL</t>
  </si>
  <si>
    <t>SERV. CONSULTORIA NA OPER. RED FEMTOCELL</t>
  </si>
  <si>
    <t>SERV. DE TREINAMENTO DA TECNOL FEMTOCELL</t>
  </si>
  <si>
    <t>SERV IMPL/INTEG REDE TELEC PLAT OSSFEMTO</t>
  </si>
  <si>
    <t>SERV INSTAL/COMISSION. PLAT NMS FEMTO 3G</t>
  </si>
  <si>
    <t>SERV INSTAL/COMISSION. PLATAF.REDE SeCGW</t>
  </si>
  <si>
    <t>SERV INSTAL/COMISSION. REDE CORE FEMTO</t>
  </si>
  <si>
    <t>SERV DE INSTAL/COMISSION. ERB FEMTOCELL</t>
  </si>
  <si>
    <t>SERV PROJETO RF DESIGN TELECOM FEMTOCELL</t>
  </si>
  <si>
    <t>SERV. LICENÇA DE USO DE SOFTWARE PRS</t>
  </si>
  <si>
    <t>SERV. LIC SOFTWARE INTERFACE SRO-SAGRE</t>
  </si>
  <si>
    <t>SERV. TEC. TELECOM.-SUP. TEC. DA REDE</t>
  </si>
  <si>
    <t>SERV.ENGENHARIA REVISAO LAUDO ESTRUTURAL</t>
  </si>
  <si>
    <t>SERV.ENGENHARIA ELABOR.LAUDO ESTRUTURAL</t>
  </si>
  <si>
    <t>SERV INST/COMIS. ENB C/SI S/PREL. HIBR2T</t>
  </si>
  <si>
    <t>LIC. USO DE SOFTWARE QLIKVIEW PDF REPORT</t>
  </si>
  <si>
    <t>LIC. USO DE SOFTWARE QLIKVIEW PUBLISHER</t>
  </si>
  <si>
    <t>LICENÇA DE USO DE SOFTWARE VOICE PORTAL</t>
  </si>
  <si>
    <t>LICENÇA DE SOFTWARE CENTRAL TELECOM-M16</t>
  </si>
  <si>
    <t>LICENÇA DE SOFTWARE CENTRAL TELECOM-M15</t>
  </si>
  <si>
    <t>LICENCIAMENTO DE FILMES P/AÇAO FIDELIZAÇ</t>
  </si>
  <si>
    <t>SERV.MANUTENÇAO DE EQUIPT. HQ/LOJAS</t>
  </si>
  <si>
    <t>SERV.LIMP. E MANUTENÇ. PREDIAL HQ/LJOJAS</t>
  </si>
  <si>
    <t>SERVIÇO DE CHAVEIRO P/ LOJAS</t>
  </si>
  <si>
    <t>SERVIÇO DE COMISSIONAMENTO</t>
  </si>
  <si>
    <t>SERV EST/LAUDOS INVESTIGAÇAO DE PROBLEMA</t>
  </si>
  <si>
    <t>LICENÇA DE USO DE SW NXCLIENT T.  ATIVOS</t>
  </si>
  <si>
    <t>LICENÇA DE USO DE SW N X DROID</t>
  </si>
  <si>
    <t>LICENÇA DE USO DE SW IXRAYOLUS</t>
  </si>
  <si>
    <t>LICENÇA DE USO SW/INTEGR. TEC. LTE-NXWEB</t>
  </si>
  <si>
    <t>LICENÇA DE USO DE SW NXMIRROR-100PR/200P</t>
  </si>
  <si>
    <t>LICENÇA DE USO DE SW NXSERVER-100A/200P</t>
  </si>
  <si>
    <t>SERV. CONFIG EM SOFT COMPLEX BX/SO CISCO</t>
  </si>
  <si>
    <t>SERV DE CONFIG EM SOFTWAR/PON SO/CPN/IOS</t>
  </si>
  <si>
    <t>SERV DE FISC/VISTORIA ERB TELE FEMTOCELL</t>
  </si>
  <si>
    <t>SERV. MANUT/SUPOR. TEC. EQUIP. INFR. BKP</t>
  </si>
  <si>
    <t>SERV CONSULTORIA EM INF P/EMIS RELT. GER</t>
  </si>
  <si>
    <t>SERV CONSULTORIA EM INFO P/EXPSN AMB BKP</t>
  </si>
  <si>
    <t>SERV LICENÇA DE USO SOFT STORAGE VNX5100</t>
  </si>
  <si>
    <t>SERV. LICENÇA DE USO SOFTW BKP#NETVUALT</t>
  </si>
  <si>
    <t>SERV. DE MANUT E CONSERV PREDIAL-CONBRAS</t>
  </si>
  <si>
    <t>SERV 07.10.01</t>
  </si>
  <si>
    <t>SERV. ANALISE TECNICA -AVAL. DE IMOVEL</t>
  </si>
  <si>
    <t>SERV CONFIGURAÇAO/MELH. SOFTWARE VIGIA</t>
  </si>
  <si>
    <t>SERV. DE LICENÇA DE USO SW EXP.DO VIGIA</t>
  </si>
  <si>
    <t>SERV. MANUT. DE SOFTWARE PORTAL CAUTIVO</t>
  </si>
  <si>
    <t>SERV. AN/DESENV. SW P/ADAPT PORT.CAUTIVO</t>
  </si>
  <si>
    <t>SERV. LICENÇA DE USO SW  PORTAL CAUTIVO</t>
  </si>
  <si>
    <t>SERVIÇO - IMPLANTAÇAO DE  SRA 4</t>
  </si>
  <si>
    <t>SERV.IMPLANT. PDH 1.2m 8.5GHz 16E1 1+1de</t>
  </si>
  <si>
    <t>SERV.IMPLANT. PDH 1.2m 15GHz 16E1 1+1HSB</t>
  </si>
  <si>
    <t>EXPANSAO DE ENERGIA - IMPLANTAÇAO</t>
  </si>
  <si>
    <t>SERV CONF EM SOFTW P/ATIVAÇÃO REM. LIC.</t>
  </si>
  <si>
    <t>SERV TEC EM TELEC P/INTEG ME3600X-4T1E1</t>
  </si>
  <si>
    <t>SERV TEC EM TELEC P/INTEG ME3600X-16T1E1</t>
  </si>
  <si>
    <t>MONTAGEM  DE EQUIPTO( EXT BTS 2GAB)</t>
  </si>
  <si>
    <t>MONTAGEM  DE EQUIPTO( EXT BTS ATE 3TRX)</t>
  </si>
  <si>
    <t>MONTAGEM  DE EQUIPTO  (ANTENNA SYS)</t>
  </si>
  <si>
    <t>MONT. EQUIPTO (BTS 1GAB CONFIG INICIAL)</t>
  </si>
  <si>
    <t>SERV INFRAEST REUSO SITE RT LTE S/TSSPPI</t>
  </si>
  <si>
    <t>SERV INFRAEST REUSO SITE GF LTE S/TSSPPI</t>
  </si>
  <si>
    <t>SERV. LIMP.E MANUT.PREDIAL LOJAS-CONBRAS</t>
  </si>
  <si>
    <t>SERV CONFIG DE LICENÇA PORTA E1 RD IPRAN</t>
  </si>
  <si>
    <t>LICENÇA DE USO DE SOFTWARE R42 ADICIONAL</t>
  </si>
  <si>
    <t>LICENÇA DE USO DE SOFTWARE R42 CGNAT</t>
  </si>
  <si>
    <t>SERV LICENÇA DE SW WAREHOUSE NODE</t>
  </si>
  <si>
    <t>SERV LICENÇA DE SW WAREHOUSE HD-DAC</t>
  </si>
  <si>
    <t>SERV LICENÇA DE SW SERIES 4S HEAD UNIT</t>
  </si>
  <si>
    <t>SERV LIC. SW SECURITY ANALYTICS HYBRID</t>
  </si>
  <si>
    <t>SERV PROJETO TELECOM TUNNING LTE S/QRF</t>
  </si>
  <si>
    <t>SERV TECNICO TELECOM IMPL/CONF LTE S/QRF</t>
  </si>
  <si>
    <t>SERV TECNICO TELECOM DESIGN RF LTE S/QRF</t>
  </si>
  <si>
    <t>SERV ADEQUAÇAO SITE GREENFIELD S/PPI/TSS</t>
  </si>
  <si>
    <t>SERV ADEQUAÇÃO SITE ROOF TOP S/PPI/TSS</t>
  </si>
  <si>
    <t>SERV ESTUDO COB./IMPL.SITE DUAL S/QRF</t>
  </si>
  <si>
    <t>SERV ESTUDO COB./IMPL.SITE SINGLE S/QRF</t>
  </si>
  <si>
    <t>SERV INST/ATIV. 2a PORTADORA RRU S/QRF</t>
  </si>
  <si>
    <t>SERV. DE LICENÇA DE USO DE SW  BC387AAE</t>
  </si>
  <si>
    <t>SERV LICENÇA DE USO SW A1L28AAE - RHEV</t>
  </si>
  <si>
    <t>LICENÇA DE SW - ACL  AX DASHBOARD</t>
  </si>
  <si>
    <t>SERV. DE PROJETO/EST.ALTER. DE ID NODE B</t>
  </si>
  <si>
    <t>ALUGUEL DE EQUIPAMENTOS-ENGENHARIA</t>
  </si>
  <si>
    <t>SERV IMPLEM REDE TELEC. FULL IP P/ NODEB</t>
  </si>
  <si>
    <t>SERV PROJ/PLANEJ MIG. FULL IP PARA NODEB</t>
  </si>
  <si>
    <t>SERV TEC. EM TELEC ANALISE CAP. RD 2G/3G</t>
  </si>
  <si>
    <t>LICENÇA DE USO DE SOFTWARE PLUGIN</t>
  </si>
  <si>
    <t>SERV.LICENÇA DE USO DE SOFTWARE ARCGIS</t>
  </si>
  <si>
    <t>SERV EXPLORAÇAO LOCAIS P/ REAL. EVENTOS</t>
  </si>
  <si>
    <t>SERV TEC EM TELECOM SUP. ROTEADOR 22600</t>
  </si>
  <si>
    <t>SERV DE INSTAL/COMIS. ROTEADOR PTS 22600</t>
  </si>
  <si>
    <t>SERV.LICENÇA DE USO DE SOFTWARE ODA</t>
  </si>
  <si>
    <t>LOCAÇAO DE ESPAÇO EM SHOPPING</t>
  </si>
  <si>
    <t>SERV.ADMINISTRAÇAO-TICKET CAR.COMBUST.</t>
  </si>
  <si>
    <t>SERV.LIC.SW.BSC-PACOTE CARACTERISTICAS</t>
  </si>
  <si>
    <t>SERV.LIC.SW.BSC-CCCH EXTENDIDO</t>
  </si>
  <si>
    <t>SERV.LIC.SW.BSC-COORDENAÇAO DE PAGING</t>
  </si>
  <si>
    <t>SERV.LIC.SW.BSC-SINALIZAÇAO TRANSPORTE</t>
  </si>
  <si>
    <t>SERV.LIC.SW.BSC-PAGING PRECISO</t>
  </si>
  <si>
    <t>SERV.LIC.SW.BSC-PCU2 POOLING</t>
  </si>
  <si>
    <t>SERV.LIC.SW.BSC-ADAPTAÇAO DE RECURSOS</t>
  </si>
  <si>
    <t>SERV LICENÇA DE SW OPCIONALV2 W12B NODEB</t>
  </si>
  <si>
    <t>SERV CONFIG.IMP SW OPCIONALV2 W12B NODEB</t>
  </si>
  <si>
    <t>SERV. CADASTRO/INFORM. ATUALIZAÇAO SITAR</t>
  </si>
  <si>
    <t>SERV. CONFECÇAO E APLICAÇAO DE ADESIVO</t>
  </si>
  <si>
    <t>SERV. TEC. EM TELECOM. LAUDO RNI-ANATEL</t>
  </si>
  <si>
    <t>SERV. DE INSTAL. DE SOFTW. FERRAM SEGUR.</t>
  </si>
  <si>
    <t>SERV. SUPORTE EM INFOMATICA EM SW MENS.</t>
  </si>
  <si>
    <t>SERV. LICENÇA DE SW OPCIONAL_V2 W12B RXI</t>
  </si>
  <si>
    <t>SERV IMPLANT. LICENÇA SW OPC_V2 W12B RXI</t>
  </si>
  <si>
    <t>SERV. LICENÇA DE SW OPCIONAL_V2 W12B RNC</t>
  </si>
  <si>
    <t>SERV IMPLANT. LICENÇA SW OPC_V2 W12B RNC</t>
  </si>
  <si>
    <t>SERV ATEND AO CLIENTE CALL C.COMBO MULTI</t>
  </si>
  <si>
    <t>SERV SUPORTE INFORMATICA DESATIV LJ MEGS</t>
  </si>
  <si>
    <t>SERV SUPORTE INFORMATICA DESATIV LJ GR.</t>
  </si>
  <si>
    <t>SERV SUPORTE INFORMATICA DESATIV LJ MED.</t>
  </si>
  <si>
    <t>SERV SUPORTE INFORMATICA DESATIV LJ PEQ.</t>
  </si>
  <si>
    <t>SERV DE SUPORTE INFORMATICA ATIV LJ MEGS</t>
  </si>
  <si>
    <t>SERV DE SUPORTE INFORMATICA ATIV LJ GR.</t>
  </si>
  <si>
    <t>SERV DE SUPORTE INFORMATICA ATIV LJ MED.</t>
  </si>
  <si>
    <t>SERV DE SUPORTE INFORMATICA ATIV LJ PEQ.</t>
  </si>
  <si>
    <t>SERV CONSULTORIA EM INFORM. EXP AMB. RSA</t>
  </si>
  <si>
    <t>SERV SUPORTE TEC INF NO M2000 (ATAE) 2 A</t>
  </si>
  <si>
    <t>SERV INST/CONF SIST SERV.M2000ATAE/V890S</t>
  </si>
  <si>
    <t>SERV DE SERRALHERIA NA MANUT PORTA AUTOM</t>
  </si>
  <si>
    <t>SERV DE INSTALAÇAO DE TELAO C/ACABAMENTO</t>
  </si>
  <si>
    <t>SERV. DE INSTALAÇAO DE TELAO COM CONFIG.</t>
  </si>
  <si>
    <t>SERV ENGENHARIA P/RBS INDOOR TSS+QRF+PPI</t>
  </si>
  <si>
    <t>LICENÇA DE SOFTWARE 5000IPS (8+0) C/XPIC</t>
  </si>
  <si>
    <t>LICENÇA DE SOFTWARE 5000IPS (6+0) C/DIV</t>
  </si>
  <si>
    <t>LICENÇA DE SOFT. COL-TRAFSLAV-D1000-2000</t>
  </si>
  <si>
    <t>SERV. LAUDOS TECNICOS PROSP IMOVEIS-ENG</t>
  </si>
  <si>
    <t>SERV LICENÇA SW BAS. WCDMA/WIFI RBS6401</t>
  </si>
  <si>
    <t>SERV DE INSTALAÇAO/INTEG SOFTW. RBS 6401</t>
  </si>
  <si>
    <t>LICENÇA USO SOFTW.-CGV500R006 PDP</t>
  </si>
  <si>
    <t>LICENÇA USO SOFTW.-SAU USNV900R012 SGSN</t>
  </si>
  <si>
    <t>SERV. DE CONFIG. ACOMP/TESTE E ATIV. API</t>
  </si>
  <si>
    <t>SERVICO DE INSTALAÇAO DE SOFTWARE API</t>
  </si>
  <si>
    <t>SERV.AGENCIAM.CONT.ARTISTA P/CAMP.PUBLIC</t>
  </si>
  <si>
    <t>SERV 10.03</t>
  </si>
  <si>
    <t>SERV. DE ARTISTA P/CAMP.PUBLICITARIA</t>
  </si>
  <si>
    <t>SERV.SERRALHERIA P/MANUT.PORTA AUTOMAT.</t>
  </si>
  <si>
    <t>SERV.LIC.SOFTWARE-PACOTE CEMOND DEMAND</t>
  </si>
  <si>
    <t>SERV DE SUPORTE INFORMATICA CONS.ON SITE</t>
  </si>
  <si>
    <t>SERV. LICENÇA DE USO SOFTWARE ACTIXONE</t>
  </si>
  <si>
    <t>SERV LICENÇA DE SW RNC FEAT 3G FAST DORM</t>
  </si>
  <si>
    <t>SERV TEC.TELECOM RNC ATIV FEAT FAST DORM</t>
  </si>
  <si>
    <t>CERT.LIC.SOFTW.HP 3PAR 7200  SUITE DRIV</t>
  </si>
  <si>
    <t>ASSESSORIA P/RENOVAÇAO-CONTRATO LOCAÇAO</t>
  </si>
  <si>
    <t>SERV INST DE ANT PAINEL 9DBI BANDA LARGA</t>
  </si>
  <si>
    <t>SERV INST DE ANT PAINEL 7DBI BANDA LARGA</t>
  </si>
  <si>
    <t>SERV INST DE ANT PAINEL 5DBI BANDA DUPLA</t>
  </si>
  <si>
    <t>SERV INST DE ANT OMNI 5,8DBI BANDA LARGA</t>
  </si>
  <si>
    <t>SERV INST. DE ANT OMNI 4DBI BANDA LARGA</t>
  </si>
  <si>
    <t>SERV INST. DE ANT OMNI 2DBI BANDA LARGA</t>
  </si>
  <si>
    <t>SERV C.CIVIL INST. CABO 1. 5/8" APARENTE</t>
  </si>
  <si>
    <t>SERV DESEN.TEC. DIAGRAMAÇAO DE PISO ELEV</t>
  </si>
  <si>
    <t>LICENÇA DE SOFTWARE CIS DATACENTER</t>
  </si>
  <si>
    <t>LICENÇA DE SOFTW. SYSCENTER DATACENTER</t>
  </si>
  <si>
    <t>LICENÇA DE SOFTW. ACESSO CLIENTE OF.365</t>
  </si>
  <si>
    <t>LICENÇA DE SOFTW.WINDOWS PRO W/MDOP</t>
  </si>
  <si>
    <t>LICENÇA DE USO DE SOFT. WINSERVER UPG</t>
  </si>
  <si>
    <t>LICENÇA DE USO DE SOFT. SYSCENTER UPG</t>
  </si>
  <si>
    <t>LICENÇA DE USO DE SOFTWARE OFFICE365  P3</t>
  </si>
  <si>
    <t>LICENÇA DE USO DE SOFTWARE OFFICE365  P1</t>
  </si>
  <si>
    <t>LICENÇA DE SOFTWARE SQL SERVER STD CORE</t>
  </si>
  <si>
    <t>LICENÇA SOFT.IBM-GERENC.REGRAS E0AI1LL</t>
  </si>
  <si>
    <t>LICENÇA SOFT.IBM-GERENC.REGRAS D0G80LL</t>
  </si>
  <si>
    <t>LICENÇA SOFTWARE CEMOD-ROAMING INSIGHTS</t>
  </si>
  <si>
    <t>LICENÇA SOFTWARE CEMOD-CUSTOMES EXP.</t>
  </si>
  <si>
    <t>LICENÇA SOFTWARE CEMOD-SERVICE QUALITY</t>
  </si>
  <si>
    <t>SERV C CIVIL INST SPLIT. 1:3 BANDA LARGA</t>
  </si>
  <si>
    <t>SERV C CIVIL INST ANTENAS OMNI IND 3DBI</t>
  </si>
  <si>
    <t>SERV C. CIVIL INST ANTENA DIRETIVA 17DBI</t>
  </si>
  <si>
    <t>SERV C. CIVIL INST ANTENA DIRETIVA 14DBI</t>
  </si>
  <si>
    <t>SERV C. CIVIL INST CABO 1/2"APARENTE</t>
  </si>
  <si>
    <t>LICENÇA DE SOFTWARE O&amp;M - CEM</t>
  </si>
  <si>
    <t>SERV SUP INF SOL ODA ADIC. AGENTE ECMS</t>
  </si>
  <si>
    <t>SERV DE DESENVOLVIMENTO SW AGENTE ECMS</t>
  </si>
  <si>
    <t>SERV LIC. SW. SOLUÇAO ODA AGENTE ECMS</t>
  </si>
  <si>
    <t>SERV. PROJETO EXECUTIVO LTE- NO/AC/RO/MT</t>
  </si>
  <si>
    <t>SERV INSTALAÇAO/MOBIL LTE GAB.ENERGIA 4A</t>
  </si>
  <si>
    <t>SERV INSTAL/MOBIL LTE GAB.ENERGIA 11/20A</t>
  </si>
  <si>
    <t>SERV INSTAL/MOBIL LTE GAB.ENERGIA 21/30A</t>
  </si>
  <si>
    <t>SERV INSTAL ELET LTE GAB ENERGIA ELTEK</t>
  </si>
  <si>
    <t>SERV INSTAL ELET LTE GAB ENERGIA SIEMENS</t>
  </si>
  <si>
    <t>LICENÇA SOFTWARE ROAMING CAPSETTLE</t>
  </si>
  <si>
    <t>LICENÇA DE SOFTWARE SQL SERVER ENT CORE</t>
  </si>
  <si>
    <t>LICENÇA DE SOFTWARE CAL-CLIENT ACCESS</t>
  </si>
  <si>
    <t>SERV.SUP.INF.CONFIG.PLATAFORMA CDRVIEW</t>
  </si>
  <si>
    <t>SERV C. CIVIL INST CABO 1/2" FORRO REM</t>
  </si>
  <si>
    <t>SERV C. CIVIL INST CABO 1/2" FORRO GESSO</t>
  </si>
  <si>
    <t>SERV C CIVIL INST JUMP. 3M CONEC N MACHO</t>
  </si>
  <si>
    <t>SERV C. CIVIL INST DE DIPLEXER (B DUPLA)</t>
  </si>
  <si>
    <t>SERV C. CIVIL INST TAPPER -1 E-5DB(BL)</t>
  </si>
  <si>
    <t>SERV C. CIVIL INST. SPLITTER 1:2 (BL)</t>
  </si>
  <si>
    <t>LICENÇA DE USO DE SOFTWARE-STRATEC</t>
  </si>
  <si>
    <t>SERV TEC. TELEC.GEREN DO CEM OFFICE-NWOP</t>
  </si>
  <si>
    <t>SERV TEC. TELEC SUPORTE OP.ADOÇAO DO CEM</t>
  </si>
  <si>
    <t>SERV TEC TELEC SUPORTE OP. AUDIT.E PRIOR</t>
  </si>
  <si>
    <t>SERV TEC TELEC SUP OP AJUS.CEI / KICKOFF</t>
  </si>
  <si>
    <t>SERV TEC EM TELECOM. OTIMIZ. ADOÇAO CEM</t>
  </si>
  <si>
    <t>SERV. TEC TELEC.OTIMIZ. AJUST CEI/KICKOF</t>
  </si>
  <si>
    <t>SERV TEC TELEC OTIMIZ. ADM&amp;QUAL.DADO E2E</t>
  </si>
  <si>
    <t>SERV TEC TELEC OTIMIZ. INTF GN MULTIVEND</t>
  </si>
  <si>
    <t>SERV TEC TELEC OTIMIZ. INTF LUPS MULTIV</t>
  </si>
  <si>
    <t>SERV TEC TELEC OTIMIZ. INTF GB MULTIV</t>
  </si>
  <si>
    <t>SERV TEC TELEC OTIMIZ. INTF LUCS MULTIV</t>
  </si>
  <si>
    <t>SERV TEC TELECOM OTIMIZ. INTF A MULTIV</t>
  </si>
  <si>
    <t>SERV TEC TELECOM OTIMIZ. NE TRAFFICA NSN</t>
  </si>
  <si>
    <t>SERV TEC EM TELECOM OTIMIZ. OSS/CRM</t>
  </si>
  <si>
    <t>SERV TEC TELECOM OTIMIZ. COMISS. DE SW.</t>
  </si>
  <si>
    <t>SERV C.CIVIL INST. CABO 7/8" APARENTE</t>
  </si>
  <si>
    <t>SERV C.CIVIL INST. CABO 7/8" FORRO REMOV</t>
  </si>
  <si>
    <t>SERV C.CIVIL INST. CABO 7/8" FORRO GESSO</t>
  </si>
  <si>
    <t>SERV C.CIVIL INST. DE ATENUADOR 30DB</t>
  </si>
  <si>
    <t>SERV C.CIVIL INST. DE ATENUADOR 20DB</t>
  </si>
  <si>
    <t>SERV C.CIVIL INST. DE ATENUADOR 10DB</t>
  </si>
  <si>
    <t>SERV C.CIVIL INST. DE CARGA 2W</t>
  </si>
  <si>
    <t>SERV C.CIVIL INST. DE CARGA 50W</t>
  </si>
  <si>
    <t>SERV C.CIVIL INST. DE CARGA 20W</t>
  </si>
  <si>
    <t>SERV INST DE SPLIT 1:4 BANDA LARGA 100W</t>
  </si>
  <si>
    <t>SERV INST. JUMPER 3M COM CONECT N MACHO</t>
  </si>
  <si>
    <t>SERV INST DE TAPPER -1 E -7DB BANDA LARG</t>
  </si>
  <si>
    <t>SERV INST. DE SPLITTER 1:4 (BANDA LARGA)</t>
  </si>
  <si>
    <t>SERV C.CIVIL INST ANT PARABOLICA 20DBI</t>
  </si>
  <si>
    <t>SERV C.CIVIL INST. DE ANT PAINEL 11DBI</t>
  </si>
  <si>
    <t>SERV ELABORAÇAO PROJETO DE RF LTE (QRF)</t>
  </si>
  <si>
    <t>SERV ELABORA. PROJETO PREL INST LTE-PPI</t>
  </si>
  <si>
    <t>SERV VISTORIA IMPLANTAÇAO LTE (TI+CW)TSS</t>
  </si>
  <si>
    <t>SERV CONF. GRAFICAS P/MALA DIR FID CLIEN</t>
  </si>
  <si>
    <t>SERV INSTAL/REM. EQUIP TRX TELECOM</t>
  </si>
  <si>
    <t>SOFTWARE EMC UNISPHERE VNX5800 SAS EXP</t>
  </si>
  <si>
    <t>SOFTWARE EMC-UNISPHERE BLOCK SUITE</t>
  </si>
  <si>
    <t>SOFTWARE DO AMBIENTE OPERACIONAL EMC</t>
  </si>
  <si>
    <t>SOFTWARE DE OTIMIZAÇAO FAST SUITE EMC</t>
  </si>
  <si>
    <t>LICENÇA SOFTWARE -  EMC  CAPACIDADE TB</t>
  </si>
  <si>
    <t>SERV. LICENÇA DE USO SW DOCUMENT VNX5800</t>
  </si>
  <si>
    <t>SERV LICENÇA USO IP-20 SL 1588 TAN CLOCK</t>
  </si>
  <si>
    <t>SERV LICENÇA USO IP-20 SL 1588 BOU CLOCK</t>
  </si>
  <si>
    <t>SERV LICENÇA USO IP-20 SL - MIMO por ODU</t>
  </si>
  <si>
    <t>SERV LICENÇA DE USO IP-20SL SECURE MANAG</t>
  </si>
  <si>
    <t>SERV LICENÇA DE USO IP-20 SL-ACM por ODU</t>
  </si>
  <si>
    <t>SERV LICENÇA DE USO IP-20 SL -XPIC P/ODU</t>
  </si>
  <si>
    <t>SERV LICENÇA DE USO IP-20 SL ETH OAM-MON</t>
  </si>
  <si>
    <t>SERV LICENÇA DE USO IP-20 SL ETH OAM-FAL</t>
  </si>
  <si>
    <t>SERV LICENÇA DE USO IP-20 SL BUFFER AVAN</t>
  </si>
  <si>
    <t>SERV LICENÇA DE USO IP-10IDU METRO SWITH</t>
  </si>
  <si>
    <t>SERV LICENÇA DE USO IP-10 IDU RESILENCIA</t>
  </si>
  <si>
    <t>SERV LICENÇA DE USO IP-10 IDU COMP. CAB</t>
  </si>
  <si>
    <t>SERV LICENÇA DE USO ETHERNET NO WASYSIDE</t>
  </si>
  <si>
    <t>SERV LICENÇ USO XPAND IP ACM 512A2048QAM</t>
  </si>
  <si>
    <t>SERV LICEN USO XPAND IPROUTER OSPT/RIP/S</t>
  </si>
  <si>
    <t>SERV LIC USO IP-20SL HEADER DE-DUP P/ODU</t>
  </si>
  <si>
    <t>SERV DE LICENÇA DE USO IP-20 SL-PORTA GE</t>
  </si>
  <si>
    <t>SERV DE LICENÇA DE USO IP-20 SL-PORTA FE</t>
  </si>
  <si>
    <t>SERV DE LICENÇA DE USO IP-10 IDU CAPAll</t>
  </si>
  <si>
    <t>SERV DE LICENÇA DE USO IP-10 IDU 16E1</t>
  </si>
  <si>
    <t>SERV DE LICENÇA DE USO ETHERNET NO XPAND</t>
  </si>
  <si>
    <t>SERV. DE LICENÇA DE USO IP-10 IDU SYNC.</t>
  </si>
  <si>
    <t>SERV. DE LICENÇA DE USO IP-10 IDU QOS</t>
  </si>
  <si>
    <t>SERV. DE LICENÇA DE USO IP-10 IDU ACM</t>
  </si>
  <si>
    <t>SERV LICENÇA USO IP-20SL 1588 ORDI CLOCK</t>
  </si>
  <si>
    <t>SERV LICENÇA USO XPAND IPCONNECT FPERGIC</t>
  </si>
  <si>
    <t>SERV LICENÇA USO XPAND IP160 AT M PERODU</t>
  </si>
  <si>
    <t>SERV LICENÇA USO XPAND IP  GIC REDUNDANC</t>
  </si>
  <si>
    <t>SERV LICENÇA USO XPAND IP SNMPV3 A HTTPS</t>
  </si>
  <si>
    <t>SERV LICENÇA USO XPAND IP PROV BRIDP/GIC</t>
  </si>
  <si>
    <t>SERV LICENÇA USO XPAND 300M POR ODU56MHz</t>
  </si>
  <si>
    <t>SERV LICENÇA USO UPGRADE 80-100M P/ODU</t>
  </si>
  <si>
    <t>SERV LICENÇA USO UPGRADE 150-300M P/ ODU</t>
  </si>
  <si>
    <t>SERV LICENÇA USO IP-20SL SMART-PIPE MODE</t>
  </si>
  <si>
    <t>SERV LICENÇA USO IP-20 SL-MC-ABC P/ODU</t>
  </si>
  <si>
    <t>SERV LICENÇA USO IP-20 SL FRAME CUT-THhr</t>
  </si>
  <si>
    <t>SERV LICENÇA USO IP-20 SL EDGE-CET-NODE</t>
  </si>
  <si>
    <t>SERV LICENÇA USO IP-20 SL CAP 500M P/ODU</t>
  </si>
  <si>
    <t>SERV LICENÇA USO IP-20 SL CAP 350M P/ODU</t>
  </si>
  <si>
    <t>SERV LICENÇA USO IP-20 SL CAP 300M P/ODU</t>
  </si>
  <si>
    <t>SERV LICENÇA USO IP-20 SL CAP 250M P/ODU</t>
  </si>
  <si>
    <t>SERV LICENÇA USO IP-20 SL CAP 200M P/ODU</t>
  </si>
  <si>
    <t>SERV. LICENÇA USO UPG DE 100-150M P/ODU</t>
  </si>
  <si>
    <t>SERV. LICENÇA USO IP-20 SL-MAIN CARD RED</t>
  </si>
  <si>
    <t>SERV. LICENÇA USO IP-20 SL AGG-LVL-2-CET</t>
  </si>
  <si>
    <t>SERV. LICENÇA USO IP-20 SL AGG-LVL-1-CET</t>
  </si>
  <si>
    <t>SERV. LICENÇA DE USO IP-20 SL NEWT RESIL</t>
  </si>
  <si>
    <t>SERV. LICENÇA DE USO IP-20 SL  SYNC UNIT</t>
  </si>
  <si>
    <t>SERV. LICENÇA DE USO IP-10 IDU CP350Mbps</t>
  </si>
  <si>
    <t>SERV. LICENÇA DE USO IP-10 IDU CP100Mbps</t>
  </si>
  <si>
    <t>SERV. LICENÇA DE USO IP-10 IDU CAP-32 E1</t>
  </si>
  <si>
    <t>SERV. DE LICENÇA DE USO XPIC POR ODU</t>
  </si>
  <si>
    <t>SERV. DE LICENÇA DE USO XPAND IP ACM 512</t>
  </si>
  <si>
    <t>SERV. DE LICENÇA DE USO XPAND IP - SYNCE</t>
  </si>
  <si>
    <t>SERV. DE LICENÇA DE USO SW 80M POR ODU</t>
  </si>
  <si>
    <t>SERV. DE LICENÇA DE USO SW 150M POR ODU</t>
  </si>
  <si>
    <t>SERV. DE LICENÇA DE USO SW 100M por ODU</t>
  </si>
  <si>
    <t>SERV. DE LICENÇA DE USO NE NETMASTER</t>
  </si>
  <si>
    <t>SERV. DE LICENÇA DE USO IP-20 SL - H-QoS</t>
  </si>
  <si>
    <t>SERV PROJT EXT ROTAS 2G/3G ROUDATA-BDRAF</t>
  </si>
  <si>
    <t>SERV EXTEN REDE P/INST RAD ENLACE AC500K</t>
  </si>
  <si>
    <t>SERV OTIMIZAÇAO INDOOR AC 6RF TRANSMIS.</t>
  </si>
  <si>
    <t>SERV OTIMIZAÇAO INDOOR AT 6RF TRANSMIS.</t>
  </si>
  <si>
    <t>SERV OTIMIZAÇAO INDOOR AT 3RF TRANSMIS.</t>
  </si>
  <si>
    <t>SERV OTIMIZAÇAO SPLIT ANT. AC 6 PES</t>
  </si>
  <si>
    <t>SERV OTIMIZAÇAO SPLIT ANT. AT 6 PES</t>
  </si>
  <si>
    <t>SERV OTIMIZAÇAO SPLIT ANT. AT 2 PES</t>
  </si>
  <si>
    <t>SERV. PROJ/CONF-MIGRAÇAO TRAF RD/MUX/ROT</t>
  </si>
  <si>
    <t>SERV INST SIST IRRAD-OUTDOOR ANT AC.6P</t>
  </si>
  <si>
    <t>SERV INST SIST IRRAD-OUTDOOR ANT AT.6P</t>
  </si>
  <si>
    <t>SERV INST SIST IRRAD-OUTDOOR ANT AT.2P</t>
  </si>
  <si>
    <t>SERV DE INSTAL/CONF CAP. INDOOR AC 4RF</t>
  </si>
  <si>
    <t>SERV DE INSTAL/CONF CAP. INDOOR AT 4RF</t>
  </si>
  <si>
    <t>SERV DE INSTAL/CONF CAP. INDOOR AT 3RF</t>
  </si>
  <si>
    <t>SERV INST SIST IRRAD-INDOOR 8RF OU/AC</t>
  </si>
  <si>
    <t>SERV INST SIST IRRAD-INDOOR ANT AC 6P</t>
  </si>
  <si>
    <t>SERV INST SIST IRRAD-INDOOR ANT AT 6P</t>
  </si>
  <si>
    <t>SERV DE INSTAL E CONF CAP. P/ENLACE</t>
  </si>
  <si>
    <t>SERV INST S.IRRAD UPGRADE CAPAC/CONF ENL</t>
  </si>
  <si>
    <t>SERV INST SIST IRRAD-SPLIT ANT. AC 6 PES</t>
  </si>
  <si>
    <t>SERV INST SIST IRRAD-SPLIT ANT. AT 6 PES</t>
  </si>
  <si>
    <t>SERV INST SIST IRRAD-SPLIT ANT. AT 2 PES</t>
  </si>
  <si>
    <t>SERV. DE INSTALAÇAO DE IDU 4 P/ENLACE</t>
  </si>
  <si>
    <t>SERV. DE INSTALAÇAO DE IDU 3 P/ENLACE</t>
  </si>
  <si>
    <t>SERV. DE INSTALAÇAO DE IDU 2 P/ENLACE</t>
  </si>
  <si>
    <t>SERV. DE INSTALAÇAO DE IDU 1 P/ENLACE</t>
  </si>
  <si>
    <t>SOFTWARE DE INTEGRAÇAO DE FIREWALL</t>
  </si>
  <si>
    <t>SERV. DE GERENC. DE PROJ ENGENHARIA 3G</t>
  </si>
  <si>
    <t>SERV. DE MIGRAÇAO ETHERNET DE NODE B LTE</t>
  </si>
  <si>
    <t>SERV.-EXAME/ANALISE DE DADOS CADASTRAIS</t>
  </si>
  <si>
    <t>SERV INST SENSOR INFRAV/ALAR SON TELECOM</t>
  </si>
  <si>
    <t>SERV INST. RT PLAT P/ANTENA FORA DO TOPO</t>
  </si>
  <si>
    <t>SERV INST. GF PLAT P/ANTENA FORA DO TOPO</t>
  </si>
  <si>
    <t>SERV ADEQ INFRA ENG RT PROJ RURAL REUSO</t>
  </si>
  <si>
    <t>SERV ADEQ INFRA ENG GF PROJ RURAL REUSO</t>
  </si>
  <si>
    <t>SERV CONFIG OSS BALANCEA. CARGA CLUSTERS</t>
  </si>
  <si>
    <t>SERV PLANEJAMENTO DE REDE PROJ RURAL</t>
  </si>
  <si>
    <t>SERV GERENCIAMENTO ACESSO PROJ RURAL</t>
  </si>
  <si>
    <t>SERV IMPL/INSTAL DE SITE NOVO EM TELECOM</t>
  </si>
  <si>
    <t>SERV. SUP. INF. SOLUÇAO ODA</t>
  </si>
  <si>
    <t>SERV. CONFIG. INF.SOLUÇAO ODA</t>
  </si>
  <si>
    <t>SERV ASSES. E GERENCIAM SITES TIPO RURAL</t>
  </si>
  <si>
    <t>SERV. LOCAÇAO/PERMISSAO DE USO DE POSTES</t>
  </si>
  <si>
    <t>SERV. LOCAÇAO/PERMISSAO DE USO DE FIBRAS</t>
  </si>
  <si>
    <t>SERV LOCAÇAO/PERMISSAO USO DE POSTES-EBT</t>
  </si>
  <si>
    <t>MULTA P/AT.PAG. DE COMPART.FIBRAS/POSTES</t>
  </si>
  <si>
    <t>JUROS P/AT.PAG. DE COMPART.FIBRAS/POSTES</t>
  </si>
  <si>
    <t>SERV LOCAÇAO/PERMISSAO USO DE FIBRAS-EBT</t>
  </si>
  <si>
    <t>SERV. DE PROJETO/GERENCIAMENTO PROJ. CEM</t>
  </si>
  <si>
    <t>SERVIÇO DE PROJETO DE ANALISE DA SOLUÇAO</t>
  </si>
  <si>
    <t>SERV FISC/VISTORIA COBER/CAP.AR N/ERCIS</t>
  </si>
  <si>
    <t>SERV FISC/VISTORIA P/COBERTURA/CAPACID.</t>
  </si>
  <si>
    <t>SERV.TEC.TELEC. P/ INSTAL/COMISS.</t>
  </si>
  <si>
    <t>SERV. DE PRE PROJETO DE INFRAESTRUTURA</t>
  </si>
  <si>
    <t>SERV DE PROJETO EXECUTIVO DE RF-MODELO 1</t>
  </si>
  <si>
    <t>LICENÇA SOFTWARE GERENCIA HARMONY H800</t>
  </si>
  <si>
    <t>LICENÇA SOFTWARE GERENCIA TR H TRUNK</t>
  </si>
  <si>
    <t>LICENÇA  SOFTWARE RELEASE H TRUNK</t>
  </si>
  <si>
    <t>SERVIÇO LICENÇA DE SOFTWARE BSC 6900</t>
  </si>
  <si>
    <t>SERV. PROJ. PLANEJ. EXPANS. DE RNC NP2GE</t>
  </si>
  <si>
    <t>SERV.ELABORAÇAO MATERIAL DE TREINAMENTO</t>
  </si>
  <si>
    <t>SERV EXECUÇAO SIST ENERGIA ENTRADA DE AC</t>
  </si>
  <si>
    <t>SERV. CONSTRUÇAO DE ANEL DE ATERRAMENTO</t>
  </si>
  <si>
    <t>SERV. DE INFRAESTRUTURA EXTERNA COMPLETA</t>
  </si>
  <si>
    <t>SERV. LICENÇA USO SOFTW. VNC VIEWER PLUS</t>
  </si>
  <si>
    <t>SERV EXPANSAO INTERF. RADIO UPGRADE MOD3</t>
  </si>
  <si>
    <t>SERV EXPANSAO INTERF. RADIO UPGRADE MOD2</t>
  </si>
  <si>
    <t>SERV EXPANSAO INTERF. RADIO UPGRADE MOD1</t>
  </si>
  <si>
    <t>SERV EXPANS/INST RADIO UPGRADE FULL IND6</t>
  </si>
  <si>
    <t>SERV EXPANS/INST RADIO UPGRADE FULL IND5</t>
  </si>
  <si>
    <t>SERV EXPANS/INST RADIO UPGRADE FULL IND4</t>
  </si>
  <si>
    <t>SERV INSTAL DE RADIO UPGRADE FULL INDOR4</t>
  </si>
  <si>
    <t>SERV INSTAL DE RADIO UPGRADE FULL INDOR3</t>
  </si>
  <si>
    <t>SERV EXPANSAO/INST RADIO UPGRADE SPLIT 4</t>
  </si>
  <si>
    <t>SERV EXPANSAO/INST RADIO UPGRADE SPLIT 3</t>
  </si>
  <si>
    <t>SERV. PROJ. VISTORIA SITE P/PDH + INFRAE</t>
  </si>
  <si>
    <t>SERV OTIMIZAÇAO DE REDE TELEC COPA M. SP</t>
  </si>
  <si>
    <t>SERV OTIMIZAÇAO DE REDE TELEC COPA M. RS</t>
  </si>
  <si>
    <t>SERV OTIMIZAÇAO DE REDE TELEC COPA M. RJ</t>
  </si>
  <si>
    <t>LICENÇA SOFTWARE WAYSIDE RFCOH H TRUNK</t>
  </si>
  <si>
    <t>LICENÇA SOFTWARE  WAYSIDE SOH H TRUNK</t>
  </si>
  <si>
    <t>LICENÇA  SW 2A CONTROLADORA H TRUNK</t>
  </si>
  <si>
    <t>LICENÇA  SW ADAP MODULATION H TRUNK</t>
  </si>
  <si>
    <t>LICENÇA  SOFTW. MOD FIXA SELEC. H TRUNK</t>
  </si>
  <si>
    <t>LICENÇA SOFT. EXTRA POWER +2dB H TRUNK</t>
  </si>
  <si>
    <t>LICENÇA  DE SOFTWARE XPIC H TRUNK</t>
  </si>
  <si>
    <t>LICENÇA  DE SOFTWARE DIVERSIDADE H TRUNK</t>
  </si>
  <si>
    <t>LICENÇA DE SOFTWARE HP +3dB H trunk</t>
  </si>
  <si>
    <t>SERV PROJETO ENG FEATURE N.4156 ECT MSS</t>
  </si>
  <si>
    <t>SERV DE CONFIG SW FEATURE N.4156 ECT MSS</t>
  </si>
  <si>
    <t>SERV DE CONFIG SW FEATURE N.1477 STA MSS</t>
  </si>
  <si>
    <t>SERV INST.DIVISOR POTÊNCIA 2:1 AT10 SITE</t>
  </si>
  <si>
    <t>SERV. LICENÇA DE SW DRIVER ARMAZ HDLM</t>
  </si>
  <si>
    <t>SERV. LICENÇA DE SW HDLM P/A UNID ARMAZ</t>
  </si>
  <si>
    <t>SERV. LICENÇA DE SW ANTIVIRUS</t>
  </si>
  <si>
    <t>SERV. LICENÇA DE SW SIST.OP.SUSE LINUX</t>
  </si>
  <si>
    <t>SERV. LICENÇA DE SW NEWSTART HA V3.0</t>
  </si>
  <si>
    <t>SERV. LICENÇA DE SW DE BANCO DE DADOS</t>
  </si>
  <si>
    <t>SERV. CONSULTORIA E ASSESSORIA TRADE MKT</t>
  </si>
  <si>
    <t>SERV SUP.TEC. INST SW AUD ROAM CS/PSCORE</t>
  </si>
  <si>
    <t>SERV. SUPORTE TEC/CONFIG REMOTA DE SOFTW</t>
  </si>
  <si>
    <t>SERV. LICENÇA USO SOFTWARE FEMTO RAN GW</t>
  </si>
  <si>
    <t>SERV TEC TELEC MON QUAL.REDE ROAMING INT</t>
  </si>
  <si>
    <t>SERV. COMPILAÇAO E FORNECIMENTO DE DADOS</t>
  </si>
  <si>
    <t>SERV. LICENÇA DE USO SW. FAP8101,8 CALLS</t>
  </si>
  <si>
    <t>SERV. LICENÇA DE USO SW. FAP8131,8 CALLS</t>
  </si>
  <si>
    <t>SERV. LICENÇA DE USO SW AIV RANGW PAYG</t>
  </si>
  <si>
    <t>LICENÇA SOFTW.RECRUT.SELEÇAO E.HUNTER</t>
  </si>
  <si>
    <t>LICENÇA DE USO DE SOFTWARE VHE-VMCC</t>
  </si>
  <si>
    <t>SOFTWARE ANTI FRAUDE - ROAM POLICY</t>
  </si>
  <si>
    <t>SERV INSTAL. E COMISS. DE SITES GSM E 3G</t>
  </si>
  <si>
    <t>SERV.DE REPARO EM EQUIP. SITE TIPO COW</t>
  </si>
  <si>
    <t>LICENCA DE SOFTWARE RAN SHARING PACKAGE</t>
  </si>
  <si>
    <t>SERV MANUTENÇAO SOFTW. CAPACID.LINKS IPN</t>
  </si>
  <si>
    <t>SERV MANUTENÇAO/EXPANS SOFTW NONO DIGITO</t>
  </si>
  <si>
    <t>SERV. MANUTENÇAO/EXPANS SOFTW LINKS WSMS</t>
  </si>
  <si>
    <t>SERV. MANUTENÇAO DE SOFTW REL. UPGRADE</t>
  </si>
  <si>
    <t>SERV PESQUISA E DESENV. PROJ. LJ PRÓPRIA</t>
  </si>
  <si>
    <t>SERV RECONFIGURAÇÃO SW EM CAM.MACRO 3000</t>
  </si>
  <si>
    <t>SERV CONFIG ATIVID. LÓGICA/REM. SER.6000</t>
  </si>
  <si>
    <t>SERV. PROJETO ENG. IBS PARQUE OLIMPICO</t>
  </si>
  <si>
    <t>SERV. PROJETO ENGENHARIA IBS MARACANÃ</t>
  </si>
  <si>
    <t>SERV. PROJETO DE ENGENHARIA IBS OTHERS</t>
  </si>
  <si>
    <t>SERV SUPORTE INF./CUST.PLAT CDRVIEW G.RD</t>
  </si>
  <si>
    <t>SERV CONSULT INF. AVAL CH. PROJ CONCATEN</t>
  </si>
  <si>
    <t>SERV EXAM TEC TEST DRIVE C/AVAL QL. REDE</t>
  </si>
  <si>
    <t>SERV.PROJ.ARQUIT.CONTRUÇAO DE REFEITORIO</t>
  </si>
  <si>
    <t>SERV LICENÇA DE USO SOFTW. CONT.TREINAM.</t>
  </si>
  <si>
    <t>SERV. TEC. EM TELECOM OPERAÇÃO ASSISTIDA</t>
  </si>
  <si>
    <t>SERV TEC. EM TELECOM ON SITE POR CHAMADO</t>
  </si>
  <si>
    <t>SERV TEC EM TELECOM INST.PLATAFORMA NGIN</t>
  </si>
  <si>
    <t>SERV. LICENÇA DE SW DE PROTOCOLO MAP</t>
  </si>
  <si>
    <t>SERV. LICENÇA DE SW SOFTWARE SIP</t>
  </si>
  <si>
    <t>SERV. LICENÇA DE SWSUPORTE ROAMING INTER</t>
  </si>
  <si>
    <t>SERV. LICENÇA DE SWDEPURAÇÃO ROAMING INT</t>
  </si>
  <si>
    <t>SERV. LICENÇA DE SW SOFTWARE SMAP</t>
  </si>
  <si>
    <t>SERV. LICENÇA DE SW SOFTWARE SERVICO OAM</t>
  </si>
  <si>
    <t>SERV. LICENÇA DE SW SW DE CONTROLE NGIN</t>
  </si>
  <si>
    <t>SERV. LICENÇA DE SW SW DE GEREN.NGIN</t>
  </si>
  <si>
    <t>SERV. LICENÇA DE SW P/SERVIDOR WEB</t>
  </si>
  <si>
    <t>SERV. LICENÇA DE SW DE SERVIDOR DE CDR</t>
  </si>
  <si>
    <t>SERV. LICENÇA DE SW SERVIDOR INTERFACES</t>
  </si>
  <si>
    <t>SERV. LICENÇA DE SW DE PROTOCOLO CAMEL2</t>
  </si>
  <si>
    <t>SERV. TEC. TELECOM. TESTES SPLT/SITE SUR</t>
  </si>
  <si>
    <t>SERV LIC.USO SW SITE CENT. PROBES JDSU</t>
  </si>
  <si>
    <t>SERV. LICENÇA DE USO SOFTWARE TX BASICO</t>
  </si>
  <si>
    <t>SERV. DE CONFIG/UPGRADE DE SW BASIC. TX</t>
  </si>
  <si>
    <t>SERV. LICENÇA DE SW SERVICO SERVIDOR WEB</t>
  </si>
  <si>
    <t>SERV. LICENÇA DE SWCOMUN.INTERFACE BOSS</t>
  </si>
  <si>
    <t>SERV. LICENÇA DE SW SERV INTERFACE BOSS</t>
  </si>
  <si>
    <t>SERV. LICENÇA DE SW DO SISTEMA SIU</t>
  </si>
  <si>
    <t>SERV. LICENÇA DE SW DE ADM DO SIU</t>
  </si>
  <si>
    <t>SERV. LICENÇA DE SW PROCES DE SINAL SS7</t>
  </si>
  <si>
    <t>SERV. LICENÇA DE SW PROCES SINAL SIGTRAN</t>
  </si>
  <si>
    <t>SERV. LICENÇA DE SW SS7 2M P/LINK</t>
  </si>
  <si>
    <t>SERV. LICENÇA DE SW SINAL SS7 (1TPS)</t>
  </si>
  <si>
    <t>SERV. LICENÇA DE SW PACOTE SW BASIC ATCA</t>
  </si>
  <si>
    <t>SERV. LICENÇA DE SW MONITORAMENTO ATCA</t>
  </si>
  <si>
    <t>SERV. LICENÇA DE SWSERV DE IN CHAM EMERG</t>
  </si>
  <si>
    <t>SERV. LICENÇA DE SW LOC DA POLICIA</t>
  </si>
  <si>
    <t>SERV. LICENÇA DE SW IMPORT DO ARQ D INFO</t>
  </si>
  <si>
    <t>SERV. LICENÇA DE SW CDR GRAVAÇÃO DE INFO</t>
  </si>
  <si>
    <t>SERV. LICENÇA DE SW ESTATISTICA SERV</t>
  </si>
  <si>
    <t>SERV. LICENÇA DE SW SERV DE IN P.O SMS</t>
  </si>
  <si>
    <t>SERV. LICENÇA DE SW SW DE INTERFACE SMS</t>
  </si>
  <si>
    <t>SERV. SUPOR TEC. INFORMAT/MANUT SOL ODA</t>
  </si>
  <si>
    <t>LICENÇA DE USO DE SOFTWARE SSH SERVER</t>
  </si>
  <si>
    <t>SERVIÇOS MEDICOS - MEDICINA OCUPACIONAL</t>
  </si>
  <si>
    <t>SERV ATUALIZ DE SOFTWARE BAS MSS13B MSC</t>
  </si>
  <si>
    <t>SERV ATUALIZ DE SOFTWARE BAS MSS13B MGW</t>
  </si>
  <si>
    <t>SERV ATUALIZ DE SOFTWARE BAS MSS13B HLR</t>
  </si>
  <si>
    <t>SERV ATUALIZ DE SOFTWARE BASICO W13B RNC</t>
  </si>
  <si>
    <t>SERV ATUALIZ DE SOFTWARE BASIC W13B  RXI</t>
  </si>
  <si>
    <t>SERV ATUALIZ DE SOFTWARE BASI W13B NODEB</t>
  </si>
  <si>
    <t>SERV TEC. EM TELEC. CONFIG. PLATAF. NGIN</t>
  </si>
  <si>
    <t>SERV. TECNICO EM TELECOM PRE-AVAL COPA</t>
  </si>
  <si>
    <t>SERV. TECNICO EM TELECOM SUP. TEC. COPA</t>
  </si>
  <si>
    <t>SERV ELABOR/DESENV PROG CURSO E-LEARNING</t>
  </si>
  <si>
    <t>SERV. DE INSTALAÇÃO/MOBIL DE RACK TRAU</t>
  </si>
  <si>
    <t>SERV. LICENÇA DE USO SOFTWARE BASICO BSS</t>
  </si>
  <si>
    <t>SERV. LICENÇA USO SOFTWARE OPCIONAL BSS</t>
  </si>
  <si>
    <t>SERV ATUALIZAÇÃO DE SOFTWARE BASICO BSS</t>
  </si>
  <si>
    <t>SERV IMPLANT/INST SOFTWARE OPCIONAL BSS</t>
  </si>
  <si>
    <t>SERV TEC EM TELEC. IMPL P/FUNC. PDC08770</t>
  </si>
  <si>
    <t>SERV ANAL/DESENV.P/INTEG. SW ARRAYWIZARD</t>
  </si>
  <si>
    <t>SERV. ANAL./DESENV.P/IMPL. SW VIRT.SIST.</t>
  </si>
  <si>
    <t>SERV. ASSES. DE IMPRENSA C/PROD DE FOTOG</t>
  </si>
  <si>
    <t>SERV. DE ENG.TESTE VISIBILIDADE C/BALÃO</t>
  </si>
  <si>
    <t>SERV.ATEND.CLIENTE-CALL CENTER RELACION.</t>
  </si>
  <si>
    <t>SERV DE AUDITORIA DE CERTIF. INDICADORES</t>
  </si>
  <si>
    <t>lLICENÇA DE USO DE SOFTWARE WINSSHD</t>
  </si>
  <si>
    <t>SERV PROCESSAM. DADOS TR. RECARG. ONLINE</t>
  </si>
  <si>
    <t>LICENÇA DE SOFT. INSIGHT CONTROL BUNDLE</t>
  </si>
  <si>
    <t>SERV PROJ ENG P/IMPLANT PAGING COORD/BSC</t>
  </si>
  <si>
    <t>SERV PROJ ENG P/IMPL. SRA&amp;PCU POOL / BSC</t>
  </si>
  <si>
    <t>LICENÇA SOFTWARE BASICO MSS13B MSC</t>
  </si>
  <si>
    <t>LICENÇA SOFTWARE BASICO MSS13B MGW</t>
  </si>
  <si>
    <t>LICENÇA SOFTWARE BASICO MSS13B HLR</t>
  </si>
  <si>
    <t>LICENÇA SOFTWARE BASICO W13B RNC</t>
  </si>
  <si>
    <t>LICENÇA SOFTWARE BASICO W13B RXI</t>
  </si>
  <si>
    <t>LICENÇA SOFTWARE BASICO W13B NODEB</t>
  </si>
  <si>
    <t>SERV ANALISE SIST P/EVOLUÇÃO PLAT REMEDY</t>
  </si>
  <si>
    <t>SERV LIC. DE USO SW IC_AD2_02 DASH.AVANC</t>
  </si>
  <si>
    <t>SERV LIC DE USO SW IC_AD2_00 DASH.AV.INC</t>
  </si>
  <si>
    <t>SERV TEC EM TELECOM COMIS.COW GSM 3G/LTE</t>
  </si>
  <si>
    <t>SERV. TEC. EM TELECOM PROJ. NOVO DIGITO</t>
  </si>
  <si>
    <t>SERV INSTAL DE SW DO PROJ GEST. STORAGE</t>
  </si>
  <si>
    <t>SERV DE CONSULTORIA EM INFOR. ATIV. CICC</t>
  </si>
  <si>
    <t>SERV INSTAL.CENT. 1.2 FAP BASICO 2 STD</t>
  </si>
  <si>
    <t>SERV. INSTAL CENT 2 VIST FAP SITE SURVEY</t>
  </si>
  <si>
    <t>SERV. INSTAL CENT. 2 FAB ESCOPO COMPLETO</t>
  </si>
  <si>
    <t>SERV. INSTAL CENT. 2 CPT FAP ADC M. AMB.</t>
  </si>
  <si>
    <t>SERV INSTAL E COMIS DA FAP PT ENT SEG 1M</t>
  </si>
  <si>
    <t>PARCERIA P/ FIDELIZAÇAO CLIENTE-GRUBSTER</t>
  </si>
  <si>
    <t>PARCERIA P/FIDELIZAÇAO DE CLIENTE-99TAXI</t>
  </si>
  <si>
    <t>SERV. TEC EM TELECOM COMISSION. COW GSM</t>
  </si>
  <si>
    <t>SERV. DE INTEGRACAO DE OSS FEMTO-CONSULT</t>
  </si>
  <si>
    <t>SERV DE INSTAL CENT 1.1 FAP BASICO 1 STD</t>
  </si>
  <si>
    <t>SERV INSTAL E COMIS FEMTO SIST GER 3G 1M</t>
  </si>
  <si>
    <t>SERV. DE INSTALACAO FEMTO FAP RE VISITA</t>
  </si>
  <si>
    <t>SERV. DE INSTALACAO DE FEMTO ADC 100KM</t>
  </si>
  <si>
    <t>SERV. DE INSTALACAO DE FEMTO ADC 200KM</t>
  </si>
  <si>
    <t>SERV. DE INSTALACAO DE FEMTO ADC 300KM</t>
  </si>
  <si>
    <t>SERV. TEC. EM TELECOM IMP. RAN SHAR. MSS</t>
  </si>
  <si>
    <t>SERV. DE PROJETO ENG RAN SHAR. MSS</t>
  </si>
  <si>
    <t>SERV TEC EM TELECOM IMP RAN SHAR. NODEB</t>
  </si>
  <si>
    <t>SERV. DE MANUTENÇAO DE SOFTWARE LIC. IRM</t>
  </si>
  <si>
    <t>SERV. DE MANUTENÇAO DE SOFTWARE LIC. IPN</t>
  </si>
  <si>
    <t>SERV. DE MANUTENÇAO DE SOFTWARE LIC. VHE</t>
  </si>
  <si>
    <t>SERV. CONFIG E MANUT/GER DE SW/OPER. VHE</t>
  </si>
  <si>
    <t>SERV. DE MANUTENÇAO EM ANTENA TIPO COW</t>
  </si>
  <si>
    <t>SERV. DE INSTALAÇAO DE ANTENA TIPO COW</t>
  </si>
  <si>
    <t>SERV. DE PROJETO ENG. RAN SHAR. NODEB</t>
  </si>
  <si>
    <t>SERV INST/IMPLAT. TEC  SRA&amp;PCU POOL /BSC</t>
  </si>
  <si>
    <t>SERV TEC.EM TELECOM MONIT. REDE CS CORE</t>
  </si>
  <si>
    <t>SERV DE PLANEJAM. ENGENHARIA NOVO MGW</t>
  </si>
  <si>
    <t>SERV DE PLANEJAM. ENGENHARIA NOVO MSS</t>
  </si>
  <si>
    <t>SERV DE PLANEJAM. ENGENHARIA EXP MGW</t>
  </si>
  <si>
    <t>SERV DE PLANEJAM. ENGENHARIA EXP MSS</t>
  </si>
  <si>
    <t>SERV DE PLANEJAM. ENGENHARIA MSS POOL DF</t>
  </si>
  <si>
    <t>SERV. DE PROJETO GERENC. PROJ. POOL DF</t>
  </si>
  <si>
    <t>SERV DE PLANEJAM. ENGENHARIA MSS POOL NE</t>
  </si>
  <si>
    <t>SERV. DE PROJETO GERENC. PROJ.  POOL NE</t>
  </si>
  <si>
    <t>SERV DE IMPLEMTACAO REDE GSM C/NOVO MGW</t>
  </si>
  <si>
    <t>SERV IMPLEMT. REDE GSM C/NOVO MGW PLACAS</t>
  </si>
  <si>
    <t>SERV IMPLEMT. REDE GSM C/NOVO MGW GAB AD</t>
  </si>
  <si>
    <t>SERV IMPLEMT. REDE GSM C/NOVO MSS GAB AD</t>
  </si>
  <si>
    <t>SERV IMPLEMT. REDE GSM C/NOVO MSS PLACAS</t>
  </si>
  <si>
    <t>SERV DE IMPLEMTACAO REDE GSM C/NOVO MSS</t>
  </si>
  <si>
    <t>SERV  DE IMPLEMENT. DE REDE TRAFFICA MSS</t>
  </si>
  <si>
    <t>SERV INSTAL EQUIP/COMIS/INTEG.TRAFFICA</t>
  </si>
  <si>
    <t>SERV CONFIG.POOLING MIG BSC/RNC-CS CORE</t>
  </si>
  <si>
    <t>SERV TEC. EM INFORMAT. P/  UPG SW FNS3.0</t>
  </si>
  <si>
    <t>SERV TEC. EM INFORMAT. UPG FIRMWARE SGSN</t>
  </si>
  <si>
    <t>SERV INST DE SW SGSN ATCA VERS. ATUALIZ.</t>
  </si>
  <si>
    <t>SERV INSTAL. DE MASTRO 8M P/ANT.TRANSM.</t>
  </si>
  <si>
    <t>SERV INSTAL DE ANTENA YAGI EM SIST.TRANS</t>
  </si>
  <si>
    <t>SERV. DE INSTAL.CABO MULTICOAXIAL 8VIAS</t>
  </si>
  <si>
    <t>SERV. DE INSTALACAO DE CABO MULTIPAR CI</t>
  </si>
  <si>
    <t>SERV CONST. CIVIL INST SPLITTER 1:3 100W</t>
  </si>
  <si>
    <t>SERV CONST.CIVIL INST ANTENA YAGI 17DBI</t>
  </si>
  <si>
    <t>SERV CONST.CIVIL INST ANTENA PAIN. 14DBI</t>
  </si>
  <si>
    <t>SERV CONST. CIVIL INST.SPLITTER 1:2 100W</t>
  </si>
  <si>
    <t>SERV. CESSAO DE MAO DE OBRA PROGR. MENOR</t>
  </si>
  <si>
    <t>SERVICO DE INSTALACAO DE TAPUMES EM OBRA</t>
  </si>
  <si>
    <t>LOCACAO DE SALA EXTERNA PARA REUNIOES</t>
  </si>
  <si>
    <t>SERV TERRAPLAN/PAVIMEN.P/RECUP. EST SITE</t>
  </si>
  <si>
    <t>SERV ANAL. E DESENV.P/ENVIO MENS. TX SMS</t>
  </si>
  <si>
    <t>SERV INTERMEDIACAO RESERVA CLIENTE C.CL.</t>
  </si>
  <si>
    <t>ALUGUEL DE GMG - IMPLANTAÇAO DE COW</t>
  </si>
  <si>
    <t>SERV CONS.INFOR.PLANEJ. MIGRA 9 DIG EPAP</t>
  </si>
  <si>
    <t>SERV CONSULT. INORM. MIGRACAO 9 DIG.EPAP</t>
  </si>
  <si>
    <t>SERV CONS.INF.ASSIST S.VER. CONS B.DADOS</t>
  </si>
  <si>
    <t>SERV CONSULTORIA EM INFOR. EM SITIO MENS</t>
  </si>
  <si>
    <t>SERV. CONSULT INFORM. PLANEJ. CONV. EPAP</t>
  </si>
  <si>
    <t>SERV CONSULT.INFORM. CONV.EPAP NO.VERSÃO</t>
  </si>
  <si>
    <t>SERV CONS.INFOR. PLANEJ. EXP.EAGLE 2014</t>
  </si>
  <si>
    <t>SERV. CONSULT. INFORMAT. EXP. EAGLE 2014</t>
  </si>
  <si>
    <t>SERV CONS.INFOR.DSR/EAGLE/PM SITIO MENS.</t>
  </si>
  <si>
    <t>SERV.DE MONTAGEM DE POSTE METALICO 40M</t>
  </si>
  <si>
    <t>SERV. DE ELABORACAO PROJETO DE FUNDACAO</t>
  </si>
  <si>
    <t>SERV DE INSTAL.ESTRUT.VERTICAL SUPORTE</t>
  </si>
  <si>
    <t>SERV EMPREITADA DE CONSTR.CIVIL DE LOJAS</t>
  </si>
  <si>
    <t>SERV ELABORACAO DE PROJETO BASICO DE ENG</t>
  </si>
  <si>
    <t>SERV. TEC. EM TELECOM PARA SUPORTE TEC.</t>
  </si>
  <si>
    <t>SERV DE CONFIG/INST. DESIGN SW MRBS 6501</t>
  </si>
  <si>
    <t>SERV DE CONFIG/INST. DESIGN SW MRRUS12</t>
  </si>
  <si>
    <t>LICENÇA DE USO SW PACKAGE WCDMA MRBS6501</t>
  </si>
  <si>
    <t>LICENÇA DE USO SW PACKAGE WCDMA MRRUS12</t>
  </si>
  <si>
    <t>SERV. DE MONTAGEM DE TORRE METALICA 30M</t>
  </si>
  <si>
    <t>SERV. TEC EM TELECOM P/OTIMIZ. 1830 PSS</t>
  </si>
  <si>
    <t>SERV. CONF/ATUALIZ. VERSÃO R11.0 P/R11.2</t>
  </si>
  <si>
    <t>SERV. LICENCA USO SW BASICO SIGTRAN V3R3</t>
  </si>
  <si>
    <t>SERV. LICENCA USO SW BASICO Q703 2M V3R7</t>
  </si>
  <si>
    <t>SERV. LICENCA USO SW ATUALIZ.AN. SIGTRAN</t>
  </si>
  <si>
    <t>SERV. LICENCA USO SW ATUALIZ. AN Q703 2M</t>
  </si>
  <si>
    <t>SERV. LICENCA USO SOFTW TRAÇADO MENSAG.</t>
  </si>
  <si>
    <t>SERV. LICENCA USO SOFTW DUPLIC MENSAG.</t>
  </si>
  <si>
    <t>SERV. LICENCA USO SW SS7 REROTEAM. MENS.</t>
  </si>
  <si>
    <t>SERVIÇO DE RETIRADA DE PISO</t>
  </si>
  <si>
    <t>SERVICO DE REINSTALAÇÃO DE PISO</t>
  </si>
  <si>
    <t>SERVIÇO DE ESCAVAÇÃO MECÂNICA</t>
  </si>
  <si>
    <t>SERV ABERTURA DE PASSAG.DUTOS PAR.CONC.</t>
  </si>
  <si>
    <t>LOCAÇÃO DE SALA EVENTO ENDOMARKETING</t>
  </si>
  <si>
    <t>SERV. DE CONSULTORIA WORKSHOP-ENDOMKT</t>
  </si>
  <si>
    <t>SERV. LICENÇA DE USO SOFTWARE OMS P/LTE</t>
  </si>
  <si>
    <t>LICENCA DE USO SW 10000 TPS P/E5-SM8G-B</t>
  </si>
  <si>
    <t>LICENCA DE USO SW IPSG POR PLACA E5-ENET</t>
  </si>
  <si>
    <t>LICENCA DE USO SW IPSG P/PL E5-ENET500TU</t>
  </si>
  <si>
    <t>SERV LIC. DE USO SW BASICO IPT NMS-C 13</t>
  </si>
  <si>
    <t>SERV LIC. DE USO SW STANDBY IPT NMS-C 13</t>
  </si>
  <si>
    <t>SERV. LICENÇA DE USO SW BASICO SOEM 13</t>
  </si>
  <si>
    <t>SERV. LICENÇA DE USO SW STANDBY SOEM 13</t>
  </si>
  <si>
    <t>SERV. LICENÇA USO SW BASICO ENIQ EVENTS</t>
  </si>
  <si>
    <t>SERV LICENÇA DE USO SW OMBS ENIQ EVENTS</t>
  </si>
  <si>
    <t>SERV. LICENÇA USO SW GESTAO PERFORMANCE</t>
  </si>
  <si>
    <t>SERV LICENÇA USO SW ENIQ STATISTICS R14B</t>
  </si>
  <si>
    <t>SERV LICENÇA USO SW OMBS ENIQ STATISTICS</t>
  </si>
  <si>
    <t>SERV. DE LICENÇA DE USO SW OMBS R14B</t>
  </si>
  <si>
    <t>SERV. DE LICENÇA DE USO SOFTW OSS R14B</t>
  </si>
  <si>
    <t>SERV LIC.USO SW FUNC. OPCIONAIS OSS R14B</t>
  </si>
  <si>
    <t>SERV DE CONFIG/ATUALIZAÇAO SW OMBS R14B</t>
  </si>
  <si>
    <t>SERV DE CONFIG/ATUALIZAÇAO SW OSS R14B</t>
  </si>
  <si>
    <t>SERV. DE IMPLANTAÇÃO/ADEQUAÇÃO DE COW</t>
  </si>
  <si>
    <t>SERV LICENÇA DE USO SOFTWARE OMS P/WCDMA</t>
  </si>
  <si>
    <t>SERV. ADEQUA INFRA P/ATIV.NOVOS ELEM/TEC</t>
  </si>
  <si>
    <t>SERV. ADEQ INFRA. SITE BUNDLE RE-USO RT</t>
  </si>
  <si>
    <t>SERV. ADEQ. INFRA SITE BUNDLE RE-USO GF</t>
  </si>
  <si>
    <t>SERV. ADEQ. INFRA SITE BUNDLE 2ND P. GF</t>
  </si>
  <si>
    <t>SERV. ADEQ. INFRA SITE BUNDLE 2ND P. RT</t>
  </si>
  <si>
    <t>SERV INSTALACAO 2ND PORTADORA EM SITE GF</t>
  </si>
  <si>
    <t>SERV DE CONFIG E UPGRADE SW RU40</t>
  </si>
  <si>
    <t>SERV DE CONFIG. E UPGRADE SW RG30</t>
  </si>
  <si>
    <t>LICENCA SW 010210-CCPIC PHASE 1 P/NODEB</t>
  </si>
  <si>
    <t>LICENCA SW 140202-CCPIC PHASE 2 P/NODEB</t>
  </si>
  <si>
    <t>LICENCA USO SW 010691-HSUPA UL IC P/CEL</t>
  </si>
  <si>
    <t>LICENCA SW 010636-SRB OVER HSUPA P/MBPS</t>
  </si>
  <si>
    <t>LICENCA SW 010686-CPC-DTX/DRX P/MBPS</t>
  </si>
  <si>
    <t>LICENCA SW 010653-96 HSDPA USERS P/CEL</t>
  </si>
  <si>
    <t>LICENCA SW 140216-LOAD-BASED UL P/CEL</t>
  </si>
  <si>
    <t>LICENCA SW 010652-SRB OVER HSDPA P/MBPS</t>
  </si>
  <si>
    <t>LICENCA USO SW 010696-DC-HSDPA P/CEL</t>
  </si>
  <si>
    <t>LICENCA USO SW 140211-DYNAMIC ROT P/CEL</t>
  </si>
  <si>
    <t>LICENCA USO SW DE UPGRADE DE RAN P/CEL</t>
  </si>
  <si>
    <t>LICENCA USO SW DE UPGRADE DE OSS P/CEL</t>
  </si>
  <si>
    <t>SERV. CONFIG/UPGRADE DE RAN P/RNC</t>
  </si>
  <si>
    <t>SERV. CONFIG/UPGRADE DE RAN P/NODEB</t>
  </si>
  <si>
    <t>SERV. CONFIG/UPGRADE DE M2000 P/M2000</t>
  </si>
  <si>
    <t>SERV. DE CONSULT. INFORM. DATA PROTECTOR</t>
  </si>
  <si>
    <t>LIC. ELET HP DT PRT EXT DRV UNIX/NAS/SAN</t>
  </si>
  <si>
    <t>LIC. DE USO DT PROT STATER PACK LINUX</t>
  </si>
  <si>
    <t>LIC. DE USO SOFTWARE BACKUP PARA WINDOWS</t>
  </si>
  <si>
    <t>LICENÇA DE USO E-DEL HP SGLX X86 2P</t>
  </si>
  <si>
    <t>LIC. E-DEL RHEL 2SKT 1 GUEST 24x7 3 ANOS</t>
  </si>
  <si>
    <t>LIC USO ELETR USO RHEL 2SkT 4GUEST 3ANOS</t>
  </si>
  <si>
    <t>LIC. DE USO HP 3PAR 7200 OS SUITE DRIVE</t>
  </si>
  <si>
    <t>LIC. USO HP 3PAR 7200 DYNAMIC OPT BASE</t>
  </si>
  <si>
    <t>LIC. USO HP 3PAR 7200 DYNAMIC OPT DRIVE</t>
  </si>
  <si>
    <t>LIC. USO DISC OPT GRAV SOFT HP 3PAR 7200</t>
  </si>
  <si>
    <t>LIC. USO ELETR HP INSIG CONT ENCL BUND16</t>
  </si>
  <si>
    <t>LIC USO DATA PROTECTOR SW8.10 E-MID. ING</t>
  </si>
  <si>
    <t>LICENCA DE USO SW 10000 TPSGTT P/E5-SM8G</t>
  </si>
  <si>
    <t>LICENCA USO SW 10000 TPS DBITU P/E5-SM8G</t>
  </si>
  <si>
    <t>LICENCA DE USO DE SOFTW HIPR2 POR PLACA</t>
  </si>
  <si>
    <t>LICENCA DE USO SW HIPR2 MODO DE TX ALTA</t>
  </si>
  <si>
    <t>LICENCA DE USO SW FUNCIONALIDADE FLOBR</t>
  </si>
  <si>
    <t>LICENCA DE USO DE SW FUNCIONALIDADE TOBR</t>
  </si>
  <si>
    <t>LICENCA DE USO SW FUNCIONAL.TCAP OPCODES</t>
  </si>
  <si>
    <t>LICENCA FUNCIONALIDADE GTT FORWARD</t>
  </si>
  <si>
    <t>LICENCA DE USO DE SW FUNCION.GTT DISCARD</t>
  </si>
  <si>
    <t>LICENCA DE USO SW FUNCION. GTT DUPLICATE</t>
  </si>
  <si>
    <t>SERV DE SUPORTE EM INFORM. EAGLE PREMIUM</t>
  </si>
  <si>
    <t>SERV. CONS.INFOR.PLAN.EXP. EAGLE 2014-II</t>
  </si>
  <si>
    <t>SERV. CONSULT. INFORM.EXP. EAGLE 2014-II</t>
  </si>
  <si>
    <t>SERV. LICENCA USO SW EIR FUNCAO BASICA</t>
  </si>
  <si>
    <t>SERV LICENCA USO SW EIR BASE DADOS USUA</t>
  </si>
  <si>
    <t>SERV. LICENCA USO SW EIR PACT DE FUNCAO</t>
  </si>
  <si>
    <t>SERV. LICENCA USO SW IDP DUPLIC. TRIGGER</t>
  </si>
  <si>
    <t>SERV. LICENCA USO SW GERENCIA M2000 SPS</t>
  </si>
  <si>
    <t>SERV LICENCA USO SW GER M2000 HSS9860-FE</t>
  </si>
  <si>
    <t>SERV LICENCA USO SW GER M2000 HSS9860-BE</t>
  </si>
  <si>
    <t>SERV. LICENCA USO SW GERENC. DE INVENT.</t>
  </si>
  <si>
    <t>SERV. LICENCA USO SOFTW</t>
  </si>
  <si>
    <t>SERV. DE CONSULTORIA O&amp;M 12 M.</t>
  </si>
  <si>
    <t>SERV. DE CONSULTORIA ENGENH. 12 M.</t>
  </si>
  <si>
    <t>SERV TEC. EM TELECOM. GERENC. SOBRES.NBD</t>
  </si>
  <si>
    <t>SERV. TEC. EM TELECOM. P/CONFIG/TESTES</t>
  </si>
  <si>
    <t>COMISSAO/INTERMEDIAÇAO N.ESPECIALISTA</t>
  </si>
  <si>
    <t>SERV. SUPORTE DE INF. SENTINEL 24M</t>
  </si>
  <si>
    <t>SERV. SUPORTE DE INF. SERVIDOR VNE</t>
  </si>
  <si>
    <t>SERV. SUPORTE DE INF. GURU</t>
  </si>
  <si>
    <t>SERV TEC. TELEC. CONFIG. WIFI AEROPORTOS</t>
  </si>
  <si>
    <t>SERV.ASSESS.CONSULT DE CAMPO EQUIP RF/TX</t>
  </si>
  <si>
    <t>SERV.AGENCIAM.DE ARTISTA P/CAMP.PUBLIC.</t>
  </si>
  <si>
    <t>SERV. ANAL. E DESENV.P/NONO DIGITO</t>
  </si>
  <si>
    <t>SERV. COMUNIC. VISUAL E DESENHO IND.</t>
  </si>
  <si>
    <t>SERV. DE REFORMA/ADEQUACOES EM PREDIAL</t>
  </si>
  <si>
    <t>SERVIÇO DE AGENCIAMENTO DE CARGAS</t>
  </si>
  <si>
    <t>SERV. AGENC./INTERMEDIACAO-HOSPEDAGEM</t>
  </si>
  <si>
    <t>SERV. AGENC./INTERMEDIAÇAO-PASSAGEM</t>
  </si>
  <si>
    <t>SERV. READEQUACAO DE INFRA. ELETRICA</t>
  </si>
  <si>
    <t>SERV AGENCIAMENTO/INTERMEDIAÇAO-EM DESP.</t>
  </si>
  <si>
    <t>SERV AGENCIAMENTO/INTERMEDIAÇAO-EM MANUT</t>
  </si>
  <si>
    <t>SERV. AGENCIAMENTO/INTERMEDIAÇAO-COMBIT.</t>
  </si>
  <si>
    <t>SERV. AGENCIAMENTO/INTERMEDIAÇAO-TX VIAG</t>
  </si>
  <si>
    <t>SERV. AGENCIAMENTO/INTERMEDIAÇAO TR-TAXI</t>
  </si>
  <si>
    <t>SERV. AGENCIAMENTO/INTERMEDIAÇÃO-TX TREN</t>
  </si>
  <si>
    <t>SERV. DE REPARO EM TELECOMUNICACOES</t>
  </si>
  <si>
    <t>ORG. EVENTO FIDELIZAR CLIENTE</t>
  </si>
  <si>
    <t>SERV SUP.TEC  INFORMAT CONFIG LI-IMS</t>
  </si>
  <si>
    <t>SERV SUP.TEC INFORMATICA INST LI-IMS</t>
  </si>
  <si>
    <t>SERV LICENÇA DE USO SW PAREGSW</t>
  </si>
  <si>
    <t>SERV LICENCA DE USO SW PAREGSWMRD</t>
  </si>
  <si>
    <t>SERV. DE RESTAURACAO DE MOBILIARIO</t>
  </si>
  <si>
    <t>SERV. LICENÇA DE USO DE SW AUTOCAD</t>
  </si>
  <si>
    <t>SERV LICENCA DE USO SOFTWARE BASICO EPG</t>
  </si>
  <si>
    <t>SERV. DE INSTALACAO DE SOFTWARE EPG</t>
  </si>
  <si>
    <t>SERV. CONFIG/INTEGRACAO DE SOFTWARE OSS</t>
  </si>
  <si>
    <t>SERV. DESLOCAM. INSTAL. ALARME/INCENDIO</t>
  </si>
  <si>
    <t>SERV. EXEC. INSTALAÇAO CENTRAL CAMERA</t>
  </si>
  <si>
    <t>SERVIÇO DE CONSULTORIA ESTRATEGICA</t>
  </si>
  <si>
    <t>SERV. LICENÇA DE USO DE SW LINUX</t>
  </si>
  <si>
    <t>SERV. LICENÇA DE USO DE SW JINNY</t>
  </si>
  <si>
    <t>SERV. LICENÇA DE USO DE SW MYSQL</t>
  </si>
  <si>
    <t>SERV. LICENÇA DE USO DE SW JASPER BI</t>
  </si>
  <si>
    <t>SERV. SUPORTE  TECNICO EM INF. ANTISPAM</t>
  </si>
  <si>
    <t>SERV. LICENÇA DE USO DE SW INFOBRIDGE</t>
  </si>
  <si>
    <t>SERV.DE IMPLANTACAO/INS.DE COW GSM</t>
  </si>
  <si>
    <t>SERV.DE IMPLANTACAO/INS.DE COW 3G LTE</t>
  </si>
  <si>
    <t>SERVIÇO-COLETA/ENVIO DE CORRESPONDENCIA</t>
  </si>
  <si>
    <t>SERV LICENCA DE USO SW GERENC RD MAN.12M</t>
  </si>
  <si>
    <t>SERV. LICENCA USO SW REFLECTION WIN</t>
  </si>
  <si>
    <t>SERV. LICENCA USO SW REFLECTION UNIX</t>
  </si>
  <si>
    <t>SERV. LICENÇA DE USO SW OSW 2640 MBPS</t>
  </si>
  <si>
    <t>SERV. LICENCA DE USO SW OSW 7520 MBPS</t>
  </si>
  <si>
    <t>SERV. SUPORTE TECNICO EM INF. W13B</t>
  </si>
  <si>
    <t>SERV. LICENCA USO SW W13B</t>
  </si>
  <si>
    <t>SERV. LICENÇA DE SW SOLUÇAO DD990</t>
  </si>
  <si>
    <t>SERV. LICENÇA DE SW EXTENSAO DE CAP</t>
  </si>
  <si>
    <t>SERV. LICENÇA DE SW BOOST DD990</t>
  </si>
  <si>
    <t>SERV. LICENÇA DE SW REPLICAÇÃO DD990</t>
  </si>
  <si>
    <t>SERV. SUPORTE DE INF. NETMAPPER</t>
  </si>
  <si>
    <t>SERV. SUPORTE DE INF. BANDA LARGA</t>
  </si>
  <si>
    <t>SERV. DE CONSULTORIA SOLUCOES OPNET</t>
  </si>
  <si>
    <t>SERV. CONFIGURACAO DE SW. APRISA XE</t>
  </si>
  <si>
    <t>SERV. INSTALACAO DE EQUIPAMENTO FIS.</t>
  </si>
  <si>
    <t>SERV. INSTALACAO DE EQUIPAMENTO LOG.</t>
  </si>
  <si>
    <t>SERVIÇO DE INSTALAÇAO DE MICROVENTILADOR</t>
  </si>
  <si>
    <t>SERV-PUBLICIDADE COOPERADA (DEALERS)</t>
  </si>
  <si>
    <t>SERV.INSTAL/INTEGR SW MRRUS12 ASSOCIADA</t>
  </si>
  <si>
    <t>SERV CONF/EXP RT ETHERNET M. SMALL CELLS</t>
  </si>
  <si>
    <t>SERV. MANUTENÇAO DE PLACAS DE CIRCUITO</t>
  </si>
  <si>
    <t>SERV MANUTENCAO DE EQUI.HW EAGLE PREMIUM</t>
  </si>
  <si>
    <t>PEDIDO SIMP.REPASSE TRANSPORTE TAXI</t>
  </si>
  <si>
    <t>PEDIDO SIMP.REPASSE TRANSP TAXI VIAGEM</t>
  </si>
  <si>
    <t>PEDIDO SIMP.REPASSE TRANSP TAXI TREINAM.</t>
  </si>
  <si>
    <t>SERV AGEN/INTERMEDIACAO TRANS.TAXI WAPPA</t>
  </si>
  <si>
    <t>SERV. DE ENGENHARIA MRBS6501 TSS/QRF/PPI</t>
  </si>
  <si>
    <t>SERV. DE ENGENHARIA MRRUS12 TSS/QRF/PPI</t>
  </si>
  <si>
    <t>SERV LICENCA DE USO DE SW O7M ANUAIS CEM</t>
  </si>
  <si>
    <t>SERV. LICENÇA DE SW VTL DD990</t>
  </si>
  <si>
    <t>SERV. AÇAO PARA INCENTIVO DE VENDAS</t>
  </si>
  <si>
    <t>SERVIÇOS DE MEDICINA/PERC DO TRABALHO</t>
  </si>
  <si>
    <t>SERV 04.01</t>
  </si>
  <si>
    <t>SERV. REPARO ELETR/CALIB.CONS.EQUIP TEL.</t>
  </si>
  <si>
    <t>SERV DE PROGRAMACAO VISUAL REDEAQ.URNAS</t>
  </si>
  <si>
    <t>SERV DE LICENCA DE USO SW. ORACLE TALEO</t>
  </si>
  <si>
    <t>SERV PROCESSAMENTO DE DADOS P/ORA.TALEO</t>
  </si>
  <si>
    <t>SERV. CONF/INST COMISSION SW PACKET CORE</t>
  </si>
  <si>
    <t>SERV ORGANIZ/PL.E PARTICIP.EM FEIRAS EXP</t>
  </si>
  <si>
    <t>SERV AVALIACAO DE CONHECIMENTO D/CLIENTE</t>
  </si>
  <si>
    <t>SERV AGENCIAM. DIREITO AUTORAIS DE IMAG.</t>
  </si>
  <si>
    <t>SERV DE LICENCA DE USO SW SYBASE ASE STB</t>
  </si>
  <si>
    <t>SERV LICENCA DE USO SW SYBASE ADPT EESTB</t>
  </si>
  <si>
    <t>SERV. DE LICENCA DE USO SW SYBASE FL</t>
  </si>
  <si>
    <t>SERV DE LICENCA DE USO SW SYBASE EBF ASE</t>
  </si>
  <si>
    <t>SERV LICENCA DE USO SW TLB INM NMRS CSB</t>
  </si>
  <si>
    <t>SERV LICENCA DE USO SW TLB INM INVENT</t>
  </si>
  <si>
    <t>SERV. DE INSTALACAO DE SOFTWARE OPENET</t>
  </si>
  <si>
    <t>SERV. DE SUPORTE INFOR. SOFTWARE OPENET</t>
  </si>
  <si>
    <t>SERVICO DE TREINAMENTO FERRAMEN. OPENET</t>
  </si>
  <si>
    <t>SERV. DE CONFIGURACAO DO SOFTWARE OPENET</t>
  </si>
  <si>
    <t>SERV. DE INTEGRACAO DO SOFTWARE OPENET</t>
  </si>
  <si>
    <t>SERV LICEN.USO SOFTW. PLAT. OPENET GER.</t>
  </si>
  <si>
    <t>SERV LICEN.USO SOFTW. PLAT. OPENET PCRF</t>
  </si>
  <si>
    <t>SERV. DE MANUTENCAO EM SOFTWARE-GAR</t>
  </si>
  <si>
    <t>PEDIDO SIMPL. REPASSE COMBUSTIVEL</t>
  </si>
  <si>
    <t>PEDIDO SIMPL. REPASSE MANUT. VEICULO</t>
  </si>
  <si>
    <t>SERV DE AGEN/INTERMEDIACAO TICKET CAR</t>
  </si>
  <si>
    <t>SERV SUPORTE INF/MAN.SW C. MOB E-LEANING</t>
  </si>
  <si>
    <t>PRODUCAO DE EVENTOS SINERGIA DIRETORES</t>
  </si>
  <si>
    <t>SERV. DE INSTAL DE REDE AEREA MON.COMP</t>
  </si>
  <si>
    <t>SERV. DE INSTAL DE REDE AEREA BIF.COMP</t>
  </si>
  <si>
    <t>SERV. DE INSTAL DE REDE AEREA TRIF.COMP</t>
  </si>
  <si>
    <t>SERV. DE INSTAL DE REDE AEREA BIF.CONV</t>
  </si>
  <si>
    <t>SERV. DE INSTAL DE REDE AEREA TRIF.CONV</t>
  </si>
  <si>
    <t>SERV. DE INSTAL DE REDE AEREA MON.CONV</t>
  </si>
  <si>
    <t>SERV. DE INSTAL DE SUBESTAÇAO BIF.10KVA</t>
  </si>
  <si>
    <t>SERV. DE INSTAL DE SUBESTAÇAO MONO.10KVA</t>
  </si>
  <si>
    <t>SERV. DE INSTAL DE SUBESTAÇAO MONO.25KVA</t>
  </si>
  <si>
    <t>SERV. DE INSTAL DE SUBESTAÇAO TRIF.15KVA</t>
  </si>
  <si>
    <t>SERV. DE INSTAL DE SUBESTAÇAO TRIF.30KVA</t>
  </si>
  <si>
    <t>SERV. DE INSTAL DE SUBESTAÇAO TRIF.45KVA</t>
  </si>
  <si>
    <t>SERV. DE INSTAL DE SUBESTAÇAO TRIF.75KVA</t>
  </si>
  <si>
    <t>SERV. DE INSTAL ESTABILADOR DE NUCL.3,5</t>
  </si>
  <si>
    <t>SERV. DE INSTAL ESTABILADOR DE NUCL.7</t>
  </si>
  <si>
    <t>SERV. DE INSTAL ESTABILADOR DE NUCL.10,5</t>
  </si>
  <si>
    <t>SERV. ENGENHARIA RADIOMETRICO</t>
  </si>
  <si>
    <t>SERVICO DE PROGRAMACAO DE SOFTWARE INM</t>
  </si>
  <si>
    <t>SERVICO DE PROGRAMACAO DE SOFTWARE NBI</t>
  </si>
  <si>
    <t>SERVICO DE PROGRAMACAO DE SOFTWARE UPG</t>
  </si>
  <si>
    <t>SERV LICENCA DE USO SW TLB INM JAVA AP</t>
  </si>
  <si>
    <t>SERVICO DE TREINAMENTO SOLUCAO MGMT</t>
  </si>
  <si>
    <t>SERV. PROGRAMACAO/OTIMIZ. SIST. REDE INM</t>
  </si>
  <si>
    <t>SERV. PROGRAMAÇÃO/OTIMIZ. SIST. REDE NBI</t>
  </si>
  <si>
    <t>SERV LICENCA DE USO SW ROAMFIX COPA MUND</t>
  </si>
  <si>
    <t>SERV. ASSES. E CONSULT QUALIDADE DE VIDA</t>
  </si>
  <si>
    <t>SERV INSTALACAO DE AUTOTRANSFORMAD.45KVA</t>
  </si>
  <si>
    <t>SERV. DE CONSULTORIA EM INFORMATICA OMR</t>
  </si>
  <si>
    <t>SERV. LICENÇA DE USO SW PROTEÇAO CREDITO</t>
  </si>
  <si>
    <t>SERV LICENÇA DE USO SW-PROV.CONTEUDO OUT</t>
  </si>
  <si>
    <t>SERV LICENÇA DE USO SW-PROV.CONTEUDO-VOZ</t>
  </si>
  <si>
    <t>SERV LICENÇA DE USO SW-PROV.CONTEUDO FEE</t>
  </si>
  <si>
    <t>SERV DE LICENÇA DE USO SW-CONT.INTERATIV</t>
  </si>
  <si>
    <t>SERV. DE LICENÇA DE USO SW-PROV.CONTEUDO</t>
  </si>
  <si>
    <t>SERV LICENÇA USO SW-PROV.CONTEUDO SMSP2P</t>
  </si>
  <si>
    <t>SERV LICENÇA DE USO SW-PROV.CONTEUDO SMS</t>
  </si>
  <si>
    <t>SERV FORNEC. DADOS/INF-PROV.CONTEUDO OUT</t>
  </si>
  <si>
    <t>SERV FORNECIM DADOS E INF-CONT.INTERATIV</t>
  </si>
  <si>
    <t>SERV. PROCESSAM. DADOS-PROV.CONTEUDO MMS</t>
  </si>
  <si>
    <t>SERV. PESQUISA E FORNEC DE DADOS/INFORM.</t>
  </si>
  <si>
    <t>SERV ESTUDO CURTO CIRC CO/SELET BT1200m2</t>
  </si>
  <si>
    <t>SERV. ELABORAÇ. DE ESTUDOS ORÇAM. 1200m2</t>
  </si>
  <si>
    <t>SERV ELABOR DE EST. JUN/CONC P.UN.1200m2</t>
  </si>
  <si>
    <t>SERV. ESTUDO VIAB. TESTE DE CARGA 600m2</t>
  </si>
  <si>
    <t>SERV EST.VIAB MEDIÇÃO NIVEL RUIDO 600m2</t>
  </si>
  <si>
    <t>SERV ESTUDO CURTO CIRC CO/SELET AT 600m2</t>
  </si>
  <si>
    <t>SERV ESTUDO CURTO CIRC CO/SELET BT 600m2</t>
  </si>
  <si>
    <t>SERV. ELABORAÇ. DE ESTUDOS ORÇAM. 600m2</t>
  </si>
  <si>
    <t>SERVIÇO DE SONDAGEM ROTATIVA</t>
  </si>
  <si>
    <t>SERVIÇO DE SONDAGEM DE PERCURSÃO</t>
  </si>
  <si>
    <t>SERVIÇO DE SONDAGEM DES. EQUIP AT.400KM</t>
  </si>
  <si>
    <t>SERVIÇO DE SONDAGEM DES. EQUIP AC.400KM</t>
  </si>
  <si>
    <t>SERV INTERMEDIACAO NA AQUIS.TERRENO C/B</t>
  </si>
  <si>
    <t>SERV INTERMEDIAÇÃO AQUIS.IM.P/EV.CAN.C/B</t>
  </si>
  <si>
    <t>SERV INTERMEDIAÇÃO AQUIS.IM. AP/REL. C/B</t>
  </si>
  <si>
    <t>SERV INTERMEDIAÇÃO AQUIS.IM. AP/DOC. C/B</t>
  </si>
  <si>
    <t>SERV INTERMEDIAÇÃO AQUIS.IM.ASS.CONT.C/B</t>
  </si>
  <si>
    <t>SERV. INTERMED. AQUIS. TERRENO/PRED.IND.</t>
  </si>
  <si>
    <t>SERV INTERMEDIAÇÃO AQUIS.IM.P/EV.CAN.S/B</t>
  </si>
  <si>
    <t>SERV INTERMEDIAÇÃO AQUIS.IM. AP/DOC. S/B</t>
  </si>
  <si>
    <t>SERV INTERMEDIAÇÃO AQUIS.IM.ASS.CONT.S/B</t>
  </si>
  <si>
    <t>SERV INTERMEDIAÇÃO AQUIS. IM. ASS.DISTR.</t>
  </si>
  <si>
    <t>SERV. DE LAUDO C/P ANTER DISP 1200m2</t>
  </si>
  <si>
    <t>SERV. DE LAUDO S/P ANTER DISP 1200m2</t>
  </si>
  <si>
    <t>SERV. DE LAUDO C/P ANTER DISP 600m2</t>
  </si>
  <si>
    <t>SERV. DE LAUDO S/P ANTER DISP 600m2</t>
  </si>
  <si>
    <t>SERV. DE LAUDO C/P ANTER DISP 400m2</t>
  </si>
  <si>
    <t>SERV. DE LAUDO S/P ANTER DISP 400m2</t>
  </si>
  <si>
    <t>SERV. DE LAUDO C/P ANTER DISP EXIST</t>
  </si>
  <si>
    <t>SERV. DE LAUDO S/P ANTER DISP EXIST</t>
  </si>
  <si>
    <t>SERV PROJ ARQUITETURA P/O.CIVIL 1200m2</t>
  </si>
  <si>
    <t>SERV PROJ ESTRUTURA C/P ANTER DISP1200m2</t>
  </si>
  <si>
    <t>SERV PROJ ESTRUTURA S/P ANTER DISP1200m2</t>
  </si>
  <si>
    <t>SERV PROJ. DE FUNDAÇÃO C/P DISP 1200m2</t>
  </si>
  <si>
    <t>SERV PROJ. DE FUNDAÇÃO S/P DISP 1200m2</t>
  </si>
  <si>
    <t>SERV. PROJ. INSTAL. ELETRICAS CA 1200m2</t>
  </si>
  <si>
    <t>SERV. PROJ. INSTAL. ELETRICAS CC 1200m2</t>
  </si>
  <si>
    <t>SERV PROJETO MECÂNICO GMG/ARREF 1200m2</t>
  </si>
  <si>
    <t>SERV. PROJETO DE CLIMATIZAÇÃO 1200m2</t>
  </si>
  <si>
    <t>SERV. PROJETO INSTAL. HIDRÁULICAS 1200m2</t>
  </si>
  <si>
    <t>SERV PROJ. DE INSTAL DADOS UTP/FO 1200m2</t>
  </si>
  <si>
    <t>SERV PROJ DE DETEC/COMB INCENDIO 1200m2</t>
  </si>
  <si>
    <t>SERV PROJ DE AUTOMA/ALARMES CFTV 1200m2</t>
  </si>
  <si>
    <t>SERV PROJ DE BARREIRA PROT. ACUST 1200m2</t>
  </si>
  <si>
    <t>SERV PROJETO TOPOGRAFIA/GEOTECNIA 1200m2</t>
  </si>
  <si>
    <t>SERV PROJ ARQUITETURA P/O.CIVIL 600m2</t>
  </si>
  <si>
    <t>SERV PROJ ESTRUTURA C/P ANTER DISP 600m2</t>
  </si>
  <si>
    <t>SERV PROJ ESTRUTURA S/P ANTER DISP 600m2</t>
  </si>
  <si>
    <t>SERV PROJ. DE FUNDAÇÃO C/P DISP 600m2</t>
  </si>
  <si>
    <t>SERV PROJ. DE FUNDAÇÃO S/P DISP 600m2</t>
  </si>
  <si>
    <t>SERV. PROJ. INSTAL. ELETRICAS CA 600m2</t>
  </si>
  <si>
    <t>SERV. PROJ. INSTAL. ELETRICAS CC 600m2</t>
  </si>
  <si>
    <t>SERV PROJETO MECÂNICO GMG/ARREF 600m2</t>
  </si>
  <si>
    <t>SERV. PROJETO DE CLIMATIZAÇÃO 600m2</t>
  </si>
  <si>
    <t>SERV. PROJETO INSTAL. HIDRÁULICAS 600m2</t>
  </si>
  <si>
    <t>SERV PROJ. DE INSTAL DADOS UTP/FO 600m2</t>
  </si>
  <si>
    <t>SERV PROJ DE DETEC/COMB INCENDIO 600m2</t>
  </si>
  <si>
    <t>SERV PROJ DE AUTOMA/ALARMES CFTV 600m2</t>
  </si>
  <si>
    <t>SERV PROJ DE BARREIRA PROT. ACUST 600m2</t>
  </si>
  <si>
    <t>SERV PROJETO TOPOGRAFIA/GEOTECNIA 600m2</t>
  </si>
  <si>
    <t>SERV PROJ ARQUITETURA P/O.CIVIL 400m2</t>
  </si>
  <si>
    <t>SERV PROJ ESTRUTURA C/P ANTER DISP 400m2</t>
  </si>
  <si>
    <t>SERV PROJ ESTRUTURA S/P ANTER DISP 400m2</t>
  </si>
  <si>
    <t>SERV PROJ. DE FUNDAÇÃO C/P DISP 400m2</t>
  </si>
  <si>
    <t>SERV PROJ. DE FUNDAÇÃO S/P DISP 400m2</t>
  </si>
  <si>
    <t>SERV. PROJ. INSTAL. ELETRICAS CA 400m2</t>
  </si>
  <si>
    <t>SERV. PROJ. INSTAL. ELETRICAS CC 400m2</t>
  </si>
  <si>
    <t>SERV PROJETO MECÂNICO GMG/ARREF 400m2</t>
  </si>
  <si>
    <t>SERV. PROJETO DE CLIMATIZAÇÃO 400m2</t>
  </si>
  <si>
    <t>SERV. PROJETO INSTAL. HIDRÁULICAS 400m2</t>
  </si>
  <si>
    <t>SERV PROJ. DE INSTAL DADOS UTP/FO 400m2</t>
  </si>
  <si>
    <t>SERV PROJ DE DETEC/COMB INCENDIO 400m2</t>
  </si>
  <si>
    <t>SERV PROJ DE AUTOMA/ALARMES CFTV 400m2</t>
  </si>
  <si>
    <t>SERV PROJ DE BARREIRA PROT. ACUST 400m2</t>
  </si>
  <si>
    <t>SERV PROJETO TOPOGRAFIA/GEOTECNIA 400m2</t>
  </si>
  <si>
    <t>SERV PROJ ARQUITETURA P/O.CIVIL EXIST</t>
  </si>
  <si>
    <t>SERV PROJ ESTRUTURA C/P ANTER DISP EXIST</t>
  </si>
  <si>
    <t>SERV PROJ ESTRUTURA S/P ANTER DISP EXIST</t>
  </si>
  <si>
    <t>SERV PROJ. DE FUNDAÇÃO C/P DISP EXIST</t>
  </si>
  <si>
    <t>SERV PROJ. DE FUNDAÇÃO S/P DISP EXIST</t>
  </si>
  <si>
    <t>SERV. PROJ. INSTAL. ELETRICAS CA EXIST</t>
  </si>
  <si>
    <t>SERV. PROJ. INSTAL. ELETRICAS CC EXIST</t>
  </si>
  <si>
    <t>SERV PROJETO MECÂNICO GMG/ARREF EXIST</t>
  </si>
  <si>
    <t>SERV. PROJETO DE CLIMATIZAÇÃO EXIST</t>
  </si>
  <si>
    <t>SERV. PROJETO INSTAL. HIDRÁULICAS EXIST</t>
  </si>
  <si>
    <t>SERV PROJ. DE INSTAL DADOS UTP/FO EXIST</t>
  </si>
  <si>
    <t>SERV PROJ DE DETEC/COMB INCENDIO EXIST</t>
  </si>
  <si>
    <t>SERV PROJ DE AUTOMA/ALARMES CFTV EXIST</t>
  </si>
  <si>
    <t>SERV PROJ DE BARREIRA PROT. ACUST EXIST</t>
  </si>
  <si>
    <t>SERV PROJETO TOPOGRAFIA/GEOTECNIA EXIST</t>
  </si>
  <si>
    <t>SERV. ELAB. DE PROJETO LICENC.DA CENTRAL</t>
  </si>
  <si>
    <t>SERV ELABOR DE PROJETO AUD.PUL.C/PUL/INC</t>
  </si>
  <si>
    <t>SERV ELABOR DE PROJETO COMAR ESPEC.C/ART</t>
  </si>
  <si>
    <t>SERV ELAB.PROJ.ESTUDO IMP.AMB. EIA C/ART</t>
  </si>
  <si>
    <t>SERV ELAB.PROJ.ESTUDO IMP.VIZ. EIV C/ART</t>
  </si>
  <si>
    <t>SERV ELAB. PROJ.PLANO CONT.AMB.PCA C/ART</t>
  </si>
  <si>
    <t>SERV ELAB.PROJ.PLANO GER.RESID.SOL.C/ART</t>
  </si>
  <si>
    <t>SERV. ELAB. PROJ. REL. IMPAC. RIMA C/ART</t>
  </si>
  <si>
    <t>SERV. ESTUDO VIAB. TESTE DE CARGA 1200m2</t>
  </si>
  <si>
    <t>SERV EST.VIAB MEDIÇÃO NIVEL RUIDO 1200m2</t>
  </si>
  <si>
    <t>SERV ESTUDO CURTO CIRC CO/SELET AT1200m2</t>
  </si>
  <si>
    <t>SERV ELABOR DE EST. JUN/CONC P.UN. 600m2</t>
  </si>
  <si>
    <t>SERV. ESTUDO VIAB. TESTE DE CARGA 400m2</t>
  </si>
  <si>
    <t>SERV EST.VIAB MEDIÇÃO NIVEL RUIDO 400m2</t>
  </si>
  <si>
    <t>SERV ESTUDO CURTO CIRC CO/SELET AT 400m2</t>
  </si>
  <si>
    <t>SERV ESTUDO CURTO CIRC CO/SELET BT 400m2</t>
  </si>
  <si>
    <t>SERV. ELABORAÇ. DE ESTUDOS ORÇAM. 400m2</t>
  </si>
  <si>
    <t>SERV ELABOR DE EST. JUN/CONC P.UN. 640m2</t>
  </si>
  <si>
    <t>SERV. ESTUDO VIAB. TESTE DE CARGA EXIST</t>
  </si>
  <si>
    <t>SERV EST.VIAB MEDIÇÃO NIVEL RUIDO EXIST</t>
  </si>
  <si>
    <t>SERV ESTUDO CURTO CIRC CO/SELET AT EXIST</t>
  </si>
  <si>
    <t>SERV ESTUDO CURTO CIRC CO/SELET BT EXIST</t>
  </si>
  <si>
    <t>SERV. ELABORAÇ. DE ESTUDOS ORÇAM. EXIST</t>
  </si>
  <si>
    <t>SERV ELABOR DE EST. JUN/CONC P.UN. EXIST</t>
  </si>
  <si>
    <t>SERV LICEN.USO SOFTW.PLAT. OPENET S.O.</t>
  </si>
  <si>
    <t>SERV LICEN.USO SOFTW. PLAT. OPENET INFRA</t>
  </si>
  <si>
    <t>SERV.POS INSTALAÇÃO DE SOFTWARE OPENET</t>
  </si>
  <si>
    <t>SERV LICEN.USO SOFTW. PLAT. PORTAL IMEI</t>
  </si>
  <si>
    <t>SERV LICEN.USO SOFTW. PLAT. PORTAL WIFI</t>
  </si>
  <si>
    <t>SERV. ANALIS/DESENVOLVIM. PLATAF.CDRVIEW</t>
  </si>
  <si>
    <t>SERV DE LICENÇA DE USO SW PLATAF.CDRVIEW</t>
  </si>
  <si>
    <t>SERV TEC EM TELECOM P/ACEITAÇAO EM CAMPO</t>
  </si>
  <si>
    <t>SERV ELABORAÇAO BASE DADOS DATABASE BENC</t>
  </si>
  <si>
    <t>SERV PROD.EVENTOS C/CAMAROTE CAMP. MOTIV</t>
  </si>
  <si>
    <t>SOFTWARE P/GERAÇAO RELATORIOS BICP ETL</t>
  </si>
  <si>
    <t>LICENÇA SOFTWARE CSPCONECT&gt;2000AGENTS</t>
  </si>
  <si>
    <t>LICENÇA SOFTWARE CSPAGENT&gt;2000AGENTS</t>
  </si>
  <si>
    <t>SERV. LICENCA DE USO DE SW 3PP P/ECMS</t>
  </si>
  <si>
    <t>SERV LICENÇA DE USO DE SW EXTREME SWITCH</t>
  </si>
  <si>
    <t>SERV LICENÇA DE USO DE SW ARMAZENAM. EMC</t>
  </si>
  <si>
    <t>SERV. LICENÇA DE USO DE SW P/SIST. ADM.</t>
  </si>
  <si>
    <t>SERV. LICENÇA USO DE SW 3PP RED.GEOF.SDP</t>
  </si>
  <si>
    <t>SERV LICENÇA USO SW P/SIST.CONT.TRAF.CCN</t>
  </si>
  <si>
    <t>SERVIÇO DE PODA DE ÁRVORES</t>
  </si>
  <si>
    <t>SERV DE FORN/APLIC DE VACINAS H1N1-SESI</t>
  </si>
  <si>
    <t>SERV DE VISTORIA LEVANTAMENTO PROJETO RF</t>
  </si>
  <si>
    <t>SERV DE PROJETO EXECUTIVO RF DESEN. SOL.</t>
  </si>
  <si>
    <t>SERV DE PROJETO EXECUTIVO/RF AS BUILT</t>
  </si>
  <si>
    <t>SERV TESTE DE COBERTURA OTIM.SIS. IRRAD.</t>
  </si>
  <si>
    <t>SERV. INSTALAÇÃO ANTENA E CABOS SIST. RF</t>
  </si>
  <si>
    <t>SERV. DE GERENCIAMENTO DE PROJETO TELEC.</t>
  </si>
  <si>
    <t>SERV ENGENHARIA P/LICENC.AMB. P/SITE CAP</t>
  </si>
  <si>
    <t>SERV. TEC. TELEC. INST DE PLATAF. NGIN</t>
  </si>
  <si>
    <t>SERV. TEC. EM TELECOM OPER ASSISTIDA</t>
  </si>
  <si>
    <t>SERV. LICENÇA DE SW PARA DB SYBASE</t>
  </si>
  <si>
    <t>SERV. DE PROJETO EXECUTIVO/RF ATÉ 4 ANT.</t>
  </si>
  <si>
    <t>SERV. DE PROJETO EXECUTIVO/RF C/5-10 ANT</t>
  </si>
  <si>
    <t>SERV DE PROJETO EXECUTIVO/RF C/11-18 ANT</t>
  </si>
  <si>
    <t>SERV DE PROJETO EXECUTIVO/RF C/19-25 ANT</t>
  </si>
  <si>
    <t>SERV DE PROJETO EXECUTIVO/RF C/26-35 ANT</t>
  </si>
  <si>
    <t>SERV DE PROJETO EXECUTIVO/RF C/36-45 ANT</t>
  </si>
  <si>
    <t>SERV DE PROJETO EXECUTIVO/RF C/46-55 ANT</t>
  </si>
  <si>
    <t>SERV DE PROJETO EXECUTIVO/RF C/56-65 ANT</t>
  </si>
  <si>
    <t>SERV DE PROJETO EXECUTIVO/RF C/66-75 ANT</t>
  </si>
  <si>
    <t>SERV DE PROJETO EXECUTIVO/RF C/76-85 ANT</t>
  </si>
  <si>
    <t>SERV. PROJETO EXECUTIVO/RF C/86-100 ANT</t>
  </si>
  <si>
    <t>SERV. PROJETO EXECUTIVO/RF C/101-115 ANT</t>
  </si>
  <si>
    <t>SERV PROJETO FINAL RF/AS BUILT ATÉ 4 ANT</t>
  </si>
  <si>
    <t>SERV PROJETO FIN.RF/AS BUILT AT.5-10 ANT</t>
  </si>
  <si>
    <t>SERV PROJETO FIN.RF/AS BUILT AT11-18 ANT</t>
  </si>
  <si>
    <t>SERV PROJETO FIN.RF/AS BUILT AT19-25 ANT</t>
  </si>
  <si>
    <t>SERV PROJETO FIN.RF/AS BUILT AT26-35 ANT</t>
  </si>
  <si>
    <t>SERV PROJETO FIN.RF/AS BUILT AT36-45 ANT</t>
  </si>
  <si>
    <t>SERV PROJETO FIN.RF/AS BUILT AT46-55 ANT</t>
  </si>
  <si>
    <t>SERV PROJETO FIN.RF/AS BUILT AT56-65 ANT</t>
  </si>
  <si>
    <t>SERV PROJETO FIN.RF/AS BUILT AT66-75 ANT</t>
  </si>
  <si>
    <t>SERV PROJETO FIN.RF/AS BUILT AT76-85 ANT</t>
  </si>
  <si>
    <t>SERV PROJETO FIN.RF/AS BUILT AT86-100ANT</t>
  </si>
  <si>
    <t>SERV PROJET FIN.RF/AS BUILT AT101-115ANT</t>
  </si>
  <si>
    <t>SERV DE INSTAL. SISTEMA RF IND ATÉ 4 ANT</t>
  </si>
  <si>
    <t>SERV DE INSTAL. SISTEMA RF IND 5-10 ANT</t>
  </si>
  <si>
    <t>SERV DE INSTAL. SISTEMA RF IND 11-18 ANT</t>
  </si>
  <si>
    <t>SERV DE INSTAL. SISTEMA RF IND 19-25 ANT</t>
  </si>
  <si>
    <t>SERV DE INSTAL. SISTEMA RF IND 26-35 ANT</t>
  </si>
  <si>
    <t>SERV DE INSTAL. SISTEMA RF IND 36-45 ANT</t>
  </si>
  <si>
    <t>SERV DE INSTAL. SISTEMA RF IND 46-55 ANT</t>
  </si>
  <si>
    <t>SERV DE INSTAL. SISTEMA RF IND 56-65 ANT</t>
  </si>
  <si>
    <t>SERV DE INSTAL. SISTEMA RF IND 66-75 ANT</t>
  </si>
  <si>
    <t>SERV DE INSTAL. SISTEMA RF IND 76-85 ANT</t>
  </si>
  <si>
    <t>SERV DE INSTAL. SISTEMA RF IND 86-100ANT</t>
  </si>
  <si>
    <t>SERV DE INSTAL SISTEMA RF IND 101-115ANT</t>
  </si>
  <si>
    <t>SERV INSTAL SIST RF IND.MIMO 2X2AT4 ANT.</t>
  </si>
  <si>
    <t>SERV INST.SIST RF IND.MIMO2X2 ATÉ5-10ANT</t>
  </si>
  <si>
    <t>SERV INST.SIST RF IND.MIMO2X2 AT11-18ANT</t>
  </si>
  <si>
    <t>SERV INST.SIST RF IND.MIMO2X2 AT19-25ANT</t>
  </si>
  <si>
    <t>SERV INST.SIST RF IND.MIMO2X2 AT26-35ANT</t>
  </si>
  <si>
    <t>SERV INST.SIST RF IND.MIMO2X2 AT36-45ANT</t>
  </si>
  <si>
    <t>SERV INST.SIST RF IND.MIMO2X2 AT46-55ANT</t>
  </si>
  <si>
    <t>SERV INST.SIST RF IND.MIMO2X2 AT56-65ANT</t>
  </si>
  <si>
    <t>SERV INST.SIST RF IND.MIMO2X2 AT66-75ANT</t>
  </si>
  <si>
    <t>SERV INST.SIST RF IND.MIMO2X2 AT76-85ANT</t>
  </si>
  <si>
    <t>SERV INST.SIST RF IND.MIMO2X2 AT86-100AN</t>
  </si>
  <si>
    <t>SERV INST.SIST RF IND.MIMO2X2 AT101-115A</t>
  </si>
  <si>
    <t>SERV DE INSTALAÇÃO SIST. LTE ATÉ 4 ANT</t>
  </si>
  <si>
    <t>SERV DE INSTALAÇÃO SIST. LTE C/5-10 ANT</t>
  </si>
  <si>
    <t>SERV DE INSTALAÇÃO SIST. LTE C/11-18 ANT</t>
  </si>
  <si>
    <t>SERV DE INSTALAÇÃO SIST. LTE C/19-25 ANT</t>
  </si>
  <si>
    <t>SERV DE INSTALAÇÃO SIST. LTE C/26-35 ANT</t>
  </si>
  <si>
    <t>SERV DE INSTALAÇÃO SIST. LTE C/36-45 ANT</t>
  </si>
  <si>
    <t>SERV DE INSTALAÇÃO SIST. LTE C/46-55 ANT</t>
  </si>
  <si>
    <t>SERV DE INSTALAÇÃO SIST. LTE C/56-65 ANT</t>
  </si>
  <si>
    <t>SERV DE INSTALAÇÃO SIST. LTE C/66-75 ANT</t>
  </si>
  <si>
    <t>SERV DE INSTALAÇÃO SIST. LTE C/76-85 ANT</t>
  </si>
  <si>
    <t>SERV DE INSTALAÇÃO SIST. LTE C/86-100ANT</t>
  </si>
  <si>
    <t>SERV DE INSTALAÇÃO SIST.LTE C/101-115ANT</t>
  </si>
  <si>
    <t>SERV.OBRA CIVIL/INFRA P/DESL. PONTO DEG</t>
  </si>
  <si>
    <t>SERV.LICENÇA USO DE SOFTWARE HP ILO ADV</t>
  </si>
  <si>
    <t>SERV. ANÁLISE E DESENVOLVIMENTO SISTEMAS</t>
  </si>
  <si>
    <t>SERV ENGENHARIA P/LICENC.AMB. P/SITE INT</t>
  </si>
  <si>
    <t>SERV ENGENHARIA P/LICENC URB. P/SITE CAP</t>
  </si>
  <si>
    <t>SERV ENGENHARIA P/LICENC URB. P/SITE INT</t>
  </si>
  <si>
    <t>SERV ENGENHARIA P/RENOV LICENC. AMB. CAP</t>
  </si>
  <si>
    <t>SERV ENGENHARIA P/RENOV LICENC. AMB. INT</t>
  </si>
  <si>
    <t>SERV ENGENHARIA P/RENOV. LIC. MUNIC. CAP</t>
  </si>
  <si>
    <t>SERV DE ENGENHARIA DOC ANUÊN.AMBI. MUNIC</t>
  </si>
  <si>
    <t>SERV DE ENGENHARIA DOC ANUÊN.AMBI. ESTAD</t>
  </si>
  <si>
    <t>SERV DE ENGENHARIA DOC ANUÊN.AMBI. FED.</t>
  </si>
  <si>
    <t>SERV DE ENGENHARIA P/LICENC. ERB TEMP.</t>
  </si>
  <si>
    <t>SERV ADMINISTRAÇÃO P/OB. ALV.P/CONST.CAP</t>
  </si>
  <si>
    <t>SERV ADMINISTRAÇÃO P/OB. ALV.P/CONST.INT</t>
  </si>
  <si>
    <t>SERV ADMINISTRAÇÃO P/OB. ALV. FUNC. CAP.</t>
  </si>
  <si>
    <t>SERV. ADMINISTRAÇÃO P/OB. ALV. FUNC. INT</t>
  </si>
  <si>
    <t>SERV. ADMINISTRAÇÃO P/OB. ALV. SAN. CAP.</t>
  </si>
  <si>
    <t>SERV. ADMINISTRAÇÃO P/OB. ALV. SAN. INT.</t>
  </si>
  <si>
    <t>SERV DE ADMINISTRAÇÃO DESARQ. PROC. CAP.</t>
  </si>
  <si>
    <t>SERV DE ADMINISTRAÇÃO DESARQ. PROC. INT.</t>
  </si>
  <si>
    <t>SERV DE ADMINISTRAÇÃO INSC. NO CAE</t>
  </si>
  <si>
    <t>SERV DE ADMINISTRAÇÃO COLETA TX PGT.PREF</t>
  </si>
  <si>
    <t>SERV DE ADMINISTRAÇÃO NEG. P/CONFEC. PL.</t>
  </si>
  <si>
    <t>SERV ADMINISTRAÇÃO NEG AP.SIT.RD/FER.CAP</t>
  </si>
  <si>
    <t>SERV ADMINISTRAÇÃO NEG AP.SIT.RD/FER.INT</t>
  </si>
  <si>
    <t>SERV ADMINISTRAÇÃO NEG P/OB.CERT.HAB.CAP</t>
  </si>
  <si>
    <t>SERV ADMINISTRAÇÃO NEG P/OB.CERT.HAB.INT</t>
  </si>
  <si>
    <t>SERV ADMINISTR. DE NEG. NA IMP.CART. CAP</t>
  </si>
  <si>
    <t>SERV ADMINISTR. DE NEG. NA IMP.CART. INT</t>
  </si>
  <si>
    <t>SERV ADMINIST NEG. LICENÇA PATR.HIST.MUN</t>
  </si>
  <si>
    <t>SERV ADMINIST NEG. LICENÇA PATR.HIST.EST</t>
  </si>
  <si>
    <t>SERV ADMINIST NEG. LICENÇA PATR.HIST.FED</t>
  </si>
  <si>
    <t>SERV ADMINIST NEG OBTENÇ. LIC.PREVIA CAP</t>
  </si>
  <si>
    <t>SERV ADMINIST NEG OBTENÇ. LIC.PREVIA INT</t>
  </si>
  <si>
    <t>SERV ADMINIST NEG OBTENÇ. LIC. INST. CAP</t>
  </si>
  <si>
    <t>SERV ADMINIST NEG OBTENÇ. LIC. INST. INT</t>
  </si>
  <si>
    <t>SERV ADMINIST NEG OBTENÇ. LIC. OPER. CAP</t>
  </si>
  <si>
    <t>SERV ADMINIST NEG OBTENÇ. LIC. OPER. INT</t>
  </si>
  <si>
    <t>SERV ADMINIST DE NEG. P/REN LIC. C.BOMB.</t>
  </si>
  <si>
    <t>SERV DE ADMINISTRAÇÃO DE NEGÓC. G.DE REC</t>
  </si>
  <si>
    <t>SERV ADMINISTRAÇÃO DE NEG. G.REC/CND MUN</t>
  </si>
  <si>
    <t>SERV ADMINISTRAÇÃO NEG.CERT IM/ INS. MUN</t>
  </si>
  <si>
    <t>SERV ADMINISTR.NEG.P/OB.CUOS/DOC SIM.CAP</t>
  </si>
  <si>
    <t>SERV ADMINISTR.NEG.P/OB.CUOS/DOC SIM.INT</t>
  </si>
  <si>
    <t>SERV DE ADMINISTRAÇÃO NEG. P/OB TX LIC.</t>
  </si>
  <si>
    <t>SERV DE ADMINISTRAÇÃO NEG. P/PINSC.PROF.</t>
  </si>
  <si>
    <t>SERV ADMINISTRAÇÃO NEG. P/OB. MAT. ATUAL</t>
  </si>
  <si>
    <t>SERV DE LAUDO EM COBERTURA VEGETAL C/ART</t>
  </si>
  <si>
    <t>SERV DE LAUDO AUDIOMÉTRICO C/ART</t>
  </si>
  <si>
    <t>SERV DE LAUDO GEOLÓGICO C/ART</t>
  </si>
  <si>
    <t>SERV DE LAUDO MULTIDICIPLINAR C/ART</t>
  </si>
  <si>
    <t>SERV DE LAUDO TÉCN ESTRUT.VERTICAL C/ART</t>
  </si>
  <si>
    <t>SERV DE LAUDO TÉCNICO SPDA C/ART</t>
  </si>
  <si>
    <t>SERV DE LAUDO PARA SITE CONF. L 11934</t>
  </si>
  <si>
    <t>SERV PROJETO ENG. DEC. TÉC.ART EST.VERT.</t>
  </si>
  <si>
    <t>SERV PROJETO ENG. DEC. TÉC. ART. DE SPDA</t>
  </si>
  <si>
    <t>SERV ESTUDO DE VIABIL. IMP AMB.C/ART INT</t>
  </si>
  <si>
    <t>SERV ESTUDO DE VIABIL. REGUL. LICEN. CAP</t>
  </si>
  <si>
    <t>SERV ESTUDO DE VIABIL. REGUL. LICEN. INT</t>
  </si>
  <si>
    <t>SERV ESTUDO DE VIABIL. URBANIS.C/ART CAP</t>
  </si>
  <si>
    <t>SERV ESTUDO DE VIABIL. URBANIS.C/ART INT</t>
  </si>
  <si>
    <t>SERV DE PROJETO ENG. GRÁFICO E FOTOG.ERB</t>
  </si>
  <si>
    <t>SERV PROJETO TOPOGRÁFICO CAP ÁREA&lt;1000M²</t>
  </si>
  <si>
    <t>SERV PROJETO TOPOGRÁFICO CAP ÁREA&gt;1000M²</t>
  </si>
  <si>
    <t>SERV PROJETO TOPOGRÁFICO INT ÁREA&lt;1000M²</t>
  </si>
  <si>
    <t>SERV PROJETO TOPOGRÁFICO INT ÁREA&gt;1000M²</t>
  </si>
  <si>
    <t>SERV DE PROJETO LICEN CORPO BOMB. (AVCB)</t>
  </si>
  <si>
    <t>SERV PROJ. P/PLANO CONT. AMB. C/ART INT</t>
  </si>
  <si>
    <t>SERV PROJETO ENG. PEA PROG EDUC. AMB.</t>
  </si>
  <si>
    <t>SERV DE GERENC RESÍDUOS SÓLIDOS C/ART</t>
  </si>
  <si>
    <t>SERV DE PROJ. ELABORAÇÃO DE PLANO PPCI</t>
  </si>
  <si>
    <t>SERV PROJ. ELABORAÇÃO PLANO PPCI P/SITE</t>
  </si>
  <si>
    <t>SERV DE PROJETO ELABORAÇÃO PLANO PSC</t>
  </si>
  <si>
    <t>SERV DE PROJETO ENG. P/RCA(CONT AMB) CAP</t>
  </si>
  <si>
    <t>SERV DE PROJETO ENG. P/RCA(CONT AMB) INT</t>
  </si>
  <si>
    <t>SERV ELAB. PROJETO REL. INV. COMP. SITE</t>
  </si>
  <si>
    <t>SERV PROJ. ELAB.PLANO TÉC AMB PRÉV.RETAP</t>
  </si>
  <si>
    <t>SERV ESTUDO DE IMPACTO SITE P/VIZIN. INT</t>
  </si>
  <si>
    <t>SERV DE PROJETO TÉCNICO CIVIL C/ ART</t>
  </si>
  <si>
    <t>SERV DE PROJETO TÉCNICO ELÉTRICO C/ ART</t>
  </si>
  <si>
    <t>SERV DE ESTUDO VIAB DE IMPCATO RIMA INT</t>
  </si>
  <si>
    <t>SERV PROJ. ELAB.PLANTA LAYOUT P/SITE/ENT</t>
  </si>
  <si>
    <t>SERV DE PROJETO ENG. PÓS-IMPL. SITE C/F.</t>
  </si>
  <si>
    <t>SERV DE PROJETO ENGEN. SITE PADRÃO PREF.</t>
  </si>
  <si>
    <t>SERV DE PROJETO ENG. MEM.OBRA/PROJ PAIS.</t>
  </si>
  <si>
    <t>SERV OBRA CIVIL PINTURA HARMON. FACHADA</t>
  </si>
  <si>
    <t>SERV DE LAUDO RADIOMÉTRICO MEDIDO C/ART</t>
  </si>
  <si>
    <t>SERV DE LAUDO RADIOMÉTRICO TEÓRICO C/ART</t>
  </si>
  <si>
    <t>SERV DE ADMINISTRAÇÃO NEG. PUB.  D.OFIC.</t>
  </si>
  <si>
    <t>SERV ESTUDO DE VIABIL. IMP AMB.C/ART CAP</t>
  </si>
  <si>
    <t>SERV ESTUDO DE IMPACTO SITE P/VIZIN. CAP</t>
  </si>
  <si>
    <t>SERVIÇO DE INTERPRETAÇÃO DE TEXTOS</t>
  </si>
  <si>
    <t>SERV LICEN. USO SW PACKAGE LTE mRBS 6501</t>
  </si>
  <si>
    <t>SERV. LICENÇA USO SW PACKAGE LTE MRRUS12</t>
  </si>
  <si>
    <t>SERV. DE INSTALAÇÃO/CONFIG. DE MICROFONE</t>
  </si>
  <si>
    <t>SERV PROGRAMA. SVC IMPL.DE VIRTUALIZAÇÃO</t>
  </si>
  <si>
    <t>SERV DE PROJETO LÓGICO P/INT GERENC.CPAM</t>
  </si>
  <si>
    <t>SERV. LICENÇA DE SW PARA CONTROLE NGIN</t>
  </si>
  <si>
    <t>SERV. LICENÇA DE SW P. GERENCIAM. NGIN</t>
  </si>
  <si>
    <t>SERV. LICENÇA DE SW P. SERVIDOR WEB  KIT</t>
  </si>
  <si>
    <t>SERV. LICENÇA DE SW PARA SERVIDOR CDR</t>
  </si>
  <si>
    <t>SERV. LICENÇA DE SW INTERFACE SERVIDOR</t>
  </si>
  <si>
    <t>SERV. LICENÇA DE SW P. PROTOCOLO CAMEL</t>
  </si>
  <si>
    <t>SERV. LICENÇA DE SW PARA PROTOCOLO MAP</t>
  </si>
  <si>
    <t>SERV. LICENÇA DE SW PARA SIP</t>
  </si>
  <si>
    <t>SERV. LICENÇA DE SW ROAMING INTERNAC.</t>
  </si>
  <si>
    <t>SERV. LICENÇA DE SW ROAM.INTERNAC. DEBUG</t>
  </si>
  <si>
    <t>SERV. LICENÇA DE SWPARA OAM (CADA SERV.)</t>
  </si>
  <si>
    <t>SERV. LICENÇA DE SW P. SERVIDOR WEB ADM</t>
  </si>
  <si>
    <t>SERV. LICENÇA DE SW P. INTERF. APROVISIO</t>
  </si>
  <si>
    <t>SERV. LICENÇA DE SW P. APROVISIONAMENTO</t>
  </si>
  <si>
    <t>SERV LICENÇA USO SW QLIKV. UPG SBE S/EE</t>
  </si>
  <si>
    <t>SERV LICENÇA USO SW QLIKV.  SERV EE ADIC</t>
  </si>
  <si>
    <t>SERV LICENÇA USO SW QLIKV. TEST/DEV SERV</t>
  </si>
  <si>
    <t>SERVIÇOS DE PROJETO ENG. DE INSTALACAO</t>
  </si>
  <si>
    <t>SERV. DE TESTE E START-UP DO SISTEMA</t>
  </si>
  <si>
    <t>SERV VISTORIA TÉCNICA EM SITE P/ CLIMAT.</t>
  </si>
  <si>
    <t>SERV PROJETO EXECUTIVO SIST. CLIMATIZ.</t>
  </si>
  <si>
    <t>SERV ENG SUBST. AR COND 3TR SALA/PRÉDIO</t>
  </si>
  <si>
    <t>SERV ENG SUBST. AR COND 4TR SALA/PRÉDIO</t>
  </si>
  <si>
    <t>SERV ENG SUBST. AR COND 5TR SALA/PRÉDIO</t>
  </si>
  <si>
    <t>SERV ENG SUBST. AR COND 3TR CONTAINER</t>
  </si>
  <si>
    <t>SERV ENG SUBST. AR COND 4TR CONTAINER</t>
  </si>
  <si>
    <t>SERV ENG SUBST. AR COND 5TR CONTAINER</t>
  </si>
  <si>
    <t>SERV ENG ATUAL. AR COND 3TR P/4TR SALA</t>
  </si>
  <si>
    <t>SERV ENG ATUAL. AR COND 4TR P/5TR SALA</t>
  </si>
  <si>
    <t>SERV ENG SUBST. SPLIT/SELF 3TR/220V SALA</t>
  </si>
  <si>
    <t>SERV ENG SUBST. SPLIT/SELF 4TR/220V SALA</t>
  </si>
  <si>
    <t>SERV ENG SUBSTIT. SPLIT 5TR/220V SALA</t>
  </si>
  <si>
    <t>SERV ENG SUBSTIT. SELF 5TR/220V SALA</t>
  </si>
  <si>
    <t>SERV ENG SUBST SPLIT 4TR P/SELF 5TR SALA</t>
  </si>
  <si>
    <t>SERV ENG SUBST SPLIT/SELF 3TR P/4TR SALA</t>
  </si>
  <si>
    <t>SERV ENG ACRESC. AR COND 3TR/220V SALA</t>
  </si>
  <si>
    <t>SERV ENG ACRESC. AR COND 4TR/220V SALA</t>
  </si>
  <si>
    <t>SERV ENG ACRESC. AR COND 5TR/220V SALA</t>
  </si>
  <si>
    <t>SERV ENG ATUAL. AR COND 3TR P/4TR CONT.</t>
  </si>
  <si>
    <t>SERV ENG ATUAL. AR COND 4TR P/5TR CONT.</t>
  </si>
  <si>
    <t>SERV ENG ACRESC. AR COND 3TR/220V CONT.</t>
  </si>
  <si>
    <t>SERV ENG ACRESC. AR COND 4TR/220V CONT.</t>
  </si>
  <si>
    <t>SERV ENG ACRESC. AR COND 5TR/220V CONT.</t>
  </si>
  <si>
    <t>SERV ENG IMPLAN. CABEAM E IDENT. ALARMES</t>
  </si>
  <si>
    <t>SERV ENG INTERLIG. P/SIST DETEC INCÊNDIO</t>
  </si>
  <si>
    <t>SERV ENG ADAPT PAREDES/ESTRUT/PISO CONT</t>
  </si>
  <si>
    <t>SERV ENG IMP. DRENAGEM AR COND 5TR CONT</t>
  </si>
  <si>
    <t>SERV ENG INSTAL. CONTROL. LEAD/LED 2 MÁQ</t>
  </si>
  <si>
    <t>SERV ENG INSTAL. CONTROL. LEAD/LED 4 MÁQ</t>
  </si>
  <si>
    <t>SERV ENG INSTAL. CONTROL. LEAD/LED 6 MÁQ</t>
  </si>
  <si>
    <t>SERV ENG SUBST. SIST CONTR P/LEAD 2 MAQ.</t>
  </si>
  <si>
    <t>SERV ENG INST. SIST CONTR P/LEAD 2 MAQ</t>
  </si>
  <si>
    <t>SERV ENG DESINS. SIST. CONTROLE LEAD/LAG</t>
  </si>
  <si>
    <t>SERV ENG MEDIÇÃO NÍVEL RUÍDO EXT AR COND</t>
  </si>
  <si>
    <t>SERV ENG MEDIÇÃO RUÍDO AR COND ATÉ 500KM</t>
  </si>
  <si>
    <t>SERV ENG SUBST. SIST CONTR P/ PLC 4 MÁQ.</t>
  </si>
  <si>
    <t>SERV ENG SUBST. SIST CONTR P/ PLC 6 MÁQ.</t>
  </si>
  <si>
    <t>SERV ENG INST. SIST CONTR P/PLC 4 MAQU.</t>
  </si>
  <si>
    <t>SERV ENG INST. SIST CONTR P/PLC 6 MAQU.</t>
  </si>
  <si>
    <t>SERV ENG IMPL. CIRC ELÉTR AC P/EQUIP 3TR</t>
  </si>
  <si>
    <t>SERV ENG IMPL. CIRC ELÉTR AC P/EQUIP 4TR</t>
  </si>
  <si>
    <t>SERV ENG IMPL. CIRC ELÉTR AC P/EQUIP 5TR</t>
  </si>
  <si>
    <t>SERV ENG IMPL. CIRC ELÉTR DC P/SIST CONT</t>
  </si>
  <si>
    <t>SERV ENG ADAPT PAREDES/ESTRUT/PISO SALA</t>
  </si>
  <si>
    <t>SERV ENG IMP. DRENAGEM AR COND 5TR SALA</t>
  </si>
  <si>
    <t>SERV ENG INST. SIST. CLIMAT. PROVIS. 3TR</t>
  </si>
  <si>
    <t>SERV ENG INST. SIST. CLIMAT. PROVIS. 4TR</t>
  </si>
  <si>
    <t>SERV ENG INST. SIST. CLIMAT. PROVIS. 5TR</t>
  </si>
  <si>
    <t>SERV ENG REMOÇÃO/TRANSP AR COND P/ WH</t>
  </si>
  <si>
    <t>SERV ENG SUBSTIT. DISJUNTOR GERAL 125A</t>
  </si>
  <si>
    <t>SERV ENG SUBSTIT. QD MEDIÇÃO P/MÓD ÚNICO</t>
  </si>
  <si>
    <t>SERV ENG SUBST. QD MEDIÇÃO P/MÓD COMPART</t>
  </si>
  <si>
    <t>SERV CIVIL P/ SUBST. DISJUNTOR MÓD ÚNICO</t>
  </si>
  <si>
    <t>SERV CIVIL P/ SUBST. DISJUNT MÓD COMPART</t>
  </si>
  <si>
    <t>SERV. DE LICENÇA DE USO DE SOFTWARE DIST</t>
  </si>
  <si>
    <t>SERV. DE IMPLEMENTAÇÃO DE SOFTWARE</t>
  </si>
  <si>
    <t>SERV. DE MANUTENÇÃO DE SOFTWARE</t>
  </si>
  <si>
    <t>SERV LICENÇA USO SOFTWARE BASICO W14BRNC</t>
  </si>
  <si>
    <t>LICENÇA USO SOFTWARE BASICO W14B NODEB</t>
  </si>
  <si>
    <t>SERV ATUALIZAÇAO SOFTWARE BAS. W14B RNC</t>
  </si>
  <si>
    <t>SERV ATUALIZAÇAO SOFTW. BAS. W14B NODEB</t>
  </si>
  <si>
    <t>SERV DE CONSERTO/REPARO EM PLACA DE CIRC</t>
  </si>
  <si>
    <t>SERV CONFIG/PARAM.GOVER/MONIT DATA POWER</t>
  </si>
  <si>
    <t>SERV DE CONFIGURAÇÃO/CUSTOMIZ. DATA BASE</t>
  </si>
  <si>
    <t>SERV CONFIG. PARAM. SETUP PLAT.ANALYTICS</t>
  </si>
  <si>
    <t>SERV CONSUL.INF.CICLO ANA/OPER.ANALYTICS</t>
  </si>
  <si>
    <t>SERV LICENCA USO SW ANALYTICS SERV IC/01</t>
  </si>
  <si>
    <t>SERV LICENCA USO SW ANALYTIC CONEC IC/05</t>
  </si>
  <si>
    <t>SERV LICENCA USO SW ANALY USER FIX IC/02</t>
  </si>
  <si>
    <t>SERV LICENCA USO SW ANALY.USER FLUT IC/3</t>
  </si>
  <si>
    <t>SERV. DE CONSULTORIA P/GERENCIA. DE PROJ</t>
  </si>
  <si>
    <t>LICENÇA TIMEFINDER SUITE VMAX 20K REG</t>
  </si>
  <si>
    <t>LICENÇA TIMEFINDER SUITE VMAX 20K BASE</t>
  </si>
  <si>
    <t>LICENÇA SW. VIPR CONTROLLER STARTER 50TB</t>
  </si>
  <si>
    <t>LOCAÇAO DE CAMAROTE CORPOR. P/AÇOES MKT</t>
  </si>
  <si>
    <t>SERV. DE LICENÇA DE USO SOFTWARE-NTC</t>
  </si>
  <si>
    <t>SERV DE LICENÇA DE USO SOFTWARE NTC-JMEP</t>
  </si>
  <si>
    <t>SERV INSTALAÇÃO E COMISSION. EQUIP. NTC</t>
  </si>
  <si>
    <t>SERV. ASSESSORIA OPERAÇÃO ASSISTIDA NTC</t>
  </si>
  <si>
    <t>SERV. GERENCIA DE PROJETO DE ENGENH. NTC</t>
  </si>
  <si>
    <t>SERV. DE SUPORTE TEC. INFORMAT</t>
  </si>
  <si>
    <t>SERV. LICENÇ DE USO SW HP 3PAR STORESERV</t>
  </si>
  <si>
    <t>SERV LICENÇA DE USO SW HP 3PAR7000/7450</t>
  </si>
  <si>
    <t>SERV LICENÇ DE USO SW HP 3PAR 7000SRVCA</t>
  </si>
  <si>
    <t>SERV LICENÇ DE SW HP 3PAR REPORTING SUIT</t>
  </si>
  <si>
    <t>SERV. LICENÇA DE USO SOFTW. MIRRORDIS/UX</t>
  </si>
  <si>
    <t>LIC. USO SW E-DEL VMW VSPHERE ENTPLUS1P</t>
  </si>
  <si>
    <t>SERV LIC. USO SW DELIV VMW VCNTR SRV STD</t>
  </si>
  <si>
    <t>SERV LIC USO SW HP 3PAR 7400 DYN OPTBASE</t>
  </si>
  <si>
    <t>SERV LIC USO SW HP 3PAR7400 DYNOPT DRIVE</t>
  </si>
  <si>
    <t>SERV LIC USO SW HP 3PAR7400 ADAP OPTBASE</t>
  </si>
  <si>
    <t>SERV LIC USO SW HP 3P.7400 AD.OPT DRIVE</t>
  </si>
  <si>
    <t>SERV LICEN USO SW HP 3PAR 7400 OS SUITE</t>
  </si>
  <si>
    <t>SERV. LICENÇA USO SW HP-UX 11I V3 CDROM</t>
  </si>
  <si>
    <t>SERV LICENÇ USO SW HP 3PAR 7400 REP SUIT</t>
  </si>
  <si>
    <t>SERV LIC.USO SW HPUX 11I V3 B.OE LTU EDE</t>
  </si>
  <si>
    <t>SERV.DE PROJ/PLANEJAMENTO PARA MCRNC</t>
  </si>
  <si>
    <t>SERV. DE PROJ./PLANEJAMENTO PARA OMS</t>
  </si>
  <si>
    <t>SERV. DE PROJ./PLANEJAMENTO P/MEGAMON MC</t>
  </si>
  <si>
    <t>SERV ANÁLISE CAPAC. BALAN. NODEB POR RNC</t>
  </si>
  <si>
    <t>SERV ANALISE E DESEN.CUSTOMIZ SW PORTAL</t>
  </si>
  <si>
    <t>SERV. CONFIG/PARAMETRIZAÇÃO MOBILE CORE</t>
  </si>
  <si>
    <t>SERV DE CONFIGURAÇÃO DE SIST.DNS NOMINUM</t>
  </si>
  <si>
    <t>SERV DE CONFIGURAÇÃO SIST. DA SOLUÇÃO F5</t>
  </si>
  <si>
    <t>SERV DE CONFIG/MIGRAÇÃO DE SIST. BIND</t>
  </si>
  <si>
    <t>LICENÇA DE USO SW RDS in WCDMA P/ DOT</t>
  </si>
  <si>
    <t>LICENÇA DE USO SW RDS in LTE P/ DOT</t>
  </si>
  <si>
    <t>LIC. USO SW NODEB 6202 BS 3x1 128CE 45HS</t>
  </si>
  <si>
    <t>LIC. USO SW eNODEB 6202 BS LTE P/ ENODEB</t>
  </si>
  <si>
    <t>SERV LICENÇA USO SW RCIA ACIM. 300 ROTEA</t>
  </si>
  <si>
    <t>SERV ORGANIZAÇAO/RECEP. FESTA FIM DE ANO</t>
  </si>
  <si>
    <t>SERV. INSTALAÇÃO/COMISSION. P/IMPL MCRNC</t>
  </si>
  <si>
    <t>SERV. INSTALAÇÃO/COMISSION. P/IMPL. OMS</t>
  </si>
  <si>
    <t>SERV INSTALAÇÃO/COMISS.P/IMPL.MEGAMON MC</t>
  </si>
  <si>
    <t>LIC USO SW EXP CAPAC WCDMA DUW3x a DUW41</t>
  </si>
  <si>
    <t>SERV OBRA ELETRICAS MONT.TRANSFORMADORES</t>
  </si>
  <si>
    <t>CARTAO VALE VIAGEM PARA AÇÃO PROMOCIONAL</t>
  </si>
  <si>
    <t>SERV. DE SEMINARIO/WORSHOP DO SW.</t>
  </si>
  <si>
    <t>SERVIÇO DE TREINAMENTO USUARIO AVANÇADO</t>
  </si>
  <si>
    <t>SERVIÇO DE TREINAMENTO DESENVOLVEDOR</t>
  </si>
  <si>
    <t>SERVIÇO DE TREINAMENTO ADMINISTRADOR</t>
  </si>
  <si>
    <t>SERV. DE CONFIGUR. DE SW OPER. ASSIST.</t>
  </si>
  <si>
    <t>SERV. DE ANALISE E DESENVOL. P/MODULO 2</t>
  </si>
  <si>
    <t>SERV. DE ANALISE E DESENVOL. P/MODULO 1</t>
  </si>
  <si>
    <t>SERV. ANALISE E DESENV. DESENHO TECNICO</t>
  </si>
  <si>
    <t>SERV. CONSULT EM INFORM.P/LEVANT DE NEC.</t>
  </si>
  <si>
    <t>SERV LICENÇA USO SW RCIA P/101-300 ROTEA</t>
  </si>
  <si>
    <t>SERV LICENÇA USO SW RCIA P/ 1-100 ROTEAD</t>
  </si>
  <si>
    <t>SERV LICENÇA USO SW CPAM-SM AC 300 ROTE.</t>
  </si>
  <si>
    <t>SERV LICENÇA USO SW CPAM-SM P/101-300ROT</t>
  </si>
  <si>
    <t>SERV LICENÇA USO SW CPAM-SM P/1-100 ROT.</t>
  </si>
  <si>
    <t>SERV LICENÇA USO SW CPAM P/AC 300 ROTEA</t>
  </si>
  <si>
    <t>SERV LICENÇA USO SW CPAM P/101-300 ROTEA</t>
  </si>
  <si>
    <t>SERV LICENÇA USO SW CPAM P/1-100 ROTEAD</t>
  </si>
  <si>
    <t>SERV. LICENÇA DE USO SOFTWARE CPAM-O 5.0</t>
  </si>
  <si>
    <t>SERV. LICENÇ DE SOFTWARE CPAM BASICO 5.0</t>
  </si>
  <si>
    <t>SERV LICENÇ. DE USO DE SW PROJ. LOG.CPAM</t>
  </si>
  <si>
    <t>SERV. ENGENHARIA P/TESTE DO SIST. NA FAB</t>
  </si>
  <si>
    <t>SERV. IMPLANT. DE SISTEMA DE TRANSMISSAO</t>
  </si>
  <si>
    <t>SERV DE SUPORTE INF. UPGRADE SM.SUP 6500</t>
  </si>
  <si>
    <t>LICENÇA SOFTW. SRMSUITE 20K 601-1PB CB2</t>
  </si>
  <si>
    <t>LICENÇA SOFTW. SRMSUITE 20K 601-1PB CB1</t>
  </si>
  <si>
    <t>LICENÇA DE SOFTW. SRMSUITE 20K BASE IC</t>
  </si>
  <si>
    <t>SERVIÇO CONSULTORIA INFORM. PS-CUS-ASD</t>
  </si>
  <si>
    <t>SERVIÇO CONSULTORIA INFORM.PS-BAS-VIPRSP</t>
  </si>
  <si>
    <t>SERVIÇO-CAPACITAÇAO E APRENDIZAGEM</t>
  </si>
  <si>
    <t>SERV. DE INSTALAÇAO DE SW COGONOS</t>
  </si>
  <si>
    <t>LOCAÇAO DE ESPAÇO EM CAMPO DE FUTEBOL</t>
  </si>
  <si>
    <t>LICENÇA DE USO DE MARCA - WALT DISNEY</t>
  </si>
  <si>
    <t>SERV. APOIO ADM. P/ESTUDO VIABILIDADE</t>
  </si>
  <si>
    <t>SERV LIC. SW SW UPG MAX CAPACITY</t>
  </si>
  <si>
    <t>SERV LIC. SW UPG SPLIT TP/HS REDUNDANC</t>
  </si>
  <si>
    <t>SERV LIC. SW UPG SPLIT RF SP P/HP</t>
  </si>
  <si>
    <t>SERV LIC. SW UPG SPLIT ADIC1RF 15-38</t>
  </si>
  <si>
    <t>SERV LIC. SW UPG SPLIT ADIC1RF 6-11</t>
  </si>
  <si>
    <t>SERV LIC.SW SPLIT 15-38 4+0,12GE 32E12ST</t>
  </si>
  <si>
    <t>SERV LIC. SW SPLIT15-38 1+1/2+0,8GE 16E1</t>
  </si>
  <si>
    <t>SERV LIC. SW SPLIT 15-38 1+0 6GE 16E1</t>
  </si>
  <si>
    <t>SERV LIC. SW SPLIT 6-11 4+0 12GE 32E1 2S</t>
  </si>
  <si>
    <t>SERV LIC. SW SPLIT 6-11 1+1/2+0,8GE 16E1</t>
  </si>
  <si>
    <t>SERV LIC. SW MW SPLIT 6-11 1+0,6GE 16E1</t>
  </si>
  <si>
    <t>SERV LIC. USO SW IDU 12GE 48E1 4STM</t>
  </si>
  <si>
    <t>SERV LIC. USO SW IDU 12GE 32E1 2STM</t>
  </si>
  <si>
    <t>SERV LIC. USO SW IDU 8GE 16E1</t>
  </si>
  <si>
    <t>SERV LIC. USO SW IDU 6GE 16E1</t>
  </si>
  <si>
    <t>SERV LIC. SW MW FULLOUT AX 15-38 1+0</t>
  </si>
  <si>
    <t>SERV LIC. SW MW FULLOUT AX 4-11 4+0</t>
  </si>
  <si>
    <t>SERV LIC. SW MW FULLOUT AX 4-11 2+0</t>
  </si>
  <si>
    <t>SERV LIC. SW MW FULLOUT AX 4-11 1+0</t>
  </si>
  <si>
    <t>SERV LIC. SW UPG ALT3RF SDH p/ IP 4-11</t>
  </si>
  <si>
    <t>SERV LIC. SW UPG ALT2RF SDH p/ IP 4-11</t>
  </si>
  <si>
    <t>SERV LIC. SW UPG ALT1RF SDH p/ IP 4-11</t>
  </si>
  <si>
    <t>SERV LIC. SW UPG 3RF 4-11</t>
  </si>
  <si>
    <t>SERV LIC. SW UPG 2RF 4-11</t>
  </si>
  <si>
    <t>SERV LIC. SW SW UPG 1RF 4-11</t>
  </si>
  <si>
    <t>SERV LIC. SW 4-11 6+1/7+0,12GE 32E1 4STM</t>
  </si>
  <si>
    <t>SERV LIC. SW 4-11 7+1/8+0,12GE 32E1 4STM</t>
  </si>
  <si>
    <t>SERV LIC. SW 4-11 5+1/6+0,12GE 32E1 4STM</t>
  </si>
  <si>
    <t>SERV LIC. SW 4-11 4+1/5+0,12GE 32E1 4STM</t>
  </si>
  <si>
    <t>SERV LIC. SW 4-11 3+1/4+0,12GE 32E1 4STM</t>
  </si>
  <si>
    <t>SERV LIC. SW UPG INTF ADIC2STM</t>
  </si>
  <si>
    <t>SERV LIC. SW UPG INTFC ADIC2GE</t>
  </si>
  <si>
    <t>SERV LIC. SW UPG INTFC ADIC16E1</t>
  </si>
  <si>
    <t>SERV LIC. SW MW FULLOUT AX15-38 4+0</t>
  </si>
  <si>
    <t>SERV LIC. SW MW FULLOUT AX 15-38 1+1/2+0</t>
  </si>
  <si>
    <t>SERV TEC. EM TELEC.PPI/SSV/QRF SMALLCELL</t>
  </si>
  <si>
    <t>SERV TEC. EM TELEC. INS/COMIS. PICO CELL</t>
  </si>
  <si>
    <t>SERV TEC. EM TELEC. INS/COMIS.MICRO CELL</t>
  </si>
  <si>
    <t>SERV LICENÇA USO SW P/COM.SERV OTT PL.C.</t>
  </si>
  <si>
    <t>SERV LICENÇA USO SW P/CONT REC. PLAT CEM</t>
  </si>
  <si>
    <t>SERV. DE IMPLANT. REDE REFILIAÇÃO DE RNC</t>
  </si>
  <si>
    <t>SERV. PROJ/PLANEJAMEN. DE REDE REFIL RNC</t>
  </si>
  <si>
    <t>SERV IMPL. REDE REF BSC CIM MUD. DE CORE</t>
  </si>
  <si>
    <t>SERV PROJ/PLANEJ.REDE REFIL BSC MUD/CORE</t>
  </si>
  <si>
    <t>SERV. PROJ/PLANEJAMEN. DE REDE REFIL BSC</t>
  </si>
  <si>
    <t>SERV.ESTUDO VIAB.PROJETO/PERM./LIC.LOJAS</t>
  </si>
  <si>
    <t>SERV LIC USO SW HWAC P/ EOVET C/8 PORTAS</t>
  </si>
  <si>
    <t>SERV LIC USO SW EVO USUAR. HWAC (1000US)</t>
  </si>
  <si>
    <t>SERV LIC USO SW Evo Perfo HWAC (50 Mbps)</t>
  </si>
  <si>
    <t>SERV LIC USO SW EVO RNC Mod Exp 34-67AMX</t>
  </si>
  <si>
    <t>SERV LIC USO SW EVO RNC Mod Exp 18-67AMX</t>
  </si>
  <si>
    <t>SERV LIC USO SW EVO RNC Mod Exp 18-34AMX</t>
  </si>
  <si>
    <t>SERV LICENÇA USO SW EVO RNC Modelo 4 AMX</t>
  </si>
  <si>
    <t>SERV LICENÇA USO SW EVO RNC Modelo 2 AMX</t>
  </si>
  <si>
    <t>SERV LICENÇA USO SW EVO RNC Modelo 1 AMX</t>
  </si>
  <si>
    <t>SERV CONSTR. CV PARA FECHAM. SALA EQUIP.</t>
  </si>
  <si>
    <t>SERV REFORÇO ESTRUTURAL INFRA1000/2000KQ</t>
  </si>
  <si>
    <t>SERV REFORÇO ESTRUTURAL INFRA 500/1000KQ</t>
  </si>
  <si>
    <t>SERV CONSUL.INFORM. P/RECUP. CHAM.N FAT.</t>
  </si>
  <si>
    <t>SERV.PROCESSAM.DADOS P/MEDIA PAG.REC</t>
  </si>
  <si>
    <t>SERV PROCESSAM. DADOS PLAT. JOBC REC/SEL</t>
  </si>
  <si>
    <t>LOCAÇAO DE ESPAÇO P/DIVULGAÇAO DE MARCAS</t>
  </si>
  <si>
    <t>SERV SUPORTE EM INFOR. P/INTERCON. EQUIP</t>
  </si>
  <si>
    <t>SERV TEC EM TELEC. SUPERV INST EQUIP</t>
  </si>
  <si>
    <t>TRANSPORTE MUNICIPAL RODOVIARIO CARGAS</t>
  </si>
  <si>
    <t>TRANSPORTE MOBILIARIO ENTRE PREDIOS</t>
  </si>
  <si>
    <t>CONSERTO MECANISMO ELEVAT MESA DE MICRO</t>
  </si>
  <si>
    <t>SERV DE TAPEÇARIA NA FORRAÇAO DE TECIDOS</t>
  </si>
  <si>
    <t>SERV 14.11</t>
  </si>
  <si>
    <t>SERV DE TAPEÇARIA NA FORRAÇAO (DIVERSAS)</t>
  </si>
  <si>
    <t>MANUT CADEIRAS (LUBRIF. AJUSTE, APERTO)</t>
  </si>
  <si>
    <t>SERV DE TAPEÇARIA PARA CONSERTO DE BASE</t>
  </si>
  <si>
    <t>SERV DE TAPEÇARIA NA SUBST BASE</t>
  </si>
  <si>
    <t>SERV DE TAPEÇARIA SUBST ACENTO/ENCOSTO</t>
  </si>
  <si>
    <t>SERV TAPEÇARIA SUBST TEC PAINEL/BIOMBO</t>
  </si>
  <si>
    <t>SERV DE TAPEÇARIA NA SUBST DA HASTE</t>
  </si>
  <si>
    <t>SERV DE TAPEÇARIA NA SUBST DO BRAÇO</t>
  </si>
  <si>
    <t>SERV DE TAPELARIA NA SUBS PATA-TUBO</t>
  </si>
  <si>
    <t>SERV DE TAPEÇARIA NA SUBST PISTAO</t>
  </si>
  <si>
    <t>CORTE DE PANEL P/ ADAPTAÇAO DE ALTURA</t>
  </si>
  <si>
    <t>SERV. TAPEÇARIA SUBST TEC PAINEL/BIOMBO</t>
  </si>
  <si>
    <t>SERV CARPINT/SERRAL DESMONTAGEM PAINEL</t>
  </si>
  <si>
    <t>SERV CARPINT/SERRAL MONTAG PAINEL</t>
  </si>
  <si>
    <t>SERV CARPINT/SERRAL MONTAG ESTAÇAO TRAB</t>
  </si>
  <si>
    <t>SERV INST/COMIS/INT/ MIGR  SGSN  / TRAFF</t>
  </si>
  <si>
    <t>SERV PROJ ENG SGSN/TRAFFICA / REF ASSOC</t>
  </si>
  <si>
    <t>SERV CONST SITE GF ATE 300M2 CERCA CONCR</t>
  </si>
  <si>
    <t>SERV CONST SITE GF 150-300M2 CERCA CONCR</t>
  </si>
  <si>
    <t>SERV CONST SITE GF ATE 150M2 CERCA CONCR</t>
  </si>
  <si>
    <t>SERV LICENÇA DE USO SOFT.SMS TOKEN PORT.</t>
  </si>
  <si>
    <t>SERV REMANEJAMENTO EQUIP/MODULOS RF50KM</t>
  </si>
  <si>
    <t>SERV REMANEJAM. DE EQUIP/MODULOS RF100km</t>
  </si>
  <si>
    <t>SERV INSTAL EQP/ATIV SITE 2A PORTA LÓGIC</t>
  </si>
  <si>
    <t>SERV TEC. EM TELECOM. P/2A PORTADORA SW</t>
  </si>
  <si>
    <t>SERV. PLANEJAM/CONFIGUR. DA 2A PORTA SW</t>
  </si>
  <si>
    <t>SERV. PLANEJAMENTO RADIO FREQ 2A PORT SW</t>
  </si>
  <si>
    <t>SERVIÇO DE REFORMA PREDIAL</t>
  </si>
  <si>
    <t>SERV LEVANT. NOVOS REQUISITOS PROJ CEM</t>
  </si>
  <si>
    <t>SERVIÇOS DE  IMPLEMENTAÇAO PROJ CEOC</t>
  </si>
  <si>
    <t>SERV LIC. DE SOFTWARE VERSAO 10.1 p/6500</t>
  </si>
  <si>
    <t>SERVIÇO DE COBRANÇA</t>
  </si>
  <si>
    <t>SERV LIC.USO SW HP 3PAR 7450 VIR.CP.DRIV</t>
  </si>
  <si>
    <t>SERV LIC.USO SW HP 3PAR 7450 REPORT SUIT</t>
  </si>
  <si>
    <t>SERV LIC.DE USO SW HP 3PAR STORE SERV.</t>
  </si>
  <si>
    <t>SERV LIC.USO ELETR. SW HP 3PAR 7000/7450</t>
  </si>
  <si>
    <t>SERV LIC.USO ELETR.SW HP 3PAR 7000/SRVCA</t>
  </si>
  <si>
    <t>SERV LIC.USO ELETR.SW HP 3PAR REPRT.SUIT</t>
  </si>
  <si>
    <t>SERV IMPLANT.DE SIST.DE SEGUR-CFTV/ALAR.</t>
  </si>
  <si>
    <t>Ser desembar, aduan, comis, despach cong</t>
  </si>
  <si>
    <t>SERV MOBILIZ. CARGA DESCARGA DE TRANSFOR</t>
  </si>
  <si>
    <t>SERV DE MAPEAMENTO DE INFRAESTRUTURA</t>
  </si>
  <si>
    <t>SERV COORDENAÇAO PROJETO CEM</t>
  </si>
  <si>
    <t>SERV TRANSPORTE MUNIC. ESPEC. CONT DESM.</t>
  </si>
  <si>
    <t>SERV. TREINAMENTO SIST. GERADOR FOTOVOL</t>
  </si>
  <si>
    <t>SERV INSTAL.GERADOR FOTOV CONCEN 22,8KWP</t>
  </si>
  <si>
    <t>SERV INSTAL.GERADOR FOTOV CONVE 16,32KWP</t>
  </si>
  <si>
    <t>SERV INSTAL.GERADOR FOTOV REPET 10,08KWP</t>
  </si>
  <si>
    <t>SERV LIC.USO SW HP 3PAR 7450 VIR.CP.BASE</t>
  </si>
  <si>
    <t>SERV CONSTRUÇÃO SALA CONCENTRADOR DE TX</t>
  </si>
  <si>
    <t>SERV ANAL.E DESENVOL.DE SW CDRVIEW JINNY</t>
  </si>
  <si>
    <t>SERV TEC SUP E MANUT DA PLATAFORMA CEM</t>
  </si>
  <si>
    <t>SERV. PLANEJ DE REDE REFIL BSC MUD. CORE</t>
  </si>
  <si>
    <t>SERV. DE REF BSC CIM MUDANÇA DE CORE</t>
  </si>
  <si>
    <t>SERV. DE REFILIAÇÃO RNC</t>
  </si>
  <si>
    <t>SERV LICEN USO SOFTW. CHAN.ELEM.P/NODE-B</t>
  </si>
  <si>
    <t>SERV. LICENC.DE USO DE SW FEE P/3 FUNC.</t>
  </si>
  <si>
    <t>SERV. LICENC.DE USO DE SW FEE P/5 FUNC.</t>
  </si>
  <si>
    <t>SERV. LICENC.DE USO DE SW FEE P/7 FUNC.</t>
  </si>
  <si>
    <t>SERV. LICENC.DE USO DE SW FEE P/10 FUNC.</t>
  </si>
  <si>
    <t>SERV. LICEN. DE USO SOFTW USUAR. ATP/LTE</t>
  </si>
  <si>
    <t>SERV. ESTUDO/VERIF.P/ENTERRAMENTO CABOS</t>
  </si>
  <si>
    <t>SERV. INSTALAÇAO/TESTE CABO TERRESTRE</t>
  </si>
  <si>
    <t>SERVIÇO DE PROTEÇAO DE CABOS</t>
  </si>
  <si>
    <t>SERV.LANÇAMENTO E TESTE DE CABOS</t>
  </si>
  <si>
    <t>SERV. ENTERRAMENTO DE CABOS C/ARADOS</t>
  </si>
  <si>
    <t>SERV. POS LANÇAMENTO/INSP/ENTERRAM.CABOS</t>
  </si>
  <si>
    <t>SERV. PASSAGEM DE ANCORA PRE-LANÇAMENTO</t>
  </si>
  <si>
    <t>SERVIÇO DE HOSPEDAGEM EM EVENTO</t>
  </si>
  <si>
    <t>SERVIÇO DE ADMINISTRAÇÃO</t>
  </si>
  <si>
    <t>SERV. LICENÇA DE SW FUNÇÃO SERVIÇO</t>
  </si>
  <si>
    <t>SERV. LICENÇA DE SW NOVA INTERFACE LBS</t>
  </si>
  <si>
    <t>SERV. LICENÇA DE SW INTERFACE COM BROKER</t>
  </si>
  <si>
    <t>SERV INST EXT ALM CABEAMENTO EQUIP RADIO</t>
  </si>
  <si>
    <t>SERV TEC.TELEC DESATIVAÇÃO/REMANEJ.RNC</t>
  </si>
  <si>
    <t>SERV. LIC DE USO SW SC, SCA, VMCC 9o DIG</t>
  </si>
  <si>
    <t>SERVIÇOS DE INSTALAÇÃO CABOS ARMADO</t>
  </si>
  <si>
    <t>SERVIÇOS DE INSTALAÇÃO CABOS NAO ARMADO</t>
  </si>
  <si>
    <t>SOFTWARE-GERENCIAMENTO MODULO E5E1T1B</t>
  </si>
  <si>
    <t>SOFTWARE-GERENCIAMENTO MODULO E5ATM-B</t>
  </si>
  <si>
    <t>SERV.DESOBSTRUÇAO DE ROTA DE CABOS</t>
  </si>
  <si>
    <t>SERV. VERIFICAÇAO DE ROTA DE CABOS</t>
  </si>
  <si>
    <t>SERV.INSTALAÇAO DE PROT. C/DUTOS ARTIC.</t>
  </si>
  <si>
    <t>SERV.ENTERRAMENTO CABOS P/JATEAM.MERGUL.</t>
  </si>
  <si>
    <t>SERV. LANÇAMENTO DE CABOS CHEG. PRAIA</t>
  </si>
  <si>
    <t>SERV. SUPORTE P/LANCAMEN. CABO CH.PRAIA</t>
  </si>
  <si>
    <t>SERV. TREINAMENTO NA ESTAÇAO DE CABOS</t>
  </si>
  <si>
    <t>SERV. DE TESTES EM EQUIP. TERMINAIS(LTE)</t>
  </si>
  <si>
    <t>SERV. TESTE EM EQUIPAM. DE ENERGIA (PFE)</t>
  </si>
  <si>
    <t>SERV. INSTALAÇAO DE EQUIP. TERMINAL(LTE)</t>
  </si>
  <si>
    <t>SERV. INSTAL. DE GERENCIA DE REDE (NMS)</t>
  </si>
  <si>
    <t>SERV. INSTA. EQUIP. DE ENERGIA (PFE)</t>
  </si>
  <si>
    <t>SERVIÇO DE SWAP DE GABINETE EMERSON</t>
  </si>
  <si>
    <t>LIC USO DE CAPACIDADE TRÁFEGO DIAMETER</t>
  </si>
  <si>
    <t>LIC USO DE CAPACIDADE SESSÕES CHARGING</t>
  </si>
  <si>
    <t>LIC USO DE CAPACIDADE SESSÕES POLICY</t>
  </si>
  <si>
    <t>SOFTWARE APLICAÇÃO ROAMING PROXY ADV II</t>
  </si>
  <si>
    <t>SOFTWARE APLICAÇÃO ROAMING PROXY</t>
  </si>
  <si>
    <t>Propagando e Publicidade Legal</t>
  </si>
  <si>
    <t>SERVIÇOS ADMINISTRATIVOS DE LOJA</t>
  </si>
  <si>
    <t>SOFTWARE GERENCIAMENTO MODULO ENETB</t>
  </si>
  <si>
    <t>SOFTWARE GERENCIAMENTO MODULO SM8G</t>
  </si>
  <si>
    <t>SOFTWARE GERENCIAMENTO MODULO APP-B</t>
  </si>
  <si>
    <t>LICENÇA DE CAPACIDADE DE BD APP-B 500K</t>
  </si>
  <si>
    <t>SOFTWARE APROVISIONAMENTO  MODULO APP-B</t>
  </si>
  <si>
    <t>SOFTWARE DE ROTEAMENTO DE SMS</t>
  </si>
  <si>
    <t>SOFTWARE-ROTEAMENTO BASEADO EM ORIGEM</t>
  </si>
  <si>
    <t>SOFTWARE DE PROCESSAMENTO DE GTT</t>
  </si>
  <si>
    <t>SOFTWARE DE FUNCIONALIDADE EIR</t>
  </si>
  <si>
    <t>SOFTWARE-FUNCIONALIDADES DE SEGURANÇA</t>
  </si>
  <si>
    <t>SOFTWARE SERVIÇO PORTABILIDADE NUMERICA</t>
  </si>
  <si>
    <t>SOFTWARE DE SERVIÇOS AVANÇADOS DA SM8G</t>
  </si>
  <si>
    <t>LICENÇA DE USO DE CAPACIDADE 250K TPS</t>
  </si>
  <si>
    <t>SOFTWARE DE SISTEMA E5-EAGLE</t>
  </si>
  <si>
    <t>SOFTWARE-GERENCIAMENTO MODULO E5ATM-A</t>
  </si>
  <si>
    <t>SERVIÇO TECNICO DE SOFTWARE PREMIER</t>
  </si>
  <si>
    <t>SOFTWARE DE PLAT. ORACLE COMMUNICATIONS</t>
  </si>
  <si>
    <t>SOFTWARE APLICAÇAO ONLINE CHARGING PROXY</t>
  </si>
  <si>
    <t>SOFTWARE DE APLICAÇAO POLICY PROXY</t>
  </si>
  <si>
    <t>SOFTWARE SISTEMA INTEGRADO MONITORAÇAO</t>
  </si>
  <si>
    <t>SOFTWARE APLICAÇAO POLICY PROXY ADVII</t>
  </si>
  <si>
    <t>SOFTWARE BASE DA PLATAFORMA OCDSR</t>
  </si>
  <si>
    <t>SOFTWARE APLICAÇAO TRADUÇAO DE PROTOCOLO</t>
  </si>
  <si>
    <t>LICENÇA DE BASE DE DADOS IDIH</t>
  </si>
  <si>
    <t>SOFTWARE APLICAÇAO DIAMETER CORE ROUTING</t>
  </si>
  <si>
    <t>SOFTWARE APLICAÇAO DIAMETER ROUTINGADVII</t>
  </si>
  <si>
    <t>SERV.RECRUT.SELEÇAO ADM.ESTAGIARIOS</t>
  </si>
  <si>
    <t>SERVIÇO DE CALLCENTER BRASILCENTER</t>
  </si>
  <si>
    <t>SERV DE TREINAMENTO MEGAMON</t>
  </si>
  <si>
    <t>SERV DE TREINAMENTO OMS TROUBLESHOOTING</t>
  </si>
  <si>
    <t>SERV DE TREINAMENTO OMS HOT</t>
  </si>
  <si>
    <t>SERV TREINAMENTO MCRNC TROUBLESHOOTING</t>
  </si>
  <si>
    <t>SERV DE TREINAMENTO PARA MCRNC O&amp;M</t>
  </si>
  <si>
    <t>SERV. DE INSTALAÇÃO DE PLATAFORMA NGIN</t>
  </si>
  <si>
    <t>SERV. LICENÇA DE SW BBSMAP-RESET ECALL</t>
  </si>
  <si>
    <t>SERV PLAN.  FEATURE SOLUCAO CITA / RTT</t>
  </si>
  <si>
    <t>SERV IMPL FEATURE SOLUCAO CITA / RTT</t>
  </si>
  <si>
    <t>SERV PLANEJAM FEATURE SOLUCAO QOS REG NO</t>
  </si>
  <si>
    <t>SERV IMPL FEATURE SOLUCAO QOS REG NO</t>
  </si>
  <si>
    <t>SERV DE PLANEJAM.PARA CONF FEAT PB2015</t>
  </si>
  <si>
    <t>PACOTE DE SW MULTIPOINT GSM</t>
  </si>
  <si>
    <t>SERV PLANEJ REM INSTAL MGW MSSI9 MGWSI14</t>
  </si>
  <si>
    <t>SERV PLANEJ REM INSTAL MGW BA 16 PARA GO</t>
  </si>
  <si>
    <t>SERVIÇO DE CONFIGURAÇAO DE HOSTNAME</t>
  </si>
  <si>
    <t>Serv de Produção de Eventos Callcenter</t>
  </si>
  <si>
    <t>SERV INSTAL/COMISSION. ANTENA COW 3G/4G</t>
  </si>
  <si>
    <t>SERV INSTAL/COMISSION. ANTENA COW 3TECH</t>
  </si>
  <si>
    <t>SERV INSTAL DE EQUIP ATM/DUAL-STACK COW</t>
  </si>
  <si>
    <t>SERV ELABOR. PROJ. PARAM. DE DESIGN COW</t>
  </si>
  <si>
    <t>SERV. ELABOR. PROJET. DOC. QRF PARA COW</t>
  </si>
  <si>
    <t>SERV. REMANEJAMENTO DE MOBILIARIO</t>
  </si>
  <si>
    <t>SERV CONSULTORIA EXIGE RURAL</t>
  </si>
  <si>
    <t>SERV PLANEJAMENTO PARA REMOCAO DE MGW</t>
  </si>
  <si>
    <t>SERV PLANEJAMENTO PARA REMOCAO DE MSS</t>
  </si>
  <si>
    <t>SERV PLANEJ NONO DIGITO AREA 6X E 7X</t>
  </si>
  <si>
    <t>SERV PLANEJ REDE REFIL BSC - LADO ACESSO</t>
  </si>
  <si>
    <t>SERV OTIMIZACAO DO CORE (SEM TOOL)</t>
  </si>
  <si>
    <t>SERV PLANEJ FEAT MOCN RSHARING LADO CORE</t>
  </si>
  <si>
    <t>SERV PLANEJAMENTO FEATURE IUCS-IP</t>
  </si>
  <si>
    <t>SERV PLANEJ FEAT LBS ALT PCODE LADO CORE</t>
  </si>
  <si>
    <t>SERV PLANEJ INTEGRACAO 2G NO POOL RJ/ES</t>
  </si>
  <si>
    <t>SERV PLANEJ BALANCEAMENTO INTERCONEXAO</t>
  </si>
  <si>
    <t>SERV GERENCIAMENTO DE PROJETO NPO</t>
  </si>
  <si>
    <t>SERV GERENCIAMENTO DE PROJETO CARE</t>
  </si>
  <si>
    <t>SERV GERENCIAMENTO DE PROJETO NI</t>
  </si>
  <si>
    <t>SERV GERENCIAMENTO TECNICO DE IMPL</t>
  </si>
  <si>
    <t>SERV DRIVE TEST VERIF PERFORM SITE</t>
  </si>
  <si>
    <t>SERV EXTENSÃO DE ROTA TRANSMISSAO</t>
  </si>
  <si>
    <t>SERV INSTAL /COMISSIONAMENTO COW  2 TECH</t>
  </si>
  <si>
    <t>SERV IMPL MGW ROUTE DATA E MIGR TRAFFICA</t>
  </si>
  <si>
    <t>SERV IMPLANT. PARA EXPANSAO MGW EM REDE</t>
  </si>
  <si>
    <t>SERV IMPLANT NOVO  MSS/MIGR DE TRAFFICA</t>
  </si>
  <si>
    <t>SERV CONFIG.UPG DE SW MSS DA RED P/M16.2</t>
  </si>
  <si>
    <t>SERV CONFIG UPG DE  SW MGW DA REDE P/ U6</t>
  </si>
  <si>
    <t>SERV INSTAL. SW NONO DIGITO AREA 6X E 7X</t>
  </si>
  <si>
    <t>SERV INST.MASSA DE SW CS CORE 6M</t>
  </si>
  <si>
    <t>SERV INSTALACAO REFIL BSC - LADO ACESSO</t>
  </si>
  <si>
    <t>SERV INST DE SW  MOCN RSHARING LADO CORE</t>
  </si>
  <si>
    <t>SERV INST/IMPLEMENT. SW FEATURE IUCS-IP</t>
  </si>
  <si>
    <t>SERV INST. DE SW LBS ALT PCODE LD CORE</t>
  </si>
  <si>
    <t>SERV IMPL  INTEGRACAO 2G</t>
  </si>
  <si>
    <t>SERV CONFIG/INTEGR.DO 2G</t>
  </si>
  <si>
    <t>SERV IMPL BALANCEAM.DE INTERCONEXAO REDE</t>
  </si>
  <si>
    <t>SERV MIGR SEGUR/ALARMES CENTRAL SAN/PA4</t>
  </si>
  <si>
    <t>SERV. REMANEJ. EQUIP.REDE MGW</t>
  </si>
  <si>
    <t>SERV DESMOBIL. DESATIVACAO DE EQUIP. MSS</t>
  </si>
  <si>
    <t>SERV. DE CONSULT. EM INFOR. DE CAMPANHAS</t>
  </si>
  <si>
    <t>SERVIÇO DE MANUTENÇAO DE BANCO DE DADOS</t>
  </si>
  <si>
    <t>SERV DE MANUT EQUIP TROCA DE DISJUNTOR</t>
  </si>
  <si>
    <t>LIC SW  DE ATIVAÇAO DUW30 P DUW41 1728</t>
  </si>
  <si>
    <t>LIC SW  DE ATIVAÇAO RRUS11/32  AWS 4G</t>
  </si>
  <si>
    <t>LIC SW  DE ATIVAÇAO  RRUS01/12  850  3G</t>
  </si>
  <si>
    <t>LIC SW  ATIVAÇAO USUARIO LTE</t>
  </si>
  <si>
    <t>LIC SW  UNIDADE CONTROLE DUS41</t>
  </si>
  <si>
    <t>LIC SW  DE ATIVAÇAO DE CODIGO A 4X4</t>
  </si>
  <si>
    <t>LIC SW  RRUS 32 830 LTE</t>
  </si>
  <si>
    <t>LIC SW  RRUS  A2 2RX EXP MOD B Dual TX</t>
  </si>
  <si>
    <t>LIC SW  CODIGO ALTA VELOCIDADE</t>
  </si>
  <si>
    <t>LIC SW  ELEMENTOS DE CANAL</t>
  </si>
  <si>
    <t>LIC SW  UNID CONTROLE DUW31  1152 CE UL</t>
  </si>
  <si>
    <t>LIC SW UNID CONTROLE DUW41  1728 CE UL</t>
  </si>
  <si>
    <t>LIC SW UNID CONTROLE DUW41 1152 CE UL</t>
  </si>
  <si>
    <t>LIC SW UNIDADE RADIO REMOTA  3 RRUS01</t>
  </si>
  <si>
    <t>LIC SW RADIO REMOTA RRUS12 2TX -48VDC</t>
  </si>
  <si>
    <t>SERV INSTALACAO P INTEGRACAO ENTRE MGW</t>
  </si>
  <si>
    <t>SERV INSTALACAO P INTEGRACAO ENTRE MSS</t>
  </si>
  <si>
    <t>SERV FORNEC CARTAO DEBITO VALE CARD</t>
  </si>
  <si>
    <t>SERV LIC SW PACOTE ABIS S/ PACOTES GSM</t>
  </si>
  <si>
    <t>LIC SW ATIVAÇÃO 1152 1728 DE W14 P W15</t>
  </si>
  <si>
    <t>LIC SW ATIVA DUW31 P DUW41 DE W14 P W15</t>
  </si>
  <si>
    <t>LIC SW ATIVA DUW31 1152/DUW41 1728 W15</t>
  </si>
  <si>
    <t>SERV FECHAMENTO PORTAO ALAMBRADO</t>
  </si>
  <si>
    <t>SERV INSTAL CONDICIONADOR DE AR FANCOIL</t>
  </si>
  <si>
    <t>SERV. SUPORTE TEC. EM INFORMATICA-HITSS</t>
  </si>
  <si>
    <t>SERV. INSTAL./COMISSION. ANTENA COW  2G</t>
  </si>
  <si>
    <t>SERV PROD EVENTO CULTURAL</t>
  </si>
  <si>
    <t>LICENÇA DE  SW BASIC LTE WIFI RBS6402</t>
  </si>
  <si>
    <t>SERV PARCIAL LICENC PROJ NOVO SITE GF</t>
  </si>
  <si>
    <t>SERV PARCIAL LICENC PROJ NOVO SITE RT</t>
  </si>
  <si>
    <t>SERV PARCIAL PROJ EXEC NOVO SITE GF</t>
  </si>
  <si>
    <t>SERV PARCIAL PROJ EXEC NOVO SITE RT</t>
  </si>
  <si>
    <t>SERV PARCIAL SONDAGEM OBRA CIV. SITE GF</t>
  </si>
  <si>
    <t>SERV PARCIAL CONSTRUÇAO SITE NOVO GF</t>
  </si>
  <si>
    <t>SERV. PARCIAL CONSTRUÇAO SITE RT PREDIO</t>
  </si>
  <si>
    <t>SERV PARCIAL ACQUISITION NOVO SITE RT</t>
  </si>
  <si>
    <t>SERV PARCIAL ACQUISITION NOVO SITE GF</t>
  </si>
  <si>
    <t>SERV EXTENSAO REDE ALTA 34,5KV COMP MON</t>
  </si>
  <si>
    <t>SERV EXTENSAO REDE ALTA 34,5KV COMP BIF</t>
  </si>
  <si>
    <t>SERV EXTENSAO REDE ALTA 34,5KVCOMP TRIF</t>
  </si>
  <si>
    <t>SERV EXTENSAO REDE ALTA 34,5KV CONV BIF</t>
  </si>
  <si>
    <t>SERV EXTENSAO REDE ALTA 34,5KVCONV TRIF</t>
  </si>
  <si>
    <t>SERV EXTENSAO REDE ALTA 34,5KV CONV MON</t>
  </si>
  <si>
    <t>SERV INST TRANSFORMADOR TRI112,5KVA-15K</t>
  </si>
  <si>
    <t>SERV INST TRANSFORMADOR TRI 150KVA-15KV</t>
  </si>
  <si>
    <t>SERV INST TRANSFORMADOR TRI112,5KVA-25K</t>
  </si>
  <si>
    <t>SERV INST TRANSFORMADOR TRI 150KVA-25KV</t>
  </si>
  <si>
    <t>SERV INST TRANSFORMADOR MON 10KVA-34,5K</t>
  </si>
  <si>
    <t>SERV INST TRANSFORMADOR TRI 15KVA-34,5K</t>
  </si>
  <si>
    <t>SERV INST TRANSFORMADOR TRI 30KVA-34,5K</t>
  </si>
  <si>
    <t>SERV INST TRANSFORMADOR TRI 45KVA-34,5K</t>
  </si>
  <si>
    <t>SERV INST TRANSFORMADOR TRI 75KVA-34,5K</t>
  </si>
  <si>
    <t>SERV INST TRANSFORMADOR TRI112,5KVA34,5</t>
  </si>
  <si>
    <t>SERV INST TRANSFORMADOR TRI150KVA-34,5K</t>
  </si>
  <si>
    <t>SERV INSTALAÇAO ESTABILIZADOR 3,5KVA</t>
  </si>
  <si>
    <t>SERV INSTALAÇAO ESTABILIZADOR 7KVA</t>
  </si>
  <si>
    <t>SERV INSTALAÇAO ESTABILIZADOR 10,5KVA</t>
  </si>
  <si>
    <t>SERV INSTALAÇAO ESTABILIZADOR 15KVA</t>
  </si>
  <si>
    <t>SERV INSTALAÇAO ESTABILIZADOR 30KVA</t>
  </si>
  <si>
    <t>SERV CONSULTORIA E ASSESORIA ADMINISTRAT</t>
  </si>
  <si>
    <t>SERV. TEC. EM TELECOM P/EMULAÇÃO DE CIRC</t>
  </si>
  <si>
    <t>SERVIÇO DE COORDENAÇÃO TÉCNICA</t>
  </si>
  <si>
    <t>SERV 17.03</t>
  </si>
  <si>
    <t>SERV INST. BANDEJA BATERIAS EM GABINETE</t>
  </si>
  <si>
    <t>SERV.DE PROJ/PLANEJ PACKET ABIS</t>
  </si>
  <si>
    <t>SERV. INSTALACAO/COM. P/IMPL PACKET ABIS</t>
  </si>
  <si>
    <t>SERV IMPL/INST SITE NOVO TELECOM 2DA TEC</t>
  </si>
  <si>
    <t>SERV PLANEJ DE REDE PROJ RURAL 2DA TEC</t>
  </si>
  <si>
    <t>SERV ADEQ INFRA GF RURAL REUSO 2DA TEC</t>
  </si>
  <si>
    <t>SERV ADEQ INFRA RT RURAL REUSO 2DA TEC</t>
  </si>
  <si>
    <t>SERV LICENCA DE USO SW ABIS PAC. SAT.GSM</t>
  </si>
  <si>
    <t>SERV DE MANUTENÇÃO E CONFIG DE SERV DELL</t>
  </si>
  <si>
    <t>SERV LICEN USO SW ATIV.UBBPD6 1745 CE UL</t>
  </si>
  <si>
    <t>SERV LICEN USO SW ATIV.UBBPD6 DUAL MODE</t>
  </si>
  <si>
    <t>SERV LICEN USO SW ATIV.UMPT M C FEE UMTS</t>
  </si>
  <si>
    <t>SERV LICEN USO SW ATIV.UMPT M C FEE LTE</t>
  </si>
  <si>
    <t>SERV LICEN USO SW ATIV.RRU 4T4R</t>
  </si>
  <si>
    <t>SERV. LIC USO 100 MIL SESSÕES SIP SONUS</t>
  </si>
  <si>
    <t>SERV. LICENÇA DE USO SW BASICO SBC 5210</t>
  </si>
  <si>
    <t>SERV LIC USO SW 20 MIL SESSÕES SIP SONUS</t>
  </si>
  <si>
    <t>SERV. AUTALIZ/MANUTENÇAO DO SIST. PGP</t>
  </si>
  <si>
    <t>SERV DE CONSULT.INFORMATICA P/ENG. ANO</t>
  </si>
  <si>
    <t>SERV DE CONFIG DE DADOS P/IMPLANT. SITE</t>
  </si>
  <si>
    <t>SERV CONSULTORIA DE IMPLANTACAO BASELINE</t>
  </si>
  <si>
    <t>SERV. TRANSPORTE DE GABINETE ENERGIA</t>
  </si>
  <si>
    <t>SERV. INSTAL. DUTO METÁLICO CLIMATIZAÇÃO</t>
  </si>
  <si>
    <t>SERV DE INSTALAÇÃO DE ANTENA EM TELEC.MW</t>
  </si>
  <si>
    <t>SERV INSTAL ATERRAMENTO DE CABO RGC 213</t>
  </si>
  <si>
    <t>SERV INSTAL ATERRAMENTO COAXIAL 1/2</t>
  </si>
  <si>
    <t>SERV INSTAL ATERRAMENTO COAXIAL 7/8</t>
  </si>
  <si>
    <t>SERV INSTAL ATERRAMEN.CAB.COAXIAL 1 5/8</t>
  </si>
  <si>
    <t>SERV DE INFRA P/INST. DE PORTÃO VEÍCULOS</t>
  </si>
  <si>
    <t>SERV DE INFRA.CIVIL PINTURA EM ALVENARIA</t>
  </si>
  <si>
    <t>SERV DE INFRAEST CIVIL PINTURA DE ANTENA</t>
  </si>
  <si>
    <t>SERV DE IMPERMEABILIZAÇÃO LAJE S_TELHADO</t>
  </si>
  <si>
    <t>SERV DE IMPERMEABILIZAÇÃO LAJE C_TELHADO</t>
  </si>
  <si>
    <t>SERV IMPERMEABILIZ LAJE MANTA ALUMINIZAD</t>
  </si>
  <si>
    <t>SERV. DE INSTALAÇÃO DE CABOS RGC 213</t>
  </si>
  <si>
    <t>SERV. DE  INSTALAÇÃO CABOS COAXIAL 1/2</t>
  </si>
  <si>
    <t>SERV. DE INSTALAÇÃO CABOS COAXIAL 7/8</t>
  </si>
  <si>
    <t>SERV DE INSTALAÇÃO CABOS COAXIAL 1 5/8</t>
  </si>
  <si>
    <t>SERV. DE INSTALAÇÃO CABOS C/ JUMPER 3M</t>
  </si>
  <si>
    <t>SERV DE INSTAL. DE CABO RGC 213 CONECTOR</t>
  </si>
  <si>
    <t>SERV INSTALAÇÃO DE CABO C/CONECTOR 1/2</t>
  </si>
  <si>
    <t>SERV INSTALAÇÃO DE CABO C/CONECTOR 7/8</t>
  </si>
  <si>
    <t>SERV. INSTALAÇÃO CABO C/CONECTOR 1 5/8</t>
  </si>
  <si>
    <t>SERV DE INSTAL DE CABO RGC 213 C/ABRAÇ</t>
  </si>
  <si>
    <t>SERV INSTAL DE CABO COAXIAL 1/2 C/ABRAC</t>
  </si>
  <si>
    <t>SERV INSTAL DE CABO COAXIAL 7/8 C/ABRAC</t>
  </si>
  <si>
    <t>SERV INSTAL CABO COAXIAL 1 5/8 C/ABRAC</t>
  </si>
  <si>
    <t>SERV INSTAL.INVERSOR EM JAN.RD ENERGIA</t>
  </si>
  <si>
    <t>SERV DE INSTALAÇÃO QTA BIFASICO COMPLETO</t>
  </si>
  <si>
    <t>SERV INSTALAÇAO SIST.ENERG.QTA TRI COMP</t>
  </si>
  <si>
    <t>SERV IMP.ENERG.AMP E-AC 220/127V&lt; =75KVA</t>
  </si>
  <si>
    <t>SERV IMPL.ENER ENT. AC 220/127V &lt;= 75KVA</t>
  </si>
  <si>
    <t>SERV IMP.ENERG.AMP EN-AC 220/127V&gt;75KVA</t>
  </si>
  <si>
    <t>SERV IMPL.ENERG.ENT.AC 220/127V&gt;75KVA</t>
  </si>
  <si>
    <t>SERV IMP.ENERG.AMP E-AC 380/220V&lt;=75KVA</t>
  </si>
  <si>
    <t>SERV IMPL.ENERG ENT.AC 380/220&lt;=75KVA</t>
  </si>
  <si>
    <t>SERV IMP.ENERG.AMP EN-AC 380/220V&gt;75KVA</t>
  </si>
  <si>
    <t>SERV IMPL.ENERG.ENT.AC 380/220&gt;75KVA</t>
  </si>
  <si>
    <t>SERV ADEQUAÇ.REDE ENERG.QM ENT AT 5 MED</t>
  </si>
  <si>
    <t>SERV ADEQUAÇ.REDE ENERG.QM ENT ACM 5 MED</t>
  </si>
  <si>
    <t>SERV INST.RED.EN.QTM TRIF COMP 250A/450A</t>
  </si>
  <si>
    <t>SERV INST.RED.EN.QTA TRIF COMP 160A/225A</t>
  </si>
  <si>
    <t>SERV INST.RED.EN.QTA TRIF COMP 250A/450A</t>
  </si>
  <si>
    <t>SERV INSTAL ESTRUT.RED.ENERG.DER.COMP BI</t>
  </si>
  <si>
    <t>SERV INST.ESTR.RED.ENERG.DER.SECOMP MON</t>
  </si>
  <si>
    <t>SERV INST.ESTRUT.RED.ENERG.DER.COMP TRI</t>
  </si>
  <si>
    <t>SERV INST.ESTRUT.RED.ENERG.DER.CONV BI</t>
  </si>
  <si>
    <t>SERV INST.ESTRUT.RED.ENERG.DER.CONV MON</t>
  </si>
  <si>
    <t>SERV INST.ESTRUT.RED.ENERG.DER.CONV TRI</t>
  </si>
  <si>
    <t>SERV. TRANSPORTE FLUVIAL GABINETE ENERG</t>
  </si>
  <si>
    <t>SERV. INSTALACAO DE SWITCH</t>
  </si>
  <si>
    <t>LICENÇA SW MDX PARA PCAE-JDBC</t>
  </si>
  <si>
    <t>LICENÇA SW BIG DATA GOVERNANCE EDITION</t>
  </si>
  <si>
    <t>SERV LICENÇA DE USO SW EXPAN.CAPAC.18-34</t>
  </si>
  <si>
    <t>SERV LICENÇA DE USO SW EXPAN.CAPAC.34-67</t>
  </si>
  <si>
    <t>SERV. TREINAMENTO DATA TRANSFORM/PARSER</t>
  </si>
  <si>
    <t>SERV. TREINAMENTO E CAPACITAÇÃO BIG DATA</t>
  </si>
  <si>
    <t>SERV SUPORTE INFORMATICA PARA SW ELA</t>
  </si>
  <si>
    <t>SERV CONSULT INF.SOLUÇÃO SATELLITE N/RNC</t>
  </si>
  <si>
    <t>SERV. DE LICENÇA DE USO DO SOFTWARE LBS</t>
  </si>
  <si>
    <t>SERV LICENÇA USO SW INTERF./P/TRANSM.SAT</t>
  </si>
  <si>
    <t>LOCAÇAO DE SALAS</t>
  </si>
  <si>
    <t>SERV. PLANEJ. ORGAN DE EVENTOS</t>
  </si>
  <si>
    <t>LIC USO SWCONS.13M P/19MDEV-320MF/S</t>
  </si>
  <si>
    <t>LIC USO SW EPM.13M P/19MDEV-320MF/S</t>
  </si>
  <si>
    <t>LIC USO SW COL 1M P/1185DEV-19MF/S</t>
  </si>
  <si>
    <t>SERV LIC USO SW TRAF/SLA CON 5.8 P/5.9</t>
  </si>
  <si>
    <t>SERV LIC USO SW TRAF/SLA EPM 5.8 P/5.9</t>
  </si>
  <si>
    <t>SERV LIC USO SW TRAF/SLA COL 5.8 P/5.9</t>
  </si>
  <si>
    <t>LIC USO SW TELCOM.DASHV 5.9P/19MDEV</t>
  </si>
  <si>
    <t>ELABORAÇAO-PROJET. PPI/PDI-DASHBOARD</t>
  </si>
  <si>
    <t>SERV LICEN SW CE UL&amp;DL R99 NODEB E RNC</t>
  </si>
  <si>
    <t>SERV. CONSTRUÇÃO DE REDE OPTICA EM LT 69</t>
  </si>
  <si>
    <t>SERV.INSTALAÇÃO EQUIP. MODEM/ANTENA</t>
  </si>
  <si>
    <t>SERV INSTAL/DESINST/TESTE DE GRUPO MOTOR</t>
  </si>
  <si>
    <t>SERV. DE TREINAMENTO NAO SANDIVINE</t>
  </si>
  <si>
    <t>SERV. DE TREINAMENTO SET SANDIVINE</t>
  </si>
  <si>
    <t>SERV TREINAMENTO CEM OS8833-30ANRM  USER</t>
  </si>
  <si>
    <t>SERV TREINAMENTO CEM OS8850-03A OD EEO</t>
  </si>
  <si>
    <t>SERV. DE PLANEJAMENTO  NETACT 16.2</t>
  </si>
  <si>
    <t>LICENÇA PARA SOLUÇÃO COMBINADA NXRAY</t>
  </si>
  <si>
    <t>LICENÇA DE SW GOOGLE SEARCH APPLIANCE</t>
  </si>
  <si>
    <t>LICENÇA DE SW-FUNCIONALIDADE 5</t>
  </si>
  <si>
    <t>LICENÇA DE SW-FUNCIONALIDADE 10</t>
  </si>
  <si>
    <t>LICENÇA DE SW-FUNCIONALIDADE 15</t>
  </si>
  <si>
    <t>LICENÇA DE SW-FUNCIONALIDADE 20</t>
  </si>
  <si>
    <t>LICENÇA DE USO DE SW HPLMNS MULTIPLOS</t>
  </si>
  <si>
    <t>SERV ADIC INSTAL MOD SIST</t>
  </si>
  <si>
    <t>SERV  07.02.02</t>
  </si>
  <si>
    <t>SERV EXP INSTAL MOD SIST</t>
  </si>
  <si>
    <t>SERV TEC EM TELECOM DA PLT QOE GTW</t>
  </si>
  <si>
    <t>SERV TEC EM TELECOM NXcLIENT</t>
  </si>
  <si>
    <t>SERV.DE MONTAGEM DE POSTE METALICO 30M</t>
  </si>
  <si>
    <t>SERV.DE MONTAGEM DE POSTE METALICO 50M</t>
  </si>
  <si>
    <t>SERV INSTAL/MONTAGEM EQUIPTOS DE ENERGIA</t>
  </si>
  <si>
    <t>SERV LICENCA NETACT REDE RADIO LTE450MHZ</t>
  </si>
  <si>
    <t>SERV VIST. REDE DADOS-ELABOR. RELAT SITE</t>
  </si>
  <si>
    <t>SERV. ELABORACAO PROJETO EXECUTIVO ENG.</t>
  </si>
  <si>
    <t>SERV INSTAL.EQUIP. ROTEAD K.B.REDE DADOS</t>
  </si>
  <si>
    <t>SERV DE INSTALACAO EQUIP. ROT TIPO A-10G</t>
  </si>
  <si>
    <t>SERV DE INSTALACAO EQUIP. ROT TIPO B-10G</t>
  </si>
  <si>
    <t>SERV DE INSTALACAO EQUIP. ROT TIPO C-10G</t>
  </si>
  <si>
    <t>SERV LICEN.USO SOFTW. PLAT. OPENET NSI</t>
  </si>
  <si>
    <t>SERV LICEN.USO SOFTW. PLAT. OPENET VOLTE</t>
  </si>
  <si>
    <t>SERV LICEN.USO SOFTW.PLAT.OPENET INSIGTH</t>
  </si>
  <si>
    <t>SERV. DE INSTALAÇÃO DO OPENET BACKUP</t>
  </si>
  <si>
    <t>SERV. DE INSTALAÇÃO DO OPENET HW</t>
  </si>
  <si>
    <t>SERV DE PROJ/PLANEJAMENTO FEATURE APN</t>
  </si>
  <si>
    <t>SERV. DE CONFIG/IMPLANT. FEATURE APN</t>
  </si>
  <si>
    <t>SERV. LICENÇA DE USO SW P/CORREC.DADOS</t>
  </si>
  <si>
    <t>SERVIÇO ATEND. CLIENTE - CALL CENTER</t>
  </si>
  <si>
    <t>PROJETO AS BUILT HOTEL BTS METRO</t>
  </si>
  <si>
    <t>GERENCIAMENTO  ESTAÇÃO METRO</t>
  </si>
  <si>
    <t>GERENCIAMENTO TUNEL METRO</t>
  </si>
  <si>
    <t>GERENCIAMENTO HOTEL DE BTS METRO</t>
  </si>
  <si>
    <t>ESTUDO DE VIABILIDADE CSQUARED SITEPORTA</t>
  </si>
  <si>
    <t>SERVICO DE INFRA ESTAÇÃO METRO</t>
  </si>
  <si>
    <t>SERVICO DE INFRA TUNEL METRO</t>
  </si>
  <si>
    <t>SERVICO DE INFRA HOTEL DE BTS METRO</t>
  </si>
  <si>
    <t>SERVICO DE ELETRICA ESTAÇÃO METRO</t>
  </si>
  <si>
    <t>DESMOBIL.POSTE TELECOM OLÍMPICO &lt;=100KM</t>
  </si>
  <si>
    <t>DESMOBIL.POSTE TELECOM OLÍMPICO &gt;100KM</t>
  </si>
  <si>
    <t>PLANEJAMENTO, COORD. TECNICA E ADMINISTR</t>
  </si>
  <si>
    <t>SERV SUP TÉC PROV NUM PLATAF VPN GOL2.0</t>
  </si>
  <si>
    <t>SERV INST SW RAN SHARING VPN MNC GOL2.0</t>
  </si>
  <si>
    <t>SERV INST SW RAN SHARING VPN MNC GOL3.0</t>
  </si>
  <si>
    <t>INSTAL/MONTAGEM POSTE TELECOM OLÍMPICO</t>
  </si>
  <si>
    <t>SERV. TEC. EM TELECOM CONFIG. CIRC.GE TX</t>
  </si>
  <si>
    <t>SERV TEC. EM TELEC. P/OTIMIZ LINK WDM TX</t>
  </si>
  <si>
    <t>SERV. TEC. TELEC. INST PLACA AMPL/DCM TX</t>
  </si>
  <si>
    <t>SERV. TEC. EM TELECOM INST PLACA GE-TX</t>
  </si>
  <si>
    <t>SERV LICENCA DE USO SW SDVINE PTS</t>
  </si>
  <si>
    <t>SERV LICENCA DE USO SW SANDVINE SDE</t>
  </si>
  <si>
    <t>SERV DE INSTALACAO EQUIP.ROT TIPO A-100G</t>
  </si>
  <si>
    <t>SERV DE INSTALACAO EQUIP.ROT TIPO B-100G</t>
  </si>
  <si>
    <t>SERV DE INSTALACAO EQUIP.ROT TIPO C-100G</t>
  </si>
  <si>
    <t>SERV. INSTALACAO EQUIP.ROT TIPO A-2X100G</t>
  </si>
  <si>
    <t>SERV. INSTALACAO EQUIP.ROT TIPO B-2X100G</t>
  </si>
  <si>
    <t>SERV. INSTALACAO EQUIP.ROT TIPO C-2X100G</t>
  </si>
  <si>
    <t>SERV INSTALACAO EQUIP. AMPLIFIC.NCS 2006</t>
  </si>
  <si>
    <t>SERV INSTALACAO EQUIP. CONFIG. P/MIG A9K</t>
  </si>
  <si>
    <t>SERV INSTALACAO DE PLACA AV.ASR9K ROTEAD</t>
  </si>
  <si>
    <t>SERV INSTALACAO DE PLACA AV. EM AMPL.CNS</t>
  </si>
  <si>
    <t>SERV. SUPORTE TEC. BASE INST. SANDVINE</t>
  </si>
  <si>
    <t>SERV. SUPORTE TECNICO EXPANSÃO SANDVINE</t>
  </si>
  <si>
    <t>SERV. DE IMPLAT/COMISSION. REDE</t>
  </si>
  <si>
    <t>SERV. IMPLANT/COMISSION DE REDE IOMS</t>
  </si>
  <si>
    <t>SERV LICENCA USO SW SANDVINE POL. ASSIN</t>
  </si>
  <si>
    <t>SERV LICENCA USO SW SANDVINE BL.MAX.ASS</t>
  </si>
  <si>
    <t>SERV INSTAL/COMISSIONAMENTO SANDVINE</t>
  </si>
  <si>
    <t>SERV. INSTALAÇÃO EQUIP TP5000 REDE IPRAN</t>
  </si>
  <si>
    <t>SERV. INSTALAÇÃO EQUIP TP3600 REDE IPRAN</t>
  </si>
  <si>
    <t>SERV INSTAL.EQUIP TP1000 32PT REDE IPRAN</t>
  </si>
  <si>
    <t>SERV INSTAL.EQUIP TP1000 64PT REDE IPRAN</t>
  </si>
  <si>
    <t>SERV INSTALAÇÃO EQUIP.GER.RED TIMEPICTRA</t>
  </si>
  <si>
    <t>SUP TEC INFORMAT.REM. EXT G.A 5X8 TP5000</t>
  </si>
  <si>
    <t>SUP TEC INFORM.REM. EXT G.A5X8 TP1000/TS</t>
  </si>
  <si>
    <t>SUP TEC INFORM. NA PLATAFORMA TIMEPICTRA</t>
  </si>
  <si>
    <t>LICENÇA DE USO SW UPGRADE DE RAN P/ NODE</t>
  </si>
  <si>
    <t>SERV TELEMARKETING/COB BCC</t>
  </si>
  <si>
    <t>SERV TEC TELECOM INTEGRACAO NETACT</t>
  </si>
  <si>
    <t>SERV TEC TELECOM CEM OFFICES FASE 2 TRIM</t>
  </si>
  <si>
    <t>SERV TEC TELECOM  CEM OFFICES FASE 1</t>
  </si>
  <si>
    <t>LIC DE DIR USO PROG COMP JOIN LC 01.05</t>
  </si>
  <si>
    <t>SERV DE INSTA E CONF DA PLT QOE GTW</t>
  </si>
  <si>
    <t>SERV INTEG DOS APLICATIVOS NXRAY MDA</t>
  </si>
  <si>
    <t>SERV DE SUPORTE A SOLUCAO NXRAY</t>
  </si>
  <si>
    <t>SERVICO DE ELETRICA TUNEL METRO</t>
  </si>
  <si>
    <t>VISTORIA ESTAÇÃO METRO</t>
  </si>
  <si>
    <t>VISTORIA TUNEL METRO</t>
  </si>
  <si>
    <t>VISTORIA HOTEL DE BTS METRO</t>
  </si>
  <si>
    <t>TESTES ESTAÇÃO METRO</t>
  </si>
  <si>
    <t>TESTES TUNEL METRO</t>
  </si>
  <si>
    <t>PROJETO RF E EXECUTIVO ESTAÇÃO METRO</t>
  </si>
  <si>
    <t>PROJETO RF E EXECUTIVO TUNEL METRO</t>
  </si>
  <si>
    <t>PROJETO RF E EXECUTIVO HOTEL BTS METRO</t>
  </si>
  <si>
    <t>PROJETO AS BUILT ESTAÇÃO METRO</t>
  </si>
  <si>
    <t>PROJETO AS BUILT TUNEL METRO</t>
  </si>
  <si>
    <t>SERVICO DE ELETRICA HOTEL DE BTS METRO</t>
  </si>
  <si>
    <t>SERVICO DE FIBRA ESTAÇÃO METRO</t>
  </si>
  <si>
    <t>SERVICO DE FIBRA TUNEL METRO</t>
  </si>
  <si>
    <t>SERVICO DE FIBRA HOTEL DE BTS METRO</t>
  </si>
  <si>
    <t>INSTALAÇÃO RF ESTAÇÃO METRO</t>
  </si>
  <si>
    <t>INSTALAÇÃO RF TUNEL METRO</t>
  </si>
  <si>
    <t>INSTALAÇÃO RF HOTEL DE BTS METRO</t>
  </si>
  <si>
    <t>COMISSIONAMENTO ESTAÇÃO METRO</t>
  </si>
  <si>
    <t>COMISSIONAMENTO TUNEL METRO</t>
  </si>
  <si>
    <t>COMISSIONAMENTO HOTEL BTS METRO</t>
  </si>
  <si>
    <t>SERV ELABORAÇÃO PROG DATA ANALYTICS COR</t>
  </si>
  <si>
    <t>SERV. INSTAL/CONFIGURAÇÃO EM SW DE EQUIP</t>
  </si>
  <si>
    <t>SERV.LICENÇA DE USO DE SOFT TEST FACTORY</t>
  </si>
  <si>
    <t>SERV. CONFIGURAÇÃO SOFTW. TEST FACTORY</t>
  </si>
  <si>
    <t>SERV. PLANEJAMENTO, ORGANIZ/ADM FEIRAS</t>
  </si>
  <si>
    <t>SERV.DESENVOLV.SISTEMA TRANSPORTE DADOS</t>
  </si>
  <si>
    <t>LICENÇAS SISTEMA SRT PLANEJ. TRANSPORTE</t>
  </si>
  <si>
    <t>Licença SW IBM GerRegras NonProd</t>
  </si>
  <si>
    <t>LICENÇA SOFTWARE FACTORY ROAMFIX</t>
  </si>
  <si>
    <t>POSTAGEM DE BOLETOS DE COBRANÇA</t>
  </si>
  <si>
    <t>SERV IMPRESSAO BOLETOS COBRANÇA</t>
  </si>
  <si>
    <t>SERV. SUPORTE TECNICO IBM COGNOS</t>
  </si>
  <si>
    <t>LICENÇA DE MDA PARA SOLUÇÃO NXRAY</t>
  </si>
  <si>
    <t>LICENÇA DE USO PLATAFORMA QOE GTW</t>
  </si>
  <si>
    <t>SOFTWARE DE APOIO MIDDLEWARE QOE GTW</t>
  </si>
  <si>
    <t>SERV TEC EM TELECOM 3Y</t>
  </si>
  <si>
    <t>Código</t>
  </si>
  <si>
    <t>Proyecto</t>
  </si>
  <si>
    <t>Definición</t>
  </si>
  <si>
    <t>Unidades</t>
  </si>
  <si>
    <t>OBSERVACIONES</t>
  </si>
  <si>
    <t>IT</t>
  </si>
  <si>
    <t>SW referentes a la facturación de usuaros de postpago.</t>
  </si>
  <si>
    <t>SW con la capacidad para configurar los parámetros y múltiples conexiones para cada elemento de la red
para cada uno de los protocolos estándares que se manejan.</t>
  </si>
  <si>
    <t>LICENCIAS DE SOFTWARE</t>
  </si>
  <si>
    <t>Derechos de explotación sobre el software, debe de indicar el Tiempo-Plazo, Infraestructura y ambiente en donde se instalara y si forma parate de un ELA ó ULA.</t>
  </si>
  <si>
    <t># LICENCIAS</t>
  </si>
  <si>
    <t>Enterprise Resource Planning .SW para ejecución de procesos financieros.</t>
  </si>
  <si>
    <t>NUEVA DEFINICION</t>
  </si>
  <si>
    <t>Sistemas que permiten establecer el mantenimiento del inventario de B/OSS, Servicios de aprovisionamiento, Integración de los elementos de Billing y software para la gestión de fallas B/OSS (se refiere a los sistemas de gestión que dan soporte al negocio).</t>
  </si>
  <si>
    <t>NUEVA DEFINICION. SE DEBEN COSNIDERAR LOS SISTEMAS DE GESTIÓN DE APOYO AL NEGOCIO.</t>
  </si>
  <si>
    <t>SW Customer Relationship Management</t>
  </si>
  <si>
    <t>SW que controlan los procesos de CDR´s  Mediación, Interconexion, CoFacturación y Roaming</t>
  </si>
  <si>
    <t>SW utilizado para el proceso  de  transformación y manejo de   datos corporativos y generación de información valiosa.</t>
  </si>
  <si>
    <t>INFRAESTRUCTURA DE IT</t>
  </si>
  <si>
    <t>HW para IT</t>
  </si>
  <si>
    <t>SW para ejecutar Sistemas de Aseguramiento de Ingresos y que esta relacionado con comparativos y analisis de información de Sistemas Bussines Core</t>
  </si>
  <si>
    <t>NUEVO RUBRO</t>
  </si>
  <si>
    <t>SW para solventar el sistema de compensaciones relacionadas con las ventas de un producto y/o servicio</t>
  </si>
  <si>
    <t>SW para la Administración de la Relación con los Clientes.</t>
  </si>
  <si>
    <t>SW para implementación de la Seguridad en los sistemas así como el control de la misma.</t>
  </si>
  <si>
    <t>RENOVACION TECNOLOGICA</t>
  </si>
  <si>
    <t>Reemplazo de infraestructura HW obsoleta</t>
  </si>
  <si>
    <t>Implementación de Servicios requisitados por el gobierno</t>
  </si>
  <si>
    <t>SW para la atención y administración de las necesidades de RRHH, Legal y Audiotrias y Sistemas de Mision NO Critica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</si>
</sst>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 #,##0.00_-;_-* &quot;-&quot;??_-;_-@_-"/>
    <numFmt numFmtId="164" formatCode="_(* #,##0_);_(* \(#,##0\);_(* &quot;-&quot;_);_(@_)"/>
    <numFmt numFmtId="165" formatCode="_(* #,##0.00_);_(* \(#,##0.00\);_(* &quot;-&quot;??_);_(@_)"/>
    <numFmt numFmtId="166" formatCode="_-* #,##0_-;\-* #,##0_-;_-* &quot;-&quot;??_-;_-@_-"/>
    <numFmt numFmtId="167" formatCode="_(&quot;R$&quot;* #,##0.00_);_(&quot;R$&quot;* \(#,##0.00\);_(&quot;R$&quot;* &quot;-&quot;??_);_(@_)"/>
    <numFmt numFmtId="168" formatCode="_-* #,##0.0_-;\-* #,##0.0_-;_-* &quot;-&quot;?_-;_-@_-"/>
    <numFmt numFmtId="169" formatCode="_-* #,##0_-;[Red]\-* #,##0_-;_-* &quot;-&quot;??_-;_-@_-"/>
    <numFmt numFmtId="170" formatCode="&quot;$&quot;#,##0;[Red]\-&quot;$&quot;#,##0"/>
    <numFmt numFmtId="171" formatCode="_-\ #,##0.00_-;\-\ #,##0.00_-;_-\ &quot;-&quot;??_-;_-@_-"/>
    <numFmt numFmtId="172" formatCode="_-\ #,##0.00,,_-;\-\ #,##0.00,,_-;_-\ &quot;-&quot;??_-;_-@_-"/>
    <numFmt numFmtId="173" formatCode="#,##0.00_ ;\-#,##0.00\ "/>
  </numFmts>
  <fonts count="53">
    <font>
      <sz val="11"/>
      <color theme="1"/>
      <name val="Calibri"/>
      <family val="2"/>
      <scheme val="minor"/>
    </font>
    <font>
      <sz val="10"/>
      <name val="Arial"/>
      <family val="2"/>
    </font>
    <font>
      <sz val="11"/>
      <color theme="1"/>
      <name val="Calibri"/>
      <family val="2"/>
      <scheme val="minor"/>
    </font>
    <font>
      <sz val="11"/>
      <color rgb="FFFF0000"/>
      <name val="Calibri"/>
      <family val="2"/>
      <scheme val="minor"/>
    </font>
    <font>
      <b/>
      <sz val="11"/>
      <color theme="1"/>
      <name val="Calibri"/>
      <family val="2"/>
      <scheme val="minor"/>
    </font>
    <font>
      <sz val="11"/>
      <color theme="1"/>
      <name val="Times New Roman"/>
      <family val="1"/>
    </font>
    <font>
      <sz val="10"/>
      <color theme="1"/>
      <name val="Calibri"/>
      <family val="2"/>
      <scheme val="minor"/>
    </font>
    <font>
      <b/>
      <sz val="14"/>
      <color theme="1"/>
      <name val="Calibri"/>
      <family val="2"/>
      <scheme val="minor"/>
    </font>
    <font>
      <sz val="12"/>
      <color theme="1"/>
      <name val="Calibri"/>
      <family val="2"/>
      <scheme val="minor"/>
    </font>
    <font>
      <b/>
      <sz val="12"/>
      <color theme="1"/>
      <name val="Calibri"/>
      <family val="2"/>
      <scheme val="minor"/>
    </font>
    <font>
      <sz val="8"/>
      <color theme="1"/>
      <name val="Calibri"/>
      <family val="2"/>
      <scheme val="minor"/>
    </font>
    <font>
      <b/>
      <sz val="16"/>
      <color theme="1"/>
      <name val="Calibri"/>
      <family val="2"/>
      <scheme val="minor"/>
    </font>
    <font>
      <b/>
      <sz val="10"/>
      <color theme="1"/>
      <name val="Calibri"/>
      <family val="2"/>
      <scheme val="minor"/>
    </font>
    <font>
      <b/>
      <sz val="8"/>
      <color theme="1"/>
      <name val="Calibri"/>
      <family val="2"/>
      <scheme val="minor"/>
    </font>
    <font>
      <sz val="14"/>
      <color theme="0"/>
      <name val="Calibri"/>
      <family val="2"/>
      <scheme val="minor"/>
    </font>
    <font>
      <sz val="22"/>
      <color rgb="FFFF0000"/>
      <name val="Calibri"/>
      <family val="2"/>
      <scheme val="minor"/>
    </font>
    <font>
      <sz val="8"/>
      <name val="Arial"/>
      <family val="2"/>
    </font>
    <font>
      <b/>
      <sz val="10"/>
      <color indexed="23"/>
      <name val="Arial"/>
      <family val="2"/>
    </font>
    <font>
      <sz val="10"/>
      <color indexed="23"/>
      <name val="Arial"/>
      <family val="2"/>
    </font>
    <font>
      <b/>
      <sz val="8"/>
      <color indexed="23"/>
      <name val="Arial"/>
      <family val="2"/>
    </font>
    <font>
      <sz val="8"/>
      <color indexed="23"/>
      <name val="Arial"/>
      <family val="2"/>
    </font>
    <font>
      <b/>
      <i/>
      <sz val="8"/>
      <color indexed="23"/>
      <name val="Arial"/>
      <family val="2"/>
    </font>
    <font>
      <i/>
      <sz val="8"/>
      <name val="Arial"/>
      <family val="2"/>
    </font>
    <font>
      <b/>
      <i/>
      <sz val="8"/>
      <name val="Arial"/>
      <family val="2"/>
    </font>
    <font>
      <b/>
      <sz val="10"/>
      <color theme="0" tint="-0.499984740745262"/>
      <name val="Arial"/>
      <family val="2"/>
    </font>
    <font>
      <sz val="10"/>
      <color theme="0" tint="-0.499984740745262"/>
      <name val="Arial"/>
      <family val="2"/>
    </font>
    <font>
      <b/>
      <sz val="8"/>
      <color theme="0" tint="-0.499984740745262"/>
      <name val="Arial"/>
      <family val="2"/>
    </font>
    <font>
      <sz val="8"/>
      <color theme="0" tint="-0.499984740745262"/>
      <name val="Arial"/>
      <family val="2"/>
    </font>
    <font>
      <b/>
      <sz val="8"/>
      <color theme="0"/>
      <name val="Arial"/>
      <family val="2"/>
    </font>
    <font>
      <b/>
      <sz val="11"/>
      <color rgb="FFFF0000"/>
      <name val="Calibri"/>
      <family val="2"/>
      <scheme val="minor"/>
    </font>
    <font>
      <sz val="11"/>
      <color theme="0"/>
      <name val="Calibri"/>
      <family val="2"/>
      <scheme val="minor"/>
    </font>
    <font>
      <b/>
      <sz val="12"/>
      <color theme="0"/>
      <name val="Calibri"/>
      <family val="2"/>
      <scheme val="minor"/>
    </font>
    <font>
      <b/>
      <sz val="10"/>
      <color theme="0"/>
      <name val="Calibri"/>
      <family val="2"/>
      <scheme val="minor"/>
    </font>
    <font>
      <b/>
      <sz val="12"/>
      <color rgb="FF0000FF"/>
      <name val="Verdana"/>
      <family val="2"/>
    </font>
    <font>
      <sz val="8"/>
      <name val="Calibri"/>
      <family val="2"/>
      <scheme val="minor"/>
    </font>
    <font>
      <b/>
      <sz val="8"/>
      <name val="Calibri"/>
      <family val="2"/>
      <scheme val="minor"/>
    </font>
    <font>
      <sz val="10"/>
      <name val="Calibri"/>
      <family val="2"/>
      <scheme val="minor"/>
    </font>
    <font>
      <b/>
      <sz val="12"/>
      <color indexed="9"/>
      <name val="Calibri"/>
      <family val="2"/>
    </font>
    <font>
      <sz val="9"/>
      <name val="Calibri"/>
      <family val="2"/>
      <scheme val="minor"/>
    </font>
    <font>
      <sz val="9"/>
      <name val="Calibri"/>
      <family val="2"/>
    </font>
    <font>
      <b/>
      <sz val="10"/>
      <color indexed="9"/>
      <name val="Calibri"/>
      <family val="2"/>
    </font>
    <font>
      <b/>
      <sz val="11"/>
      <color theme="0" tint="-0.249977111117893"/>
      <name val="Calibri"/>
      <family val="2"/>
      <scheme val="minor"/>
    </font>
    <font>
      <sz val="11"/>
      <color theme="0" tint="-0.249977111117893"/>
      <name val="Calibri"/>
      <family val="2"/>
      <scheme val="minor"/>
    </font>
    <font>
      <b/>
      <sz val="8"/>
      <color indexed="81"/>
      <name val="Tahoma"/>
      <family val="2"/>
    </font>
    <font>
      <sz val="10"/>
      <color theme="0"/>
      <name val="Arial"/>
      <family val="2"/>
    </font>
    <font>
      <b/>
      <u/>
      <sz val="11"/>
      <color theme="1"/>
      <name val="Calibri"/>
      <family val="2"/>
      <scheme val="minor"/>
    </font>
    <font>
      <b/>
      <sz val="11"/>
      <name val="Calibri"/>
      <family val="2"/>
      <scheme val="minor"/>
    </font>
    <font>
      <u/>
      <sz val="11"/>
      <color theme="1"/>
      <name val="Calibri"/>
      <family val="2"/>
      <scheme val="minor"/>
    </font>
    <font>
      <b/>
      <sz val="9"/>
      <color indexed="81"/>
      <name val="Tahoma"/>
      <family val="2"/>
    </font>
    <font>
      <sz val="16"/>
      <color theme="1"/>
      <name val="Calibri"/>
      <family val="2"/>
      <scheme val="minor"/>
    </font>
    <font>
      <sz val="9"/>
      <color theme="1"/>
      <name val="Calibri"/>
      <family val="2"/>
      <scheme val="minor"/>
    </font>
    <font>
      <sz val="8"/>
      <color rgb="FF000000"/>
      <name val="Arial"/>
      <charset val="1"/>
    </font>
    <font>
      <sz val="10"/>
      <color rgb="FF000000"/>
      <name val="Aptos Narrow"/>
      <family val="2"/>
      <charset val="1"/>
    </font>
  </fonts>
  <fills count="31">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DFDFDF"/>
        <bgColor rgb="FF000000"/>
      </patternFill>
    </fill>
    <fill>
      <patternFill patternType="solid">
        <fgColor theme="0" tint="-0.249977111117893"/>
        <bgColor rgb="FF000000"/>
      </patternFill>
    </fill>
    <fill>
      <patternFill patternType="solid">
        <fgColor theme="0" tint="-0.499984740745262"/>
        <bgColor indexed="64"/>
      </patternFill>
    </fill>
    <fill>
      <patternFill patternType="solid">
        <fgColor theme="2" tint="-9.9978637043366805E-2"/>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theme="1"/>
        <bgColor indexed="64"/>
      </patternFill>
    </fill>
    <fill>
      <patternFill patternType="solid">
        <fgColor theme="0" tint="-0.34998626667073579"/>
        <bgColor indexed="64"/>
      </patternFill>
    </fill>
    <fill>
      <patternFill patternType="solid">
        <fgColor theme="1"/>
        <bgColor rgb="FF000000"/>
      </patternFill>
    </fill>
    <fill>
      <patternFill patternType="solid">
        <fgColor theme="0" tint="-4.9989318521683403E-2"/>
        <bgColor rgb="FF000000"/>
      </patternFill>
    </fill>
    <fill>
      <patternFill patternType="solid">
        <fgColor indexed="48"/>
        <bgColor indexed="64"/>
      </patternFill>
    </fill>
    <fill>
      <patternFill patternType="solid">
        <fgColor rgb="FF3366FF"/>
        <bgColor indexed="64"/>
      </patternFill>
    </fill>
    <fill>
      <patternFill patternType="solid">
        <fgColor indexed="6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2" tint="-0.499984740745262"/>
        <bgColor indexed="64"/>
      </patternFill>
    </fill>
    <fill>
      <patternFill patternType="solid">
        <fgColor theme="3" tint="-0.249977111117893"/>
        <bgColor indexed="64"/>
      </patternFill>
    </fill>
    <fill>
      <patternFill patternType="solid">
        <fgColor theme="5" tint="-0.249977111117893"/>
        <bgColor indexed="64"/>
      </patternFill>
    </fill>
    <fill>
      <patternFill patternType="solid">
        <fgColor theme="7" tint="-0.249977111117893"/>
        <bgColor indexed="64"/>
      </patternFill>
    </fill>
    <fill>
      <patternFill patternType="solid">
        <fgColor theme="0" tint="-4.9989318521683403E-2"/>
        <bgColor theme="0" tint="-0.14999847407452621"/>
      </patternFill>
    </fill>
    <fill>
      <patternFill patternType="solid">
        <fgColor theme="3" tint="0.79998168889431442"/>
        <bgColor indexed="64"/>
      </patternFill>
    </fill>
  </fills>
  <borders count="112">
    <border>
      <left/>
      <right/>
      <top/>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thin">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style="hair">
        <color indexed="64"/>
      </right>
      <top style="hair">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top style="hair">
        <color indexed="64"/>
      </top>
      <bottom style="hair">
        <color indexed="64"/>
      </bottom>
      <diagonal/>
    </border>
    <border>
      <left style="hair">
        <color indexed="64"/>
      </left>
      <right/>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style="medium">
        <color indexed="64"/>
      </top>
      <bottom style="thin">
        <color theme="0" tint="-0.499984740745262"/>
      </bottom>
      <diagonal/>
    </border>
    <border>
      <left style="thin">
        <color theme="0" tint="-0.499984740745262"/>
      </left>
      <right style="medium">
        <color indexed="64"/>
      </right>
      <top style="medium">
        <color indexed="64"/>
      </top>
      <bottom style="thin">
        <color theme="0" tint="-0.499984740745262"/>
      </bottom>
      <diagonal/>
    </border>
    <border>
      <left style="thin">
        <color theme="0" tint="-0.499984740745262"/>
      </left>
      <right style="thin">
        <color theme="0" tint="-0.499984740745262"/>
      </right>
      <top style="thin">
        <color theme="0" tint="-0.499984740745262"/>
      </top>
      <bottom style="medium">
        <color indexed="64"/>
      </bottom>
      <diagonal/>
    </border>
    <border>
      <left style="thin">
        <color theme="0" tint="-0.499984740745262"/>
      </left>
      <right style="medium">
        <color indexed="64"/>
      </right>
      <top style="thin">
        <color theme="0" tint="-0.499984740745262"/>
      </top>
      <bottom style="medium">
        <color indexed="64"/>
      </bottom>
      <diagonal/>
    </border>
    <border>
      <left style="thin">
        <color theme="0" tint="-0.499984740745262"/>
      </left>
      <right style="thin">
        <color theme="0" tint="-0.499984740745262"/>
      </right>
      <top style="medium">
        <color indexed="64"/>
      </top>
      <bottom/>
      <diagonal/>
    </border>
    <border>
      <left style="thin">
        <color theme="0" tint="-0.499984740745262"/>
      </left>
      <right style="medium">
        <color indexed="64"/>
      </right>
      <top style="medium">
        <color indexed="64"/>
      </top>
      <bottom/>
      <diagonal/>
    </border>
    <border>
      <left style="thin">
        <color theme="0" tint="-0.499984740745262"/>
      </left>
      <right style="medium">
        <color indexed="64"/>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medium">
        <color indexed="64"/>
      </right>
      <top/>
      <bottom style="thin">
        <color theme="0" tint="-0.499984740745262"/>
      </bottom>
      <diagonal/>
    </border>
    <border>
      <left style="medium">
        <color indexed="64"/>
      </left>
      <right style="thin">
        <color theme="0" tint="-0.499984740745262"/>
      </right>
      <top style="medium">
        <color indexed="64"/>
      </top>
      <bottom/>
      <diagonal/>
    </border>
    <border>
      <left style="medium">
        <color indexed="64"/>
      </left>
      <right style="thin">
        <color theme="0" tint="-0.499984740745262"/>
      </right>
      <top/>
      <bottom style="medium">
        <color indexed="64"/>
      </bottom>
      <diagonal/>
    </border>
    <border>
      <left style="medium">
        <color indexed="64"/>
      </left>
      <right style="thin">
        <color theme="0" tint="-0.499984740745262"/>
      </right>
      <top/>
      <bottom/>
      <diagonal/>
    </border>
    <border>
      <left/>
      <right/>
      <top/>
      <bottom style="hair">
        <color indexed="64"/>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right style="hair">
        <color indexed="64"/>
      </right>
      <top/>
      <bottom style="hair">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indexed="64"/>
      </left>
      <right style="hair">
        <color indexed="64"/>
      </right>
      <top/>
      <bottom style="hair">
        <color indexed="64"/>
      </bottom>
      <diagonal/>
    </border>
    <border>
      <left style="thin">
        <color indexed="64"/>
      </left>
      <right style="hair">
        <color indexed="64"/>
      </right>
      <top style="thin">
        <color indexed="64"/>
      </top>
      <bottom style="thin">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mediumDashDotDot">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bottom/>
      <diagonal/>
    </border>
    <border>
      <left/>
      <right style="mediumDashed">
        <color indexed="64"/>
      </right>
      <top style="hair">
        <color indexed="64"/>
      </top>
      <bottom style="thin">
        <color indexed="64"/>
      </bottom>
      <diagonal/>
    </border>
    <border>
      <left/>
      <right style="mediumDashed">
        <color indexed="64"/>
      </right>
      <top/>
      <bottom style="hair">
        <color indexed="64"/>
      </bottom>
      <diagonal/>
    </border>
    <border>
      <left/>
      <right style="medium">
        <color indexed="64"/>
      </right>
      <top/>
      <bottom style="hair">
        <color indexed="64"/>
      </bottom>
      <diagonal/>
    </border>
    <border>
      <left/>
      <right style="hair">
        <color indexed="64"/>
      </right>
      <top style="thin">
        <color indexed="64"/>
      </top>
      <bottom/>
      <diagonal/>
    </border>
    <border>
      <left/>
      <right/>
      <top style="medium">
        <color indexed="64"/>
      </top>
      <bottom style="thin">
        <color indexed="64"/>
      </bottom>
      <diagonal/>
    </border>
    <border>
      <left style="hair">
        <color indexed="64"/>
      </left>
      <right style="medium">
        <color indexed="64"/>
      </right>
      <top/>
      <bottom/>
      <diagonal/>
    </border>
    <border>
      <left style="hair">
        <color indexed="64"/>
      </left>
      <right style="medium">
        <color indexed="64"/>
      </right>
      <top style="thin">
        <color indexed="64"/>
      </top>
      <bottom style="hair">
        <color indexed="64"/>
      </bottom>
      <diagonal/>
    </border>
    <border>
      <left style="hair">
        <color indexed="64"/>
      </left>
      <right style="medium">
        <color indexed="64"/>
      </right>
      <top style="hair">
        <color indexed="64"/>
      </top>
      <bottom style="thin">
        <color indexed="64"/>
      </bottom>
      <diagonal/>
    </border>
    <border>
      <left style="hair">
        <color indexed="64"/>
      </left>
      <right/>
      <top style="thin">
        <color indexed="64"/>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1"/>
      </top>
      <bottom/>
      <diagonal/>
    </border>
    <border>
      <left style="thin">
        <color indexed="64"/>
      </left>
      <right style="thin">
        <color indexed="64"/>
      </right>
      <top style="double">
        <color indexed="64"/>
      </top>
      <bottom style="thin">
        <color indexed="64"/>
      </bottom>
      <diagonal/>
    </border>
    <border>
      <left/>
      <right/>
      <top style="thin">
        <color theme="1"/>
      </top>
      <bottom style="thin">
        <color indexed="64"/>
      </bottom>
      <diagonal/>
    </border>
    <border>
      <left/>
      <right/>
      <top/>
      <bottom style="double">
        <color indexed="64"/>
      </bottom>
      <diagonal/>
    </border>
    <border>
      <left/>
      <right/>
      <top style="double">
        <color indexed="64"/>
      </top>
      <bottom style="thin">
        <color indexed="64"/>
      </bottom>
      <diagonal/>
    </border>
    <border>
      <left/>
      <right style="thin">
        <color indexed="64"/>
      </right>
      <top/>
      <bottom style="medium">
        <color indexed="64"/>
      </bottom>
      <diagonal/>
    </border>
    <border>
      <left/>
      <right/>
      <top style="double">
        <color indexed="64"/>
      </top>
      <bottom style="double">
        <color indexed="64"/>
      </bottom>
      <diagonal/>
    </border>
    <border>
      <left/>
      <right/>
      <top style="thin">
        <color indexed="64"/>
      </top>
      <bottom style="double">
        <color indexed="64"/>
      </bottom>
      <diagonal/>
    </border>
    <border>
      <left/>
      <right style="double">
        <color auto="1"/>
      </right>
      <top/>
      <bottom style="double">
        <color auto="1"/>
      </bottom>
      <diagonal/>
    </border>
    <border>
      <left style="double">
        <color auto="1"/>
      </left>
      <right/>
      <top/>
      <bottom style="double">
        <color auto="1"/>
      </bottom>
      <diagonal/>
    </border>
    <border>
      <left/>
      <right style="double">
        <color auto="1"/>
      </right>
      <top/>
      <bottom/>
      <diagonal/>
    </border>
    <border>
      <left style="double">
        <color auto="1"/>
      </left>
      <right/>
      <top/>
      <bottom/>
      <diagonal/>
    </border>
    <border>
      <left/>
      <right style="double">
        <color auto="1"/>
      </right>
      <top style="double">
        <color auto="1"/>
      </top>
      <bottom/>
      <diagonal/>
    </border>
    <border>
      <left/>
      <right/>
      <top style="double">
        <color auto="1"/>
      </top>
      <bottom/>
      <diagonal/>
    </border>
    <border>
      <left style="double">
        <color auto="1"/>
      </left>
      <right/>
      <top style="double">
        <color auto="1"/>
      </top>
      <bottom/>
      <diagonal/>
    </border>
  </borders>
  <cellStyleXfs count="8">
    <xf numFmtId="0" fontId="0" fillId="0" borderId="0"/>
    <xf numFmtId="0" fontId="1" fillId="0" borderId="0"/>
    <xf numFmtId="43" fontId="2"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9" fontId="2" fillId="0" borderId="0" applyFont="0" applyFill="0" applyBorder="0" applyAlignment="0" applyProtection="0"/>
  </cellStyleXfs>
  <cellXfs count="490">
    <xf numFmtId="0" fontId="0" fillId="0" borderId="0" xfId="0"/>
    <xf numFmtId="0" fontId="5" fillId="0" borderId="0" xfId="0" applyFont="1"/>
    <xf numFmtId="0" fontId="0" fillId="3" borderId="0" xfId="0" applyFill="1"/>
    <xf numFmtId="0" fontId="0" fillId="0" borderId="0" xfId="0" applyAlignment="1">
      <alignment horizontal="center"/>
    </xf>
    <xf numFmtId="0" fontId="15" fillId="0" borderId="0" xfId="0" applyFont="1" applyAlignment="1">
      <alignment vertical="center"/>
    </xf>
    <xf numFmtId="0" fontId="26" fillId="4" borderId="0" xfId="1" applyFont="1" applyFill="1" applyAlignment="1">
      <alignment vertical="center"/>
    </xf>
    <xf numFmtId="0" fontId="27" fillId="4" borderId="0" xfId="1" applyFont="1" applyFill="1"/>
    <xf numFmtId="0" fontId="28" fillId="8" borderId="37" xfId="1" applyFont="1" applyFill="1" applyBorder="1" applyAlignment="1">
      <alignment horizontal="center" vertical="center" wrapText="1"/>
    </xf>
    <xf numFmtId="0" fontId="28" fillId="8" borderId="37" xfId="1" applyFont="1" applyFill="1" applyBorder="1" applyAlignment="1">
      <alignment horizontal="center" vertical="center"/>
    </xf>
    <xf numFmtId="0" fontId="16" fillId="3" borderId="38" xfId="1" applyFont="1" applyFill="1" applyBorder="1"/>
    <xf numFmtId="49" fontId="16" fillId="3" borderId="38" xfId="1" applyNumberFormat="1" applyFont="1" applyFill="1" applyBorder="1"/>
    <xf numFmtId="49" fontId="16" fillId="3" borderId="39" xfId="1" applyNumberFormat="1" applyFont="1" applyFill="1" applyBorder="1"/>
    <xf numFmtId="0" fontId="16" fillId="3" borderId="40" xfId="1" applyFont="1" applyFill="1" applyBorder="1"/>
    <xf numFmtId="49" fontId="16" fillId="3" borderId="40" xfId="1" applyNumberFormat="1" applyFont="1" applyFill="1" applyBorder="1"/>
    <xf numFmtId="49" fontId="16" fillId="3" borderId="41" xfId="1" applyNumberFormat="1" applyFont="1" applyFill="1" applyBorder="1"/>
    <xf numFmtId="0" fontId="27" fillId="3" borderId="38" xfId="1" applyFont="1" applyFill="1" applyBorder="1"/>
    <xf numFmtId="49" fontId="27" fillId="3" borderId="38" xfId="1" applyNumberFormat="1" applyFont="1" applyFill="1" applyBorder="1"/>
    <xf numFmtId="0" fontId="27" fillId="3" borderId="39" xfId="1" applyFont="1" applyFill="1" applyBorder="1"/>
    <xf numFmtId="0" fontId="27" fillId="3" borderId="40" xfId="1" applyFont="1" applyFill="1" applyBorder="1"/>
    <xf numFmtId="49" fontId="27" fillId="3" borderId="40" xfId="1" applyNumberFormat="1" applyFont="1" applyFill="1" applyBorder="1"/>
    <xf numFmtId="0" fontId="27" fillId="3" borderId="41" xfId="1" applyFont="1" applyFill="1" applyBorder="1"/>
    <xf numFmtId="49" fontId="27" fillId="3" borderId="39" xfId="1" applyNumberFormat="1" applyFont="1" applyFill="1" applyBorder="1"/>
    <xf numFmtId="49" fontId="27" fillId="3" borderId="41" xfId="1" applyNumberFormat="1" applyFont="1" applyFill="1" applyBorder="1"/>
    <xf numFmtId="0" fontId="16" fillId="3" borderId="39" xfId="1" applyFont="1" applyFill="1" applyBorder="1"/>
    <xf numFmtId="0" fontId="16" fillId="3" borderId="41" xfId="1" applyFont="1" applyFill="1" applyBorder="1"/>
    <xf numFmtId="0" fontId="22" fillId="3" borderId="38" xfId="1" applyFont="1" applyFill="1" applyBorder="1"/>
    <xf numFmtId="49" fontId="22" fillId="3" borderId="38" xfId="1" applyNumberFormat="1" applyFont="1" applyFill="1" applyBorder="1"/>
    <xf numFmtId="49" fontId="22" fillId="3" borderId="39" xfId="1" applyNumberFormat="1" applyFont="1" applyFill="1" applyBorder="1"/>
    <xf numFmtId="49" fontId="16" fillId="3" borderId="40" xfId="1" applyNumberFormat="1" applyFont="1" applyFill="1" applyBorder="1" applyAlignment="1">
      <alignment wrapText="1"/>
    </xf>
    <xf numFmtId="49" fontId="16" fillId="3" borderId="41" xfId="1" applyNumberFormat="1" applyFont="1" applyFill="1" applyBorder="1" applyAlignment="1">
      <alignment wrapText="1"/>
    </xf>
    <xf numFmtId="0" fontId="16" fillId="3" borderId="42" xfId="1" applyFont="1" applyFill="1" applyBorder="1"/>
    <xf numFmtId="49" fontId="16" fillId="3" borderId="42" xfId="1" applyNumberFormat="1" applyFont="1" applyFill="1" applyBorder="1"/>
    <xf numFmtId="49" fontId="16" fillId="3" borderId="43" xfId="1" applyNumberFormat="1" applyFont="1" applyFill="1" applyBorder="1"/>
    <xf numFmtId="0" fontId="16" fillId="0" borderId="27" xfId="1" applyFont="1" applyBorder="1"/>
    <xf numFmtId="0" fontId="16" fillId="3" borderId="27" xfId="1" applyFont="1" applyFill="1" applyBorder="1"/>
    <xf numFmtId="49" fontId="16" fillId="0" borderId="27" xfId="1" applyNumberFormat="1" applyFont="1" applyBorder="1"/>
    <xf numFmtId="49" fontId="16" fillId="0" borderId="31" xfId="1" applyNumberFormat="1" applyFont="1" applyBorder="1"/>
    <xf numFmtId="0" fontId="16" fillId="3" borderId="25" xfId="1" applyFont="1" applyFill="1" applyBorder="1"/>
    <xf numFmtId="49" fontId="16" fillId="0" borderId="25" xfId="1" applyNumberFormat="1" applyFont="1" applyBorder="1"/>
    <xf numFmtId="49" fontId="16" fillId="0" borderId="30" xfId="1" applyNumberFormat="1" applyFont="1" applyBorder="1"/>
    <xf numFmtId="0" fontId="16" fillId="3" borderId="32" xfId="1" applyFont="1" applyFill="1" applyBorder="1" applyAlignment="1">
      <alignment horizontal="left" wrapText="1"/>
    </xf>
    <xf numFmtId="0" fontId="16" fillId="0" borderId="28" xfId="1" applyFont="1" applyBorder="1" applyAlignment="1">
      <alignment vertical="center"/>
    </xf>
    <xf numFmtId="0" fontId="16" fillId="3" borderId="28" xfId="1" applyFont="1" applyFill="1" applyBorder="1" applyAlignment="1">
      <alignment vertical="center"/>
    </xf>
    <xf numFmtId="49" fontId="16" fillId="0" borderId="28" xfId="1" applyNumberFormat="1" applyFont="1" applyBorder="1" applyAlignment="1">
      <alignment vertical="center"/>
    </xf>
    <xf numFmtId="49" fontId="16" fillId="0" borderId="29" xfId="1" applyNumberFormat="1" applyFont="1" applyBorder="1" applyAlignment="1">
      <alignment vertical="center"/>
    </xf>
    <xf numFmtId="0" fontId="16" fillId="3" borderId="37" xfId="1" applyFont="1" applyFill="1" applyBorder="1"/>
    <xf numFmtId="49" fontId="16" fillId="3" borderId="37" xfId="1" applyNumberFormat="1" applyFont="1" applyFill="1" applyBorder="1"/>
    <xf numFmtId="49" fontId="16" fillId="3" borderId="44" xfId="1" applyNumberFormat="1" applyFont="1" applyFill="1" applyBorder="1"/>
    <xf numFmtId="0" fontId="27" fillId="3" borderId="45" xfId="1" applyFont="1" applyFill="1" applyBorder="1"/>
    <xf numFmtId="49" fontId="27" fillId="3" borderId="45" xfId="1" applyNumberFormat="1" applyFont="1" applyFill="1" applyBorder="1"/>
    <xf numFmtId="49" fontId="27" fillId="3" borderId="46" xfId="1" applyNumberFormat="1" applyFont="1" applyFill="1" applyBorder="1"/>
    <xf numFmtId="0" fontId="16" fillId="0" borderId="26" xfId="1" applyFont="1" applyBorder="1" applyAlignment="1">
      <alignment vertical="center"/>
    </xf>
    <xf numFmtId="0" fontId="16" fillId="3" borderId="26" xfId="1" applyFont="1" applyFill="1" applyBorder="1" applyAlignment="1">
      <alignment vertical="center"/>
    </xf>
    <xf numFmtId="49" fontId="16" fillId="0" borderId="26" xfId="1" applyNumberFormat="1" applyFont="1" applyBorder="1" applyAlignment="1">
      <alignment vertical="center"/>
    </xf>
    <xf numFmtId="49" fontId="16" fillId="0" borderId="33" xfId="1" applyNumberFormat="1" applyFont="1" applyBorder="1" applyAlignment="1">
      <alignment vertical="center"/>
    </xf>
    <xf numFmtId="0" fontId="16" fillId="3" borderId="34" xfId="1" applyFont="1" applyFill="1" applyBorder="1" applyAlignment="1">
      <alignment horizontal="left" vertical="center" wrapText="1"/>
    </xf>
    <xf numFmtId="0" fontId="16" fillId="3" borderId="38" xfId="1" applyFont="1" applyFill="1" applyBorder="1" applyAlignment="1">
      <alignment horizontal="left"/>
    </xf>
    <xf numFmtId="0" fontId="1" fillId="0" borderId="0" xfId="1"/>
    <xf numFmtId="0" fontId="24" fillId="4" borderId="0" xfId="1" applyFont="1" applyFill="1" applyAlignment="1">
      <alignment vertical="center"/>
    </xf>
    <xf numFmtId="0" fontId="25" fillId="4" borderId="0" xfId="1" applyFont="1" applyFill="1"/>
    <xf numFmtId="49" fontId="13" fillId="9" borderId="21" xfId="1" applyNumberFormat="1" applyFont="1" applyFill="1" applyBorder="1" applyAlignment="1">
      <alignment horizontal="center"/>
    </xf>
    <xf numFmtId="0" fontId="1" fillId="4" borderId="0" xfId="1" applyFill="1" applyAlignment="1">
      <alignment vertical="center"/>
    </xf>
    <xf numFmtId="0" fontId="1" fillId="4" borderId="0" xfId="1" applyFill="1"/>
    <xf numFmtId="0" fontId="1" fillId="0" borderId="0" xfId="1" applyAlignment="1">
      <alignment horizontal="center"/>
    </xf>
    <xf numFmtId="0" fontId="4" fillId="3" borderId="0" xfId="0" applyFont="1" applyFill="1" applyAlignment="1">
      <alignment vertical="center"/>
    </xf>
    <xf numFmtId="49" fontId="16" fillId="0" borderId="0" xfId="0" applyNumberFormat="1" applyFont="1"/>
    <xf numFmtId="17" fontId="12" fillId="2" borderId="21" xfId="2" applyNumberFormat="1" applyFont="1" applyFill="1" applyBorder="1" applyAlignment="1" applyProtection="1">
      <alignment horizontal="center" vertical="center" wrapText="1"/>
    </xf>
    <xf numFmtId="164" fontId="31" fillId="10" borderId="17" xfId="2" applyNumberFormat="1" applyFont="1" applyFill="1" applyBorder="1" applyAlignment="1" applyProtection="1"/>
    <xf numFmtId="164" fontId="32" fillId="10" borderId="21" xfId="2" applyNumberFormat="1" applyFont="1" applyFill="1" applyBorder="1" applyProtection="1"/>
    <xf numFmtId="43" fontId="12" fillId="11" borderId="21" xfId="2" applyFont="1" applyFill="1" applyBorder="1" applyProtection="1"/>
    <xf numFmtId="164" fontId="12" fillId="11" borderId="21" xfId="2" applyNumberFormat="1" applyFont="1" applyFill="1" applyBorder="1" applyProtection="1"/>
    <xf numFmtId="164" fontId="6" fillId="0" borderId="21" xfId="2" applyNumberFormat="1" applyFont="1" applyFill="1" applyBorder="1" applyProtection="1">
      <protection locked="0"/>
    </xf>
    <xf numFmtId="0" fontId="33" fillId="0" borderId="0" xfId="0" applyFont="1" applyAlignment="1">
      <alignment vertical="center"/>
    </xf>
    <xf numFmtId="0" fontId="5" fillId="0" borderId="64" xfId="0" applyFont="1" applyBorder="1"/>
    <xf numFmtId="0" fontId="3" fillId="0" borderId="12" xfId="0" applyFont="1" applyBorder="1"/>
    <xf numFmtId="0" fontId="12" fillId="6" borderId="67" xfId="0" applyFont="1" applyFill="1" applyBorder="1" applyAlignment="1">
      <alignment horizontal="center" vertical="center"/>
    </xf>
    <xf numFmtId="0" fontId="12" fillId="6" borderId="68" xfId="0" applyFont="1" applyFill="1" applyBorder="1" applyAlignment="1">
      <alignment horizontal="center" vertical="center"/>
    </xf>
    <xf numFmtId="0" fontId="12" fillId="6" borderId="69" xfId="0" applyFont="1" applyFill="1" applyBorder="1" applyAlignment="1">
      <alignment horizontal="center" vertical="center" wrapText="1"/>
    </xf>
    <xf numFmtId="0" fontId="12" fillId="6" borderId="70" xfId="0" applyFont="1" applyFill="1" applyBorder="1" applyAlignment="1">
      <alignment horizontal="center" vertical="center"/>
    </xf>
    <xf numFmtId="17" fontId="12" fillId="6" borderId="68" xfId="0" quotePrefix="1" applyNumberFormat="1" applyFont="1" applyFill="1" applyBorder="1" applyAlignment="1">
      <alignment horizontal="center" vertical="center"/>
    </xf>
    <xf numFmtId="17" fontId="12" fillId="6" borderId="68" xfId="0" applyNumberFormat="1" applyFont="1" applyFill="1" applyBorder="1" applyAlignment="1">
      <alignment horizontal="center" vertical="center"/>
    </xf>
    <xf numFmtId="17" fontId="12" fillId="6" borderId="69" xfId="0" applyNumberFormat="1" applyFont="1" applyFill="1" applyBorder="1" applyAlignment="1">
      <alignment horizontal="center" vertical="center"/>
    </xf>
    <xf numFmtId="0" fontId="12" fillId="6" borderId="71" xfId="0" applyFont="1" applyFill="1" applyBorder="1" applyAlignment="1">
      <alignment horizontal="center" vertical="center"/>
    </xf>
    <xf numFmtId="0" fontId="5" fillId="0" borderId="0" xfId="0" applyFont="1" applyAlignment="1">
      <alignment horizontal="center" vertical="center"/>
    </xf>
    <xf numFmtId="0" fontId="12" fillId="7" borderId="67" xfId="0" applyFont="1" applyFill="1" applyBorder="1"/>
    <xf numFmtId="0" fontId="12" fillId="7" borderId="69" xfId="0" applyFont="1" applyFill="1" applyBorder="1"/>
    <xf numFmtId="0" fontId="12" fillId="7" borderId="69" xfId="0" applyFont="1" applyFill="1" applyBorder="1" applyAlignment="1">
      <alignment horizontal="center"/>
    </xf>
    <xf numFmtId="166" fontId="12" fillId="7" borderId="72" xfId="2" applyNumberFormat="1" applyFont="1" applyFill="1" applyBorder="1" applyAlignment="1">
      <alignment horizontal="center"/>
    </xf>
    <xf numFmtId="166" fontId="12" fillId="7" borderId="16" xfId="2" applyNumberFormat="1" applyFont="1" applyFill="1" applyBorder="1" applyAlignment="1">
      <alignment horizontal="center"/>
    </xf>
    <xf numFmtId="38" fontId="10" fillId="4" borderId="73" xfId="2" applyNumberFormat="1" applyFont="1" applyFill="1" applyBorder="1" applyAlignment="1">
      <alignment horizontal="right"/>
    </xf>
    <xf numFmtId="38" fontId="10" fillId="4" borderId="66" xfId="2" applyNumberFormat="1" applyFont="1" applyFill="1" applyBorder="1" applyAlignment="1">
      <alignment horizontal="right"/>
    </xf>
    <xf numFmtId="38" fontId="10" fillId="4" borderId="76" xfId="2" applyNumberFormat="1" applyFont="1" applyFill="1" applyBorder="1" applyAlignment="1">
      <alignment horizontal="right"/>
    </xf>
    <xf numFmtId="38" fontId="10" fillId="4" borderId="2" xfId="2" applyNumberFormat="1" applyFont="1" applyFill="1" applyBorder="1" applyAlignment="1">
      <alignment horizontal="right"/>
    </xf>
    <xf numFmtId="38" fontId="10" fillId="4" borderId="51" xfId="2" applyNumberFormat="1" applyFont="1" applyFill="1" applyBorder="1" applyAlignment="1">
      <alignment horizontal="right"/>
    </xf>
    <xf numFmtId="38" fontId="10" fillId="4" borderId="19" xfId="2" applyNumberFormat="1" applyFont="1" applyFill="1" applyBorder="1" applyAlignment="1">
      <alignment horizontal="right"/>
    </xf>
    <xf numFmtId="38" fontId="10" fillId="4" borderId="14" xfId="2" applyNumberFormat="1" applyFont="1" applyFill="1" applyBorder="1" applyAlignment="1">
      <alignment horizontal="right"/>
    </xf>
    <xf numFmtId="38" fontId="10" fillId="4" borderId="20" xfId="2" applyNumberFormat="1" applyFont="1" applyFill="1" applyBorder="1" applyAlignment="1">
      <alignment horizontal="right"/>
    </xf>
    <xf numFmtId="38" fontId="10" fillId="4" borderId="50" xfId="2" applyNumberFormat="1" applyFont="1" applyFill="1" applyBorder="1" applyAlignment="1">
      <alignment horizontal="right"/>
    </xf>
    <xf numFmtId="38" fontId="10" fillId="4" borderId="57" xfId="2" applyNumberFormat="1" applyFont="1" applyFill="1" applyBorder="1" applyAlignment="1">
      <alignment horizontal="right"/>
    </xf>
    <xf numFmtId="38" fontId="10" fillId="4" borderId="0" xfId="2" applyNumberFormat="1" applyFont="1" applyFill="1" applyBorder="1" applyAlignment="1">
      <alignment horizontal="right"/>
    </xf>
    <xf numFmtId="38" fontId="10" fillId="4" borderId="78" xfId="2" applyNumberFormat="1" applyFont="1" applyFill="1" applyBorder="1" applyAlignment="1">
      <alignment horizontal="right"/>
    </xf>
    <xf numFmtId="38" fontId="10" fillId="4" borderId="56" xfId="2" applyNumberFormat="1" applyFont="1" applyFill="1" applyBorder="1" applyAlignment="1">
      <alignment horizontal="right"/>
    </xf>
    <xf numFmtId="0" fontId="10" fillId="12" borderId="9" xfId="0" applyFont="1" applyFill="1" applyBorder="1" applyAlignment="1">
      <alignment horizontal="center"/>
    </xf>
    <xf numFmtId="0" fontId="10" fillId="12" borderId="20" xfId="0" applyFont="1" applyFill="1" applyBorder="1" applyAlignment="1">
      <alignment horizontal="left"/>
    </xf>
    <xf numFmtId="0" fontId="10" fillId="12" borderId="77" xfId="0" applyFont="1" applyFill="1" applyBorder="1" applyAlignment="1">
      <alignment horizontal="left"/>
    </xf>
    <xf numFmtId="166" fontId="10" fillId="12" borderId="0" xfId="2" applyNumberFormat="1" applyFont="1" applyFill="1" applyBorder="1" applyAlignment="1">
      <alignment horizontal="right"/>
    </xf>
    <xf numFmtId="166" fontId="10" fillId="12" borderId="20" xfId="2" applyNumberFormat="1" applyFont="1" applyFill="1" applyBorder="1" applyAlignment="1">
      <alignment horizontal="right"/>
    </xf>
    <xf numFmtId="166" fontId="10" fillId="12" borderId="66" xfId="2" applyNumberFormat="1" applyFont="1" applyFill="1" applyBorder="1" applyAlignment="1">
      <alignment horizontal="right"/>
    </xf>
    <xf numFmtId="166" fontId="10" fillId="12" borderId="50" xfId="2" applyNumberFormat="1" applyFont="1" applyFill="1" applyBorder="1" applyAlignment="1">
      <alignment horizontal="right"/>
    </xf>
    <xf numFmtId="166" fontId="10" fillId="12" borderId="74" xfId="2" applyNumberFormat="1" applyFont="1" applyFill="1" applyBorder="1" applyAlignment="1">
      <alignment horizontal="right"/>
    </xf>
    <xf numFmtId="166" fontId="10" fillId="12" borderId="57" xfId="2" applyNumberFormat="1" applyFont="1" applyFill="1" applyBorder="1" applyAlignment="1">
      <alignment horizontal="right"/>
    </xf>
    <xf numFmtId="166" fontId="10" fillId="12" borderId="78" xfId="2" applyNumberFormat="1" applyFont="1" applyFill="1" applyBorder="1" applyAlignment="1">
      <alignment horizontal="right"/>
    </xf>
    <xf numFmtId="166" fontId="10" fillId="12" borderId="75" xfId="2" applyNumberFormat="1" applyFont="1" applyFill="1" applyBorder="1" applyAlignment="1">
      <alignment horizontal="right"/>
    </xf>
    <xf numFmtId="166" fontId="12" fillId="7" borderId="3" xfId="2" applyNumberFormat="1" applyFont="1" applyFill="1" applyBorder="1" applyAlignment="1">
      <alignment horizontal="center"/>
    </xf>
    <xf numFmtId="38" fontId="10" fillId="13" borderId="57" xfId="2" applyNumberFormat="1" applyFont="1" applyFill="1" applyBorder="1" applyAlignment="1">
      <alignment horizontal="right"/>
    </xf>
    <xf numFmtId="38" fontId="10" fillId="13" borderId="14" xfId="2" applyNumberFormat="1" applyFont="1" applyFill="1" applyBorder="1" applyAlignment="1">
      <alignment horizontal="right"/>
    </xf>
    <xf numFmtId="38" fontId="10" fillId="13" borderId="51" xfId="2" applyNumberFormat="1" applyFont="1" applyFill="1" applyBorder="1" applyAlignment="1">
      <alignment horizontal="right"/>
    </xf>
    <xf numFmtId="38" fontId="10" fillId="13" borderId="50" xfId="2" applyNumberFormat="1" applyFont="1" applyFill="1" applyBorder="1" applyAlignment="1">
      <alignment horizontal="right"/>
    </xf>
    <xf numFmtId="38" fontId="10" fillId="13" borderId="0" xfId="2" applyNumberFormat="1" applyFont="1" applyFill="1" applyBorder="1" applyAlignment="1">
      <alignment horizontal="right"/>
    </xf>
    <xf numFmtId="164" fontId="6" fillId="13" borderId="21" xfId="2" applyNumberFormat="1" applyFont="1" applyFill="1" applyBorder="1" applyProtection="1">
      <protection locked="0"/>
    </xf>
    <xf numFmtId="166" fontId="12" fillId="7" borderId="69" xfId="2" applyNumberFormat="1" applyFont="1" applyFill="1" applyBorder="1" applyAlignment="1">
      <alignment horizontal="center"/>
    </xf>
    <xf numFmtId="166" fontId="12" fillId="7" borderId="79" xfId="2" applyNumberFormat="1" applyFont="1" applyFill="1" applyBorder="1" applyAlignment="1">
      <alignment horizontal="center"/>
    </xf>
    <xf numFmtId="166" fontId="10" fillId="12" borderId="80" xfId="2" applyNumberFormat="1" applyFont="1" applyFill="1" applyBorder="1" applyAlignment="1">
      <alignment horizontal="right"/>
    </xf>
    <xf numFmtId="166" fontId="10" fillId="12" borderId="56" xfId="2" applyNumberFormat="1" applyFont="1" applyFill="1" applyBorder="1" applyAlignment="1">
      <alignment horizontal="right"/>
    </xf>
    <xf numFmtId="0" fontId="11" fillId="7" borderId="0" xfId="0" applyFont="1" applyFill="1" applyAlignment="1">
      <alignment horizontal="center"/>
    </xf>
    <xf numFmtId="166" fontId="10" fillId="12" borderId="81" xfId="2" applyNumberFormat="1" applyFont="1" applyFill="1" applyBorder="1" applyAlignment="1">
      <alignment horizontal="right"/>
    </xf>
    <xf numFmtId="17" fontId="12" fillId="14" borderId="68" xfId="0" applyNumberFormat="1" applyFont="1" applyFill="1" applyBorder="1" applyAlignment="1">
      <alignment horizontal="center" vertical="center"/>
    </xf>
    <xf numFmtId="166" fontId="12" fillId="14" borderId="16" xfId="2" applyNumberFormat="1" applyFont="1" applyFill="1" applyBorder="1" applyAlignment="1">
      <alignment horizontal="center"/>
    </xf>
    <xf numFmtId="38" fontId="10" fillId="12" borderId="0" xfId="2" applyNumberFormat="1" applyFont="1" applyFill="1" applyBorder="1" applyAlignment="1">
      <alignment horizontal="right"/>
    </xf>
    <xf numFmtId="38" fontId="10" fillId="12" borderId="56" xfId="2" applyNumberFormat="1" applyFont="1" applyFill="1" applyBorder="1" applyAlignment="1">
      <alignment horizontal="right"/>
    </xf>
    <xf numFmtId="38" fontId="10" fillId="12" borderId="82" xfId="2" applyNumberFormat="1" applyFont="1" applyFill="1" applyBorder="1" applyAlignment="1">
      <alignment horizontal="right"/>
    </xf>
    <xf numFmtId="166" fontId="12" fillId="7" borderId="68" xfId="2" applyNumberFormat="1" applyFont="1" applyFill="1" applyBorder="1" applyAlignment="1">
      <alignment horizontal="center"/>
    </xf>
    <xf numFmtId="0" fontId="11" fillId="7" borderId="15" xfId="0" applyFont="1" applyFill="1" applyBorder="1"/>
    <xf numFmtId="0" fontId="11" fillId="7" borderId="17" xfId="0" applyFont="1" applyFill="1" applyBorder="1"/>
    <xf numFmtId="0" fontId="11" fillId="7" borderId="18" xfId="0" applyFont="1" applyFill="1" applyBorder="1"/>
    <xf numFmtId="0" fontId="0" fillId="0" borderId="4" xfId="0" applyBorder="1" applyAlignment="1">
      <alignment horizontal="center"/>
    </xf>
    <xf numFmtId="0" fontId="0" fillId="0" borderId="66" xfId="0" applyBorder="1" applyAlignment="1">
      <alignment horizontal="left"/>
    </xf>
    <xf numFmtId="14" fontId="0" fillId="0" borderId="66" xfId="0" applyNumberFormat="1" applyBorder="1" applyAlignment="1">
      <alignment horizontal="left"/>
    </xf>
    <xf numFmtId="4" fontId="0" fillId="0" borderId="77" xfId="0" applyNumberFormat="1" applyBorder="1" applyAlignment="1">
      <alignment horizontal="center"/>
    </xf>
    <xf numFmtId="4" fontId="0" fillId="0" borderId="75" xfId="0" applyNumberFormat="1" applyBorder="1" applyAlignment="1">
      <alignment horizontal="center"/>
    </xf>
    <xf numFmtId="38" fontId="10" fillId="13" borderId="77" xfId="2" applyNumberFormat="1" applyFont="1" applyFill="1" applyBorder="1" applyAlignment="1">
      <alignment horizontal="right"/>
    </xf>
    <xf numFmtId="38" fontId="10" fillId="13" borderId="75" xfId="2" applyNumberFormat="1" applyFont="1" applyFill="1" applyBorder="1" applyAlignment="1">
      <alignment horizontal="right"/>
    </xf>
    <xf numFmtId="38" fontId="10" fillId="13" borderId="84" xfId="2" applyNumberFormat="1" applyFont="1" applyFill="1" applyBorder="1" applyAlignment="1">
      <alignment horizontal="right"/>
    </xf>
    <xf numFmtId="17" fontId="12" fillId="6" borderId="70" xfId="0" applyNumberFormat="1" applyFont="1" applyFill="1" applyBorder="1" applyAlignment="1">
      <alignment horizontal="center" vertical="center"/>
    </xf>
    <xf numFmtId="166" fontId="12" fillId="7" borderId="86" xfId="2" applyNumberFormat="1" applyFont="1" applyFill="1" applyBorder="1" applyAlignment="1">
      <alignment horizontal="center"/>
    </xf>
    <xf numFmtId="4" fontId="0" fillId="0" borderId="85" xfId="0" applyNumberFormat="1" applyBorder="1" applyAlignment="1">
      <alignment horizontal="center"/>
    </xf>
    <xf numFmtId="0" fontId="12" fillId="7" borderId="3" xfId="0" applyFont="1" applyFill="1" applyBorder="1" applyAlignment="1">
      <alignment horizontal="center"/>
    </xf>
    <xf numFmtId="164" fontId="6" fillId="0" borderId="21" xfId="2" applyNumberFormat="1" applyFont="1" applyFill="1" applyBorder="1" applyProtection="1"/>
    <xf numFmtId="164" fontId="6" fillId="13" borderId="21" xfId="2" applyNumberFormat="1" applyFont="1" applyFill="1" applyBorder="1" applyProtection="1"/>
    <xf numFmtId="0" fontId="12" fillId="6" borderId="87" xfId="0" applyFont="1" applyFill="1" applyBorder="1" applyAlignment="1">
      <alignment horizontal="center" vertical="center"/>
    </xf>
    <xf numFmtId="169" fontId="12" fillId="7" borderId="16" xfId="2" applyNumberFormat="1" applyFont="1" applyFill="1" applyBorder="1" applyAlignment="1">
      <alignment horizontal="center"/>
    </xf>
    <xf numFmtId="169" fontId="12" fillId="15" borderId="2" xfId="2" applyNumberFormat="1" applyFont="1" applyFill="1" applyBorder="1" applyAlignment="1">
      <alignment horizontal="center" vertical="center"/>
    </xf>
    <xf numFmtId="0" fontId="0" fillId="0" borderId="57" xfId="0" applyBorder="1" applyAlignment="1">
      <alignment horizontal="left"/>
    </xf>
    <xf numFmtId="166" fontId="10" fillId="4" borderId="57" xfId="2" applyNumberFormat="1" applyFont="1" applyFill="1" applyBorder="1" applyAlignment="1">
      <alignment horizontal="right"/>
    </xf>
    <xf numFmtId="166" fontId="10" fillId="4" borderId="5" xfId="0" applyNumberFormat="1" applyFont="1" applyFill="1" applyBorder="1" applyAlignment="1">
      <alignment horizontal="right"/>
    </xf>
    <xf numFmtId="38" fontId="34" fillId="4" borderId="73" xfId="2" applyNumberFormat="1" applyFont="1" applyFill="1" applyBorder="1" applyAlignment="1">
      <alignment horizontal="right"/>
    </xf>
    <xf numFmtId="38" fontId="34" fillId="13" borderId="57" xfId="2" applyNumberFormat="1" applyFont="1" applyFill="1" applyBorder="1" applyAlignment="1">
      <alignment horizontal="right"/>
    </xf>
    <xf numFmtId="38" fontId="34" fillId="4" borderId="66" xfId="2" applyNumberFormat="1" applyFont="1" applyFill="1" applyBorder="1" applyAlignment="1">
      <alignment horizontal="right"/>
    </xf>
    <xf numFmtId="38" fontId="35" fillId="4" borderId="66" xfId="2" applyNumberFormat="1" applyFont="1" applyFill="1" applyBorder="1" applyAlignment="1">
      <alignment horizontal="right"/>
    </xf>
    <xf numFmtId="38" fontId="34" fillId="12" borderId="82" xfId="2" applyNumberFormat="1" applyFont="1" applyFill="1" applyBorder="1" applyAlignment="1">
      <alignment horizontal="right"/>
    </xf>
    <xf numFmtId="38" fontId="34" fillId="4" borderId="57" xfId="2" applyNumberFormat="1" applyFont="1" applyFill="1" applyBorder="1" applyAlignment="1">
      <alignment horizontal="right"/>
    </xf>
    <xf numFmtId="38" fontId="34" fillId="13" borderId="85" xfId="2" applyNumberFormat="1" applyFont="1" applyFill="1" applyBorder="1" applyAlignment="1">
      <alignment horizontal="right"/>
    </xf>
    <xf numFmtId="38" fontId="34" fillId="4" borderId="76" xfId="2" applyNumberFormat="1" applyFont="1" applyFill="1" applyBorder="1" applyAlignment="1">
      <alignment horizontal="right"/>
    </xf>
    <xf numFmtId="38" fontId="34" fillId="13" borderId="14" xfId="2" applyNumberFormat="1" applyFont="1" applyFill="1" applyBorder="1" applyAlignment="1">
      <alignment horizontal="right"/>
    </xf>
    <xf numFmtId="38" fontId="34" fillId="4" borderId="2" xfId="2" applyNumberFormat="1" applyFont="1" applyFill="1" applyBorder="1" applyAlignment="1">
      <alignment horizontal="right"/>
    </xf>
    <xf numFmtId="38" fontId="34" fillId="12" borderId="56" xfId="2" applyNumberFormat="1" applyFont="1" applyFill="1" applyBorder="1" applyAlignment="1">
      <alignment horizontal="right"/>
    </xf>
    <xf numFmtId="38" fontId="34" fillId="4" borderId="14" xfId="2" applyNumberFormat="1" applyFont="1" applyFill="1" applyBorder="1" applyAlignment="1">
      <alignment horizontal="right"/>
    </xf>
    <xf numFmtId="38" fontId="34" fillId="13" borderId="77" xfId="2" applyNumberFormat="1" applyFont="1" applyFill="1" applyBorder="1" applyAlignment="1">
      <alignment horizontal="right"/>
    </xf>
    <xf numFmtId="38" fontId="35" fillId="4" borderId="2" xfId="2" applyNumberFormat="1" applyFont="1" applyFill="1" applyBorder="1" applyAlignment="1">
      <alignment horizontal="right"/>
    </xf>
    <xf numFmtId="38" fontId="34" fillId="13" borderId="51" xfId="2" applyNumberFormat="1" applyFont="1" applyFill="1" applyBorder="1" applyAlignment="1">
      <alignment horizontal="right"/>
    </xf>
    <xf numFmtId="38" fontId="34" fillId="4" borderId="19" xfId="2" applyNumberFormat="1" applyFont="1" applyFill="1" applyBorder="1" applyAlignment="1">
      <alignment horizontal="right"/>
    </xf>
    <xf numFmtId="38" fontId="34" fillId="4" borderId="51" xfId="2" applyNumberFormat="1" applyFont="1" applyFill="1" applyBorder="1" applyAlignment="1">
      <alignment horizontal="right"/>
    </xf>
    <xf numFmtId="38" fontId="34" fillId="13" borderId="50" xfId="2" applyNumberFormat="1" applyFont="1" applyFill="1" applyBorder="1" applyAlignment="1">
      <alignment horizontal="right"/>
    </xf>
    <xf numFmtId="38" fontId="34" fillId="4" borderId="20" xfId="2" applyNumberFormat="1" applyFont="1" applyFill="1" applyBorder="1" applyAlignment="1">
      <alignment horizontal="right"/>
    </xf>
    <xf numFmtId="38" fontId="34" fillId="4" borderId="50" xfId="2" applyNumberFormat="1" applyFont="1" applyFill="1" applyBorder="1" applyAlignment="1">
      <alignment horizontal="right"/>
    </xf>
    <xf numFmtId="38" fontId="34" fillId="13" borderId="75" xfId="2" applyNumberFormat="1" applyFont="1" applyFill="1" applyBorder="1" applyAlignment="1">
      <alignment horizontal="right"/>
    </xf>
    <xf numFmtId="38" fontId="34" fillId="13" borderId="0" xfId="2" applyNumberFormat="1" applyFont="1" applyFill="1" applyBorder="1" applyAlignment="1">
      <alignment horizontal="right"/>
    </xf>
    <xf numFmtId="38" fontId="34" fillId="4" borderId="0" xfId="2" applyNumberFormat="1" applyFont="1" applyFill="1" applyBorder="1" applyAlignment="1">
      <alignment horizontal="right"/>
    </xf>
    <xf numFmtId="38" fontId="34" fillId="13" borderId="56" xfId="2" applyNumberFormat="1" applyFont="1" applyFill="1" applyBorder="1" applyAlignment="1">
      <alignment horizontal="right"/>
    </xf>
    <xf numFmtId="38" fontId="34" fillId="12" borderId="0" xfId="2" applyNumberFormat="1" applyFont="1" applyFill="1" applyBorder="1" applyAlignment="1">
      <alignment horizontal="right"/>
    </xf>
    <xf numFmtId="38" fontId="34" fillId="4" borderId="78" xfId="2" applyNumberFormat="1" applyFont="1" applyFill="1" applyBorder="1" applyAlignment="1">
      <alignment horizontal="right"/>
    </xf>
    <xf numFmtId="38" fontId="34" fillId="4" borderId="56" xfId="2" applyNumberFormat="1" applyFont="1" applyFill="1" applyBorder="1" applyAlignment="1">
      <alignment horizontal="right"/>
    </xf>
    <xf numFmtId="38" fontId="34" fillId="13" borderId="84" xfId="2" applyNumberFormat="1" applyFont="1" applyFill="1" applyBorder="1" applyAlignment="1">
      <alignment horizontal="right"/>
    </xf>
    <xf numFmtId="17" fontId="36" fillId="4" borderId="83" xfId="0" applyNumberFormat="1" applyFont="1" applyFill="1" applyBorder="1" applyAlignment="1">
      <alignment horizontal="center" vertical="center" wrapText="1"/>
    </xf>
    <xf numFmtId="0" fontId="37" fillId="16" borderId="21" xfId="5" applyFont="1" applyFill="1" applyBorder="1" applyAlignment="1">
      <alignment horizontal="center" vertical="center"/>
    </xf>
    <xf numFmtId="170" fontId="37" fillId="16" borderId="15" xfId="6" applyNumberFormat="1" applyFont="1" applyFill="1" applyBorder="1" applyAlignment="1">
      <alignment vertical="center"/>
    </xf>
    <xf numFmtId="170" fontId="37" fillId="16" borderId="17" xfId="6" applyNumberFormat="1" applyFont="1" applyFill="1" applyBorder="1" applyAlignment="1">
      <alignment vertical="center"/>
    </xf>
    <xf numFmtId="170" fontId="37" fillId="16" borderId="18" xfId="6" applyNumberFormat="1" applyFont="1" applyFill="1" applyBorder="1" applyAlignment="1">
      <alignment vertical="center"/>
    </xf>
    <xf numFmtId="0" fontId="1" fillId="17" borderId="21" xfId="6" applyFill="1" applyBorder="1" applyAlignment="1">
      <alignment vertical="center"/>
    </xf>
    <xf numFmtId="0" fontId="38" fillId="0" borderId="21" xfId="5" applyFont="1" applyBorder="1" applyAlignment="1">
      <alignment horizontal="center" vertical="center"/>
    </xf>
    <xf numFmtId="3" fontId="38" fillId="0" borderId="21" xfId="6" applyNumberFormat="1" applyFont="1" applyBorder="1" applyAlignment="1">
      <alignment horizontal="left" vertical="center" wrapText="1"/>
    </xf>
    <xf numFmtId="0" fontId="38" fillId="0" borderId="21" xfId="5" applyFont="1" applyBorder="1" applyAlignment="1">
      <alignment horizontal="left" vertical="center" wrapText="1"/>
    </xf>
    <xf numFmtId="3" fontId="39" fillId="0" borderId="21" xfId="6" applyNumberFormat="1" applyFont="1" applyBorder="1" applyAlignment="1">
      <alignment horizontal="left" vertical="center"/>
    </xf>
    <xf numFmtId="0" fontId="39" fillId="0" borderId="21" xfId="5" applyFont="1" applyBorder="1" applyAlignment="1">
      <alignment horizontal="left" vertical="center" wrapText="1"/>
    </xf>
    <xf numFmtId="3" fontId="38" fillId="0" borderId="21" xfId="6" applyNumberFormat="1" applyFont="1" applyBorder="1" applyAlignment="1">
      <alignment horizontal="left"/>
    </xf>
    <xf numFmtId="2" fontId="38" fillId="0" borderId="21" xfId="5" applyNumberFormat="1" applyFont="1" applyBorder="1" applyAlignment="1">
      <alignment horizontal="center" vertical="center"/>
    </xf>
    <xf numFmtId="0" fontId="39" fillId="0" borderId="21" xfId="5" applyFont="1" applyBorder="1" applyAlignment="1">
      <alignment horizontal="center" vertical="center"/>
    </xf>
    <xf numFmtId="3" fontId="39" fillId="0" borderId="21" xfId="6" applyNumberFormat="1" applyFont="1" applyBorder="1" applyAlignment="1">
      <alignment horizontal="left" vertical="center" wrapText="1"/>
    </xf>
    <xf numFmtId="0" fontId="40" fillId="18" borderId="21" xfId="5" applyFont="1" applyFill="1" applyBorder="1" applyAlignment="1">
      <alignment horizontal="center" vertical="center"/>
    </xf>
    <xf numFmtId="0" fontId="3" fillId="0" borderId="88" xfId="0" applyFont="1" applyBorder="1"/>
    <xf numFmtId="0" fontId="4" fillId="3" borderId="61" xfId="0" applyFont="1" applyFill="1" applyBorder="1" applyAlignment="1">
      <alignment vertical="center"/>
    </xf>
    <xf numFmtId="0" fontId="4" fillId="3" borderId="62" xfId="0" applyFont="1" applyFill="1" applyBorder="1" applyAlignment="1">
      <alignment vertical="center"/>
    </xf>
    <xf numFmtId="0" fontId="4" fillId="3" borderId="63" xfId="0" applyFont="1" applyFill="1" applyBorder="1" applyAlignment="1">
      <alignment vertical="center"/>
    </xf>
    <xf numFmtId="0" fontId="4" fillId="3" borderId="64" xfId="0" applyFont="1" applyFill="1" applyBorder="1" applyAlignment="1">
      <alignment vertical="center"/>
    </xf>
    <xf numFmtId="0" fontId="4" fillId="3" borderId="65" xfId="0" applyFont="1" applyFill="1" applyBorder="1" applyAlignment="1">
      <alignment vertical="center"/>
    </xf>
    <xf numFmtId="0" fontId="31" fillId="10" borderId="17" xfId="2" applyNumberFormat="1" applyFont="1" applyFill="1" applyBorder="1" applyAlignment="1" applyProtection="1"/>
    <xf numFmtId="0" fontId="0" fillId="19" borderId="21" xfId="0" applyFill="1" applyBorder="1" applyAlignment="1">
      <alignment horizontal="left" vertical="center"/>
    </xf>
    <xf numFmtId="0" fontId="0" fillId="0" borderId="93" xfId="0" applyBorder="1"/>
    <xf numFmtId="0" fontId="0" fillId="20" borderId="58" xfId="0" applyFill="1" applyBorder="1" applyAlignment="1">
      <alignment horizontal="center" vertical="center"/>
    </xf>
    <xf numFmtId="0" fontId="0" fillId="21" borderId="58" xfId="0" applyFill="1" applyBorder="1" applyAlignment="1">
      <alignment horizontal="center" vertical="center"/>
    </xf>
    <xf numFmtId="0" fontId="30" fillId="3" borderId="0" xfId="0" applyFont="1" applyFill="1"/>
    <xf numFmtId="0" fontId="0" fillId="0" borderId="0" xfId="0" applyAlignment="1">
      <alignment vertical="center"/>
    </xf>
    <xf numFmtId="0" fontId="4" fillId="3" borderId="0" xfId="0" applyFont="1" applyFill="1"/>
    <xf numFmtId="0" fontId="4" fillId="4" borderId="22" xfId="0" applyFont="1" applyFill="1" applyBorder="1" applyAlignment="1">
      <alignment horizontal="center" vertical="center"/>
    </xf>
    <xf numFmtId="0" fontId="4" fillId="3" borderId="0" xfId="0" applyFont="1" applyFill="1" applyAlignment="1">
      <alignment horizontal="center" vertical="top"/>
    </xf>
    <xf numFmtId="0" fontId="0" fillId="3" borderId="0" xfId="0" applyFill="1" applyAlignment="1">
      <alignment horizontal="left" vertical="top"/>
    </xf>
    <xf numFmtId="0" fontId="4" fillId="5" borderId="22" xfId="0" applyFont="1" applyFill="1" applyBorder="1" applyAlignment="1">
      <alignment vertical="center"/>
    </xf>
    <xf numFmtId="0" fontId="4" fillId="5" borderId="7" xfId="0" applyFont="1" applyFill="1" applyBorder="1" applyAlignment="1">
      <alignment vertical="center"/>
    </xf>
    <xf numFmtId="0" fontId="4" fillId="5" borderId="8" xfId="0" applyFont="1" applyFill="1" applyBorder="1" applyAlignment="1">
      <alignment vertical="center"/>
    </xf>
    <xf numFmtId="0" fontId="4" fillId="5" borderId="6" xfId="0" applyFont="1" applyFill="1" applyBorder="1" applyAlignment="1">
      <alignment vertical="center"/>
    </xf>
    <xf numFmtId="0" fontId="4" fillId="5" borderId="24" xfId="0" applyFont="1" applyFill="1" applyBorder="1" applyAlignment="1">
      <alignment vertical="top"/>
    </xf>
    <xf numFmtId="166" fontId="4" fillId="5" borderId="24" xfId="2" applyNumberFormat="1" applyFont="1" applyFill="1" applyBorder="1" applyAlignment="1" applyProtection="1">
      <alignment horizontal="center" vertical="center"/>
    </xf>
    <xf numFmtId="0" fontId="0" fillId="5" borderId="12" xfId="0" applyFill="1" applyBorder="1" applyAlignment="1">
      <alignment vertical="top"/>
    </xf>
    <xf numFmtId="0" fontId="0" fillId="5" borderId="13" xfId="0" applyFill="1" applyBorder="1" applyAlignment="1">
      <alignment vertical="top"/>
    </xf>
    <xf numFmtId="0" fontId="0" fillId="5" borderId="24" xfId="0" applyFill="1" applyBorder="1" applyAlignment="1">
      <alignment vertical="top"/>
    </xf>
    <xf numFmtId="166" fontId="4" fillId="5" borderId="24" xfId="2" applyNumberFormat="1" applyFont="1" applyFill="1" applyBorder="1" applyAlignment="1" applyProtection="1">
      <alignment horizontal="center"/>
    </xf>
    <xf numFmtId="43" fontId="9" fillId="3" borderId="0" xfId="2" applyFont="1" applyFill="1" applyBorder="1" applyAlignment="1" applyProtection="1">
      <alignment horizontal="left" vertical="top"/>
    </xf>
    <xf numFmtId="43" fontId="9" fillId="5" borderId="24" xfId="2" applyFont="1" applyFill="1" applyBorder="1" applyAlignment="1" applyProtection="1">
      <alignment horizontal="left" vertical="top"/>
    </xf>
    <xf numFmtId="166" fontId="4" fillId="5" borderId="24" xfId="2" applyNumberFormat="1" applyFont="1" applyFill="1" applyBorder="1" applyAlignment="1" applyProtection="1">
      <alignment horizontal="left" vertical="center"/>
    </xf>
    <xf numFmtId="0" fontId="4" fillId="4" borderId="21" xfId="0" applyFont="1" applyFill="1" applyBorder="1" applyAlignment="1">
      <alignment horizontal="center" vertical="center"/>
    </xf>
    <xf numFmtId="168" fontId="0" fillId="0" borderId="0" xfId="0" applyNumberFormat="1"/>
    <xf numFmtId="0" fontId="7" fillId="5" borderId="13" xfId="0" applyFont="1" applyFill="1" applyBorder="1" applyAlignment="1">
      <alignment vertical="top"/>
    </xf>
    <xf numFmtId="0" fontId="0" fillId="22" borderId="21" xfId="0" applyFill="1" applyBorder="1" applyAlignment="1">
      <alignment horizontal="left" vertical="center"/>
    </xf>
    <xf numFmtId="0" fontId="4" fillId="4" borderId="22" xfId="0" applyFont="1" applyFill="1" applyBorder="1" applyAlignment="1">
      <alignment horizontal="center" vertical="top" wrapText="1"/>
    </xf>
    <xf numFmtId="0" fontId="4" fillId="4" borderId="22" xfId="0" applyFont="1" applyFill="1" applyBorder="1" applyAlignment="1">
      <alignment horizontal="center" vertical="center" wrapText="1"/>
    </xf>
    <xf numFmtId="0" fontId="41" fillId="5" borderId="24" xfId="0" applyFont="1" applyFill="1" applyBorder="1" applyAlignment="1">
      <alignment vertical="top"/>
    </xf>
    <xf numFmtId="43" fontId="42" fillId="5" borderId="11" xfId="0" applyNumberFormat="1" applyFont="1" applyFill="1" applyBorder="1" applyAlignment="1">
      <alignment horizontal="center" vertical="center"/>
    </xf>
    <xf numFmtId="0" fontId="4" fillId="5" borderId="11" xfId="0" applyFont="1" applyFill="1" applyBorder="1" applyAlignment="1">
      <alignment vertical="top"/>
    </xf>
    <xf numFmtId="0" fontId="4" fillId="5" borderId="6" xfId="0" applyFont="1" applyFill="1" applyBorder="1" applyAlignment="1">
      <alignment vertical="center" wrapText="1"/>
    </xf>
    <xf numFmtId="166" fontId="4" fillId="5" borderId="11" xfId="2" applyNumberFormat="1" applyFont="1" applyFill="1" applyBorder="1" applyAlignment="1" applyProtection="1">
      <alignment wrapText="1"/>
    </xf>
    <xf numFmtId="43" fontId="42" fillId="5" borderId="11" xfId="0" applyNumberFormat="1" applyFont="1" applyFill="1" applyBorder="1" applyAlignment="1">
      <alignment vertical="top"/>
    </xf>
    <xf numFmtId="0" fontId="4" fillId="4" borderId="21" xfId="0" applyFont="1" applyFill="1" applyBorder="1" applyAlignment="1">
      <alignment horizontal="center" vertical="center" wrapText="1"/>
    </xf>
    <xf numFmtId="0" fontId="4" fillId="4" borderId="15" xfId="0" applyFont="1" applyFill="1" applyBorder="1" applyAlignment="1">
      <alignment horizontal="center" vertical="center" wrapText="1"/>
    </xf>
    <xf numFmtId="0" fontId="1" fillId="0" borderId="95" xfId="0" applyFont="1" applyBorder="1"/>
    <xf numFmtId="0" fontId="1" fillId="0" borderId="96" xfId="0" applyFont="1" applyBorder="1"/>
    <xf numFmtId="0" fontId="1" fillId="23" borderId="58" xfId="0" applyFont="1" applyFill="1" applyBorder="1" applyAlignment="1">
      <alignment horizontal="center" vertical="center"/>
    </xf>
    <xf numFmtId="0" fontId="1" fillId="24" borderId="58" xfId="0" applyFont="1" applyFill="1" applyBorder="1" applyAlignment="1">
      <alignment horizontal="center" vertical="center"/>
    </xf>
    <xf numFmtId="168" fontId="4" fillId="4" borderId="22" xfId="0" applyNumberFormat="1" applyFont="1" applyFill="1" applyBorder="1" applyAlignment="1">
      <alignment horizontal="center" vertical="center" wrapText="1"/>
    </xf>
    <xf numFmtId="0" fontId="29" fillId="4" borderId="22" xfId="0" applyFont="1" applyFill="1" applyBorder="1" applyAlignment="1">
      <alignment horizontal="center" vertical="center"/>
    </xf>
    <xf numFmtId="0" fontId="29" fillId="4" borderId="22" xfId="0" applyFont="1" applyFill="1" applyBorder="1" applyAlignment="1">
      <alignment horizontal="center" vertical="center" wrapText="1"/>
    </xf>
    <xf numFmtId="0" fontId="0" fillId="19" borderId="24" xfId="0" applyFill="1" applyBorder="1" applyAlignment="1">
      <alignment horizontal="left" vertical="center"/>
    </xf>
    <xf numFmtId="0" fontId="14" fillId="25" borderId="58" xfId="0" applyFont="1" applyFill="1" applyBorder="1" applyAlignment="1">
      <alignment horizontal="center" vertical="center"/>
    </xf>
    <xf numFmtId="0" fontId="1" fillId="2" borderId="58" xfId="0" applyFont="1" applyFill="1" applyBorder="1" applyAlignment="1">
      <alignment horizontal="center" vertical="center"/>
    </xf>
    <xf numFmtId="0" fontId="44" fillId="27" borderId="58" xfId="0" applyFont="1" applyFill="1" applyBorder="1" applyAlignment="1">
      <alignment horizontal="center" vertical="center"/>
    </xf>
    <xf numFmtId="0" fontId="44" fillId="26" borderId="58" xfId="0" applyFont="1" applyFill="1" applyBorder="1" applyAlignment="1">
      <alignment horizontal="center" vertical="center"/>
    </xf>
    <xf numFmtId="0" fontId="44" fillId="28" borderId="58" xfId="0" applyFont="1" applyFill="1" applyBorder="1" applyAlignment="1">
      <alignment horizontal="center" vertical="center"/>
    </xf>
    <xf numFmtId="0" fontId="1" fillId="11" borderId="94" xfId="0" applyFont="1" applyFill="1" applyBorder="1" applyAlignment="1">
      <alignment horizontal="center" vertical="center"/>
    </xf>
    <xf numFmtId="0" fontId="1" fillId="0" borderId="61" xfId="0" applyFont="1" applyBorder="1"/>
    <xf numFmtId="0" fontId="1" fillId="0" borderId="63" xfId="0" applyFont="1" applyBorder="1"/>
    <xf numFmtId="0" fontId="1" fillId="0" borderId="62" xfId="0" applyFont="1" applyBorder="1"/>
    <xf numFmtId="0" fontId="0" fillId="0" borderId="60" xfId="0" applyBorder="1"/>
    <xf numFmtId="0" fontId="1" fillId="0" borderId="59" xfId="0" applyFont="1" applyBorder="1"/>
    <xf numFmtId="0" fontId="0" fillId="0" borderId="53" xfId="0" applyBorder="1"/>
    <xf numFmtId="0" fontId="0" fillId="0" borderId="54" xfId="0" applyBorder="1"/>
    <xf numFmtId="0" fontId="0" fillId="0" borderId="56" xfId="0" applyBorder="1"/>
    <xf numFmtId="0" fontId="0" fillId="0" borderId="50" xfId="0" applyBorder="1"/>
    <xf numFmtId="0" fontId="0" fillId="0" borderId="57" xfId="0" applyBorder="1"/>
    <xf numFmtId="0" fontId="4" fillId="0" borderId="0" xfId="0" applyFont="1"/>
    <xf numFmtId="0" fontId="0" fillId="0" borderId="51" xfId="0" applyBorder="1"/>
    <xf numFmtId="0" fontId="4" fillId="0" borderId="0" xfId="0" applyFont="1" applyAlignment="1">
      <alignment horizontal="center"/>
    </xf>
    <xf numFmtId="0" fontId="4" fillId="0" borderId="0" xfId="0" applyFont="1" applyAlignment="1">
      <alignment horizontal="left"/>
    </xf>
    <xf numFmtId="0" fontId="12" fillId="3" borderId="0" xfId="0" applyFont="1" applyFill="1" applyAlignment="1">
      <alignment horizontal="right"/>
    </xf>
    <xf numFmtId="0" fontId="4" fillId="3" borderId="0" xfId="0" applyFont="1" applyFill="1" applyAlignment="1">
      <alignment horizontal="center"/>
    </xf>
    <xf numFmtId="0" fontId="0" fillId="0" borderId="0" xfId="0" applyAlignment="1">
      <alignment horizontal="left"/>
    </xf>
    <xf numFmtId="0" fontId="0" fillId="0" borderId="51" xfId="0" applyBorder="1" applyAlignment="1">
      <alignment horizontal="left" vertical="top"/>
    </xf>
    <xf numFmtId="0" fontId="12" fillId="0" borderId="53" xfId="0" applyFont="1" applyBorder="1"/>
    <xf numFmtId="0" fontId="45" fillId="0" borderId="0" xfId="0" applyFont="1" applyAlignment="1">
      <alignment horizontal="left"/>
    </xf>
    <xf numFmtId="0" fontId="0" fillId="0" borderId="50" xfId="0" applyBorder="1" applyAlignment="1">
      <alignment horizontal="left"/>
    </xf>
    <xf numFmtId="0" fontId="0" fillId="0" borderId="51" xfId="0" applyBorder="1" applyAlignment="1">
      <alignment horizontal="right"/>
    </xf>
    <xf numFmtId="0" fontId="0" fillId="0" borderId="53" xfId="0" applyBorder="1" applyAlignment="1">
      <alignment horizontal="left" vertical="top"/>
    </xf>
    <xf numFmtId="0" fontId="0" fillId="4" borderId="21" xfId="0" applyFill="1" applyBorder="1" applyAlignment="1">
      <alignment horizontal="center" vertical="center"/>
    </xf>
    <xf numFmtId="0" fontId="46" fillId="0" borderId="99" xfId="0" applyFont="1" applyBorder="1" applyAlignment="1">
      <alignment horizontal="center" vertical="center"/>
    </xf>
    <xf numFmtId="171" fontId="0" fillId="29" borderId="97" xfId="2" applyNumberFormat="1" applyFont="1" applyFill="1" applyBorder="1" applyAlignment="1">
      <alignment horizontal="center" vertical="center"/>
    </xf>
    <xf numFmtId="171" fontId="4" fillId="4" borderId="7" xfId="2" applyNumberFormat="1" applyFont="1" applyFill="1" applyBorder="1" applyAlignment="1">
      <alignment horizontal="center" vertical="center"/>
    </xf>
    <xf numFmtId="171" fontId="0" fillId="0" borderId="100" xfId="2" applyNumberFormat="1" applyFont="1" applyBorder="1" applyAlignment="1">
      <alignment horizontal="center" vertical="center"/>
    </xf>
    <xf numFmtId="171" fontId="4" fillId="0" borderId="100" xfId="2" applyNumberFormat="1" applyFont="1" applyBorder="1" applyAlignment="1">
      <alignment horizontal="center" vertical="center"/>
    </xf>
    <xf numFmtId="171" fontId="4" fillId="0" borderId="101" xfId="0" applyNumberFormat="1" applyFont="1" applyBorder="1" applyAlignment="1">
      <alignment horizontal="center" vertical="center"/>
    </xf>
    <xf numFmtId="0" fontId="0" fillId="0" borderId="12" xfId="0" applyBorder="1"/>
    <xf numFmtId="0" fontId="0" fillId="0" borderId="21" xfId="0" applyBorder="1"/>
    <xf numFmtId="0" fontId="0" fillId="30" borderId="94" xfId="0" applyFill="1" applyBorder="1"/>
    <xf numFmtId="0" fontId="0" fillId="4" borderId="10" xfId="0" applyFill="1" applyBorder="1"/>
    <xf numFmtId="0" fontId="0" fillId="4" borderId="102" xfId="0" applyFill="1" applyBorder="1"/>
    <xf numFmtId="0" fontId="6" fillId="0" borderId="0" xfId="0" applyFont="1"/>
    <xf numFmtId="0" fontId="6" fillId="0" borderId="0" xfId="0" applyFont="1" applyAlignment="1">
      <alignment horizontal="right"/>
    </xf>
    <xf numFmtId="0" fontId="4" fillId="0" borderId="0" xfId="0" applyFont="1" applyAlignment="1">
      <alignment horizontal="right"/>
    </xf>
    <xf numFmtId="0" fontId="46" fillId="0" borderId="97" xfId="0" applyFont="1" applyBorder="1" applyAlignment="1">
      <alignment horizontal="center" vertical="center"/>
    </xf>
    <xf numFmtId="9" fontId="0" fillId="0" borderId="23" xfId="7" applyFont="1" applyBorder="1" applyAlignment="1">
      <alignment horizontal="center" vertical="center"/>
    </xf>
    <xf numFmtId="9" fontId="0" fillId="4" borderId="23" xfId="7" applyFont="1" applyFill="1" applyBorder="1" applyAlignment="1">
      <alignment horizontal="center" vertical="center"/>
    </xf>
    <xf numFmtId="9" fontId="0" fillId="0" borderId="98" xfId="0" applyNumberFormat="1" applyBorder="1" applyAlignment="1">
      <alignment horizontal="center" vertical="center"/>
    </xf>
    <xf numFmtId="171" fontId="6" fillId="0" borderId="23" xfId="2" applyNumberFormat="1" applyFont="1" applyBorder="1" applyAlignment="1">
      <alignment horizontal="center" vertical="center"/>
    </xf>
    <xf numFmtId="171" fontId="6" fillId="4" borderId="23" xfId="2" applyNumberFormat="1" applyFont="1" applyFill="1" applyBorder="1" applyAlignment="1">
      <alignment horizontal="center" vertical="center"/>
    </xf>
    <xf numFmtId="171" fontId="0" fillId="0" borderId="98" xfId="0" applyNumberFormat="1" applyBorder="1" applyAlignment="1">
      <alignment horizontal="center" vertical="center"/>
    </xf>
    <xf numFmtId="0" fontId="0" fillId="0" borderId="23" xfId="0" applyBorder="1" applyAlignment="1">
      <alignment vertical="center"/>
    </xf>
    <xf numFmtId="0" fontId="0" fillId="4" borderId="23" xfId="0" applyFill="1" applyBorder="1" applyAlignment="1">
      <alignment vertical="center"/>
    </xf>
    <xf numFmtId="0" fontId="0" fillId="0" borderId="98" xfId="0" applyBorder="1" applyAlignment="1">
      <alignment vertical="center"/>
    </xf>
    <xf numFmtId="0" fontId="8" fillId="0" borderId="0" xfId="0" applyFont="1" applyAlignment="1">
      <alignment horizontal="left" vertical="top" wrapText="1"/>
    </xf>
    <xf numFmtId="0" fontId="4" fillId="0" borderId="103" xfId="0" applyFont="1" applyBorder="1" applyAlignment="1">
      <alignment horizontal="left"/>
    </xf>
    <xf numFmtId="0" fontId="0" fillId="0" borderId="103" xfId="0" applyBorder="1"/>
    <xf numFmtId="0" fontId="0" fillId="0" borderId="104" xfId="0" applyBorder="1"/>
    <xf numFmtId="0" fontId="0" fillId="0" borderId="104" xfId="0" applyBorder="1" applyAlignment="1">
      <alignment vertical="center"/>
    </xf>
    <xf numFmtId="0" fontId="0" fillId="0" borderId="103" xfId="0" applyBorder="1" applyAlignment="1">
      <alignment vertical="center"/>
    </xf>
    <xf numFmtId="171" fontId="4" fillId="0" borderId="0" xfId="0" applyNumberFormat="1" applyFont="1" applyAlignment="1">
      <alignment horizontal="center" vertical="center"/>
    </xf>
    <xf numFmtId="172" fontId="0" fillId="0" borderId="0" xfId="2" applyNumberFormat="1" applyFont="1" applyFill="1" applyAlignment="1">
      <alignment horizontal="center" vertical="center"/>
    </xf>
    <xf numFmtId="172" fontId="0" fillId="0" borderId="0" xfId="2" applyNumberFormat="1" applyFont="1" applyFill="1" applyBorder="1" applyAlignment="1">
      <alignment horizontal="center" vertical="center"/>
    </xf>
    <xf numFmtId="172" fontId="0" fillId="0" borderId="104" xfId="2" applyNumberFormat="1" applyFont="1" applyBorder="1" applyAlignment="1">
      <alignment horizontal="center" vertical="center"/>
    </xf>
    <xf numFmtId="172" fontId="0" fillId="0" borderId="0" xfId="2" applyNumberFormat="1" applyFont="1" applyAlignment="1">
      <alignment horizontal="center" vertical="center"/>
    </xf>
    <xf numFmtId="172" fontId="0" fillId="0" borderId="0" xfId="2" applyNumberFormat="1" applyFont="1" applyBorder="1" applyAlignment="1">
      <alignment horizontal="center" vertical="center"/>
    </xf>
    <xf numFmtId="172" fontId="0" fillId="0" borderId="103" xfId="0" applyNumberFormat="1" applyBorder="1" applyAlignment="1">
      <alignment horizontal="center" vertical="center"/>
    </xf>
    <xf numFmtId="0" fontId="0" fillId="0" borderId="103" xfId="0" applyBorder="1" applyAlignment="1">
      <alignment horizontal="center" vertical="center"/>
    </xf>
    <xf numFmtId="0" fontId="0" fillId="0" borderId="52" xfId="0" applyBorder="1"/>
    <xf numFmtId="0" fontId="0" fillId="0" borderId="2" xfId="0" applyBorder="1" applyAlignment="1">
      <alignment vertical="center"/>
    </xf>
    <xf numFmtId="0" fontId="0" fillId="0" borderId="66" xfId="0" applyBorder="1" applyAlignment="1">
      <alignment vertical="center"/>
    </xf>
    <xf numFmtId="0" fontId="0" fillId="0" borderId="66" xfId="0" applyBorder="1"/>
    <xf numFmtId="173" fontId="0" fillId="0" borderId="2" xfId="0" applyNumberFormat="1" applyBorder="1" applyAlignment="1">
      <alignment horizontal="center" vertical="center"/>
    </xf>
    <xf numFmtId="0" fontId="8" fillId="0" borderId="51" xfId="0" applyFont="1" applyBorder="1" applyAlignment="1">
      <alignment horizontal="left" vertical="top"/>
    </xf>
    <xf numFmtId="0" fontId="8" fillId="0" borderId="53" xfId="0" applyFont="1" applyBorder="1" applyAlignment="1">
      <alignment horizontal="left" vertical="top"/>
    </xf>
    <xf numFmtId="0" fontId="6" fillId="0" borderId="9" xfId="0" applyFont="1" applyBorder="1"/>
    <xf numFmtId="0" fontId="0" fillId="0" borderId="105" xfId="0" applyBorder="1"/>
    <xf numFmtId="0" fontId="0" fillId="0" borderId="100" xfId="0" applyBorder="1"/>
    <xf numFmtId="0" fontId="0" fillId="0" borderId="106" xfId="0" applyBorder="1"/>
    <xf numFmtId="0" fontId="0" fillId="0" borderId="107" xfId="0" applyBorder="1"/>
    <xf numFmtId="0" fontId="0" fillId="0" borderId="108" xfId="0" applyBorder="1"/>
    <xf numFmtId="0" fontId="0" fillId="0" borderId="109" xfId="0" applyBorder="1"/>
    <xf numFmtId="0" fontId="0" fillId="0" borderId="110" xfId="0" applyBorder="1"/>
    <xf numFmtId="0" fontId="0" fillId="0" borderId="111" xfId="0" applyBorder="1"/>
    <xf numFmtId="0" fontId="0" fillId="0" borderId="0" xfId="0" quotePrefix="1"/>
    <xf numFmtId="0" fontId="47" fillId="0" borderId="0" xfId="0" applyFont="1"/>
    <xf numFmtId="0" fontId="8" fillId="0" borderId="51" xfId="0" applyFont="1" applyBorder="1" applyAlignment="1">
      <alignment horizontal="center" vertical="top"/>
    </xf>
    <xf numFmtId="0" fontId="8" fillId="0" borderId="0" xfId="0" applyFont="1"/>
    <xf numFmtId="0" fontId="9" fillId="0" borderId="0" xfId="0" applyFont="1" applyAlignment="1">
      <alignment horizontal="left"/>
    </xf>
    <xf numFmtId="0" fontId="9" fillId="3" borderId="0" xfId="0" applyFont="1" applyFill="1" applyAlignment="1">
      <alignment horizontal="right"/>
    </xf>
    <xf numFmtId="0" fontId="0" fillId="0" borderId="12" xfId="0" applyBorder="1" applyAlignment="1">
      <alignment horizontal="right"/>
    </xf>
    <xf numFmtId="165" fontId="4" fillId="5" borderId="24" xfId="2" applyNumberFormat="1" applyFont="1" applyFill="1" applyBorder="1" applyAlignment="1" applyProtection="1">
      <alignment horizontal="center"/>
    </xf>
    <xf numFmtId="165" fontId="4" fillId="5" borderId="24" xfId="2" applyNumberFormat="1" applyFont="1" applyFill="1" applyBorder="1" applyAlignment="1" applyProtection="1">
      <alignment horizontal="left" vertical="center"/>
    </xf>
    <xf numFmtId="3" fontId="0" fillId="3" borderId="8" xfId="0" applyNumberFormat="1" applyFill="1" applyBorder="1" applyAlignment="1">
      <alignment horizontal="center" vertical="center"/>
    </xf>
    <xf numFmtId="43" fontId="0" fillId="3" borderId="21" xfId="2" applyFont="1" applyFill="1" applyBorder="1" applyAlignment="1" applyProtection="1">
      <alignment horizontal="right" vertical="top"/>
    </xf>
    <xf numFmtId="168" fontId="0" fillId="3" borderId="21" xfId="2" applyNumberFormat="1" applyFont="1" applyFill="1" applyBorder="1" applyAlignment="1" applyProtection="1">
      <alignment horizontal="right" vertical="top"/>
    </xf>
    <xf numFmtId="43" fontId="0" fillId="3" borderId="21" xfId="2" applyFont="1" applyFill="1" applyBorder="1" applyAlignment="1" applyProtection="1">
      <alignment horizontal="center" vertical="center"/>
    </xf>
    <xf numFmtId="165" fontId="0" fillId="3" borderId="21" xfId="0" applyNumberFormat="1" applyFill="1" applyBorder="1" applyAlignment="1">
      <alignment horizontal="left" vertical="top"/>
    </xf>
    <xf numFmtId="0" fontId="0" fillId="3" borderId="21" xfId="0" applyFill="1" applyBorder="1" applyAlignment="1">
      <alignment horizontal="left" vertical="top"/>
    </xf>
    <xf numFmtId="0" fontId="0" fillId="3" borderId="21" xfId="0" applyFill="1" applyBorder="1" applyAlignment="1">
      <alignment horizontal="left" vertical="top" wrapText="1"/>
    </xf>
    <xf numFmtId="0" fontId="0" fillId="3" borderId="21" xfId="0" applyFill="1" applyBorder="1" applyAlignment="1">
      <alignment horizontal="center" vertical="center" wrapText="1"/>
    </xf>
    <xf numFmtId="0" fontId="0" fillId="3" borderId="21" xfId="0" applyFill="1" applyBorder="1" applyAlignment="1">
      <alignment horizontal="left" vertical="center" wrapText="1"/>
    </xf>
    <xf numFmtId="0" fontId="0" fillId="3" borderId="21" xfId="0" applyFill="1" applyBorder="1" applyAlignment="1">
      <alignment horizontal="center" vertical="center"/>
    </xf>
    <xf numFmtId="0" fontId="0" fillId="3" borderId="21" xfId="0" applyFill="1" applyBorder="1" applyAlignment="1">
      <alignment horizontal="center" vertical="top"/>
    </xf>
    <xf numFmtId="43" fontId="0" fillId="3" borderId="22" xfId="2" applyFont="1" applyFill="1" applyBorder="1" applyAlignment="1" applyProtection="1">
      <alignment horizontal="right" vertical="top"/>
    </xf>
    <xf numFmtId="0" fontId="0" fillId="3" borderId="22" xfId="0" applyFill="1" applyBorder="1" applyAlignment="1">
      <alignment horizontal="left" vertical="top"/>
    </xf>
    <xf numFmtId="0" fontId="0" fillId="3" borderId="8" xfId="0" applyFill="1" applyBorder="1" applyAlignment="1">
      <alignment horizontal="center" vertical="center"/>
    </xf>
    <xf numFmtId="0" fontId="0" fillId="3" borderId="22" xfId="0" applyFill="1" applyBorder="1" applyAlignment="1">
      <alignment horizontal="left" vertical="top" wrapText="1"/>
    </xf>
    <xf numFmtId="0" fontId="0" fillId="3" borderId="0" xfId="0" applyFill="1" applyAlignment="1">
      <alignment horizontal="center"/>
    </xf>
    <xf numFmtId="0" fontId="4" fillId="5" borderId="22" xfId="0" applyFont="1" applyFill="1" applyBorder="1" applyAlignment="1">
      <alignment horizontal="center" vertical="center"/>
    </xf>
    <xf numFmtId="43" fontId="9" fillId="5" borderId="24" xfId="2" applyFont="1" applyFill="1" applyBorder="1" applyAlignment="1" applyProtection="1">
      <alignment horizontal="center" vertical="top"/>
    </xf>
    <xf numFmtId="0" fontId="50" fillId="3" borderId="21" xfId="0" applyFont="1" applyFill="1" applyBorder="1" applyAlignment="1">
      <alignment vertical="center" wrapText="1"/>
    </xf>
    <xf numFmtId="0" fontId="10" fillId="3" borderId="21" xfId="0" applyFont="1" applyFill="1" applyBorder="1" applyAlignment="1">
      <alignment vertical="center" wrapText="1"/>
    </xf>
    <xf numFmtId="0" fontId="6" fillId="3" borderId="21" xfId="0" applyFont="1" applyFill="1" applyBorder="1" applyAlignment="1">
      <alignment horizontal="center" vertical="center"/>
    </xf>
    <xf numFmtId="0" fontId="10" fillId="0" borderId="21" xfId="0" applyFont="1" applyBorder="1" applyAlignment="1">
      <alignment vertical="center" wrapText="1"/>
    </xf>
    <xf numFmtId="3" fontId="0" fillId="0" borderId="8" xfId="0" applyNumberFormat="1" applyBorder="1" applyAlignment="1">
      <alignment horizontal="center" vertical="center"/>
    </xf>
    <xf numFmtId="43" fontId="0" fillId="0" borderId="21" xfId="2" applyFont="1" applyFill="1" applyBorder="1" applyAlignment="1" applyProtection="1">
      <alignment horizontal="right" vertical="top"/>
    </xf>
    <xf numFmtId="168" fontId="0" fillId="0" borderId="21" xfId="2" applyNumberFormat="1" applyFont="1" applyFill="1" applyBorder="1" applyAlignment="1" applyProtection="1">
      <alignment horizontal="right" vertical="top"/>
    </xf>
    <xf numFmtId="43" fontId="0" fillId="0" borderId="21" xfId="2" applyFont="1" applyFill="1" applyBorder="1" applyAlignment="1" applyProtection="1">
      <alignment horizontal="center" vertical="center"/>
    </xf>
    <xf numFmtId="165" fontId="0" fillId="0" borderId="21" xfId="0" applyNumberFormat="1" applyBorder="1" applyAlignment="1">
      <alignment horizontal="left" vertical="top"/>
    </xf>
    <xf numFmtId="0" fontId="0" fillId="0" borderId="0" xfId="0" applyAlignment="1">
      <alignment horizontal="left" vertical="top"/>
    </xf>
    <xf numFmtId="0" fontId="0" fillId="0" borderId="21" xfId="0" applyBorder="1" applyAlignment="1">
      <alignment horizontal="left" vertical="top" wrapText="1"/>
    </xf>
    <xf numFmtId="0" fontId="0" fillId="0" borderId="21" xfId="0" applyBorder="1" applyAlignment="1">
      <alignment horizontal="center" vertical="center" wrapText="1"/>
    </xf>
    <xf numFmtId="0" fontId="0" fillId="0" borderId="21" xfId="0" applyBorder="1" applyAlignment="1">
      <alignment horizontal="left" vertical="center" wrapText="1"/>
    </xf>
    <xf numFmtId="0" fontId="0" fillId="0" borderId="21" xfId="0" applyBorder="1" applyAlignment="1">
      <alignment horizontal="center" vertical="center"/>
    </xf>
    <xf numFmtId="0" fontId="6" fillId="0" borderId="21" xfId="0" applyFont="1" applyBorder="1" applyAlignment="1">
      <alignment horizontal="center" vertical="center"/>
    </xf>
    <xf numFmtId="0" fontId="50" fillId="0" borderId="21" xfId="0" applyFont="1" applyBorder="1" applyAlignment="1">
      <alignment vertical="center" wrapText="1"/>
    </xf>
    <xf numFmtId="0" fontId="0" fillId="0" borderId="21" xfId="0" applyBorder="1" applyAlignment="1">
      <alignment horizontal="center" vertical="top"/>
    </xf>
    <xf numFmtId="0" fontId="0" fillId="0" borderId="21" xfId="0" applyBorder="1" applyAlignment="1">
      <alignment horizontal="left" vertical="top"/>
    </xf>
    <xf numFmtId="43" fontId="0" fillId="0" borderId="22" xfId="2" applyFont="1" applyFill="1" applyBorder="1" applyAlignment="1" applyProtection="1">
      <alignment horizontal="right" vertical="top"/>
    </xf>
    <xf numFmtId="0" fontId="0" fillId="0" borderId="22" xfId="0" applyBorder="1" applyAlignment="1">
      <alignment horizontal="left" vertical="top"/>
    </xf>
    <xf numFmtId="0" fontId="0" fillId="0" borderId="8" xfId="0" applyBorder="1" applyAlignment="1">
      <alignment horizontal="center" vertical="center"/>
    </xf>
    <xf numFmtId="0" fontId="0" fillId="0" borderId="22" xfId="0" applyBorder="1" applyAlignment="1">
      <alignment horizontal="left" vertical="top" wrapText="1"/>
    </xf>
    <xf numFmtId="0" fontId="4" fillId="22" borderId="11" xfId="0" applyFont="1" applyFill="1" applyBorder="1" applyAlignment="1">
      <alignment vertical="top"/>
    </xf>
    <xf numFmtId="166" fontId="4" fillId="22" borderId="24" xfId="2" applyNumberFormat="1" applyFont="1" applyFill="1" applyBorder="1" applyAlignment="1" applyProtection="1">
      <alignment horizontal="left" vertical="center"/>
    </xf>
    <xf numFmtId="0" fontId="0" fillId="22" borderId="12" xfId="0" applyFill="1" applyBorder="1" applyAlignment="1">
      <alignment vertical="top"/>
    </xf>
    <xf numFmtId="166" fontId="4" fillId="22" borderId="24" xfId="2" applyNumberFormat="1" applyFont="1" applyFill="1" applyBorder="1" applyAlignment="1" applyProtection="1">
      <alignment horizontal="center"/>
    </xf>
    <xf numFmtId="0" fontId="0" fillId="22" borderId="13" xfId="0" applyFill="1" applyBorder="1" applyAlignment="1">
      <alignment vertical="top"/>
    </xf>
    <xf numFmtId="0" fontId="0" fillId="22" borderId="24" xfId="0" applyFill="1" applyBorder="1" applyAlignment="1">
      <alignment vertical="top"/>
    </xf>
    <xf numFmtId="43" fontId="42" fillId="22" borderId="11" xfId="0" applyNumberFormat="1" applyFont="1" applyFill="1" applyBorder="1" applyAlignment="1">
      <alignment vertical="top"/>
    </xf>
    <xf numFmtId="0" fontId="50" fillId="22" borderId="21" xfId="0" applyFont="1" applyFill="1" applyBorder="1" applyAlignment="1">
      <alignment vertical="center" wrapText="1"/>
    </xf>
    <xf numFmtId="3" fontId="0" fillId="22" borderId="8" xfId="0" applyNumberFormat="1" applyFill="1" applyBorder="1" applyAlignment="1">
      <alignment horizontal="center" vertical="center"/>
    </xf>
    <xf numFmtId="43" fontId="0" fillId="22" borderId="21" xfId="2" applyFont="1" applyFill="1" applyBorder="1" applyAlignment="1" applyProtection="1">
      <alignment horizontal="right" vertical="top"/>
    </xf>
    <xf numFmtId="168" fontId="0" fillId="22" borderId="21" xfId="2" applyNumberFormat="1" applyFont="1" applyFill="1" applyBorder="1" applyAlignment="1" applyProtection="1">
      <alignment horizontal="right" vertical="top"/>
    </xf>
    <xf numFmtId="43" fontId="0" fillId="22" borderId="21" xfId="2" applyFont="1" applyFill="1" applyBorder="1" applyAlignment="1" applyProtection="1">
      <alignment horizontal="center" vertical="center"/>
    </xf>
    <xf numFmtId="165" fontId="0" fillId="22" borderId="21" xfId="0" applyNumberFormat="1" applyFill="1" applyBorder="1" applyAlignment="1">
      <alignment horizontal="left" vertical="top"/>
    </xf>
    <xf numFmtId="0" fontId="11" fillId="0" borderId="50" xfId="0" applyFont="1" applyBorder="1" applyAlignment="1">
      <alignment horizontal="left"/>
    </xf>
    <xf numFmtId="0" fontId="49" fillId="0" borderId="50" xfId="0" applyFont="1" applyBorder="1" applyAlignment="1">
      <alignment horizontal="left"/>
    </xf>
    <xf numFmtId="0" fontId="0" fillId="0" borderId="51" xfId="0" applyBorder="1" applyAlignment="1">
      <alignment horizontal="left"/>
    </xf>
    <xf numFmtId="0" fontId="0" fillId="0" borderId="51" xfId="0" applyBorder="1" applyAlignment="1">
      <alignment horizontal="center"/>
    </xf>
    <xf numFmtId="0" fontId="0" fillId="0" borderId="50" xfId="0" applyBorder="1" applyAlignment="1">
      <alignment horizontal="left"/>
    </xf>
    <xf numFmtId="0" fontId="0" fillId="0" borderId="15"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0" xfId="0"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8" fillId="0" borderId="52" xfId="0" applyFont="1" applyBorder="1" applyAlignment="1">
      <alignment horizontal="left" vertical="top" wrapText="1"/>
    </xf>
    <xf numFmtId="0" fontId="8" fillId="0" borderId="53" xfId="0" applyFont="1" applyBorder="1" applyAlignment="1">
      <alignment horizontal="left" vertical="top" wrapText="1"/>
    </xf>
    <xf numFmtId="0" fontId="8" fillId="0" borderId="54" xfId="0" applyFont="1" applyBorder="1" applyAlignment="1">
      <alignment horizontal="left" vertical="top" wrapText="1"/>
    </xf>
    <xf numFmtId="0" fontId="8" fillId="0" borderId="55" xfId="0" applyFont="1" applyBorder="1" applyAlignment="1">
      <alignment horizontal="left" vertical="top" wrapText="1"/>
    </xf>
    <xf numFmtId="0" fontId="8" fillId="0" borderId="0" xfId="0" applyFont="1" applyAlignment="1">
      <alignment horizontal="left" vertical="top" wrapText="1"/>
    </xf>
    <xf numFmtId="0" fontId="8" fillId="0" borderId="56" xfId="0" applyFont="1" applyBorder="1" applyAlignment="1">
      <alignment horizontal="left" vertical="top" wrapText="1"/>
    </xf>
    <xf numFmtId="0" fontId="8" fillId="0" borderId="20" xfId="0" applyFont="1" applyBorder="1" applyAlignment="1">
      <alignment horizontal="left" vertical="top" wrapText="1"/>
    </xf>
    <xf numFmtId="0" fontId="8" fillId="0" borderId="50" xfId="0" applyFont="1" applyBorder="1" applyAlignment="1">
      <alignment horizontal="left" vertical="top" wrapText="1"/>
    </xf>
    <xf numFmtId="0" fontId="8" fillId="0" borderId="57" xfId="0" applyFont="1" applyBorder="1" applyAlignment="1">
      <alignment horizontal="left" vertical="top" wrapText="1"/>
    </xf>
    <xf numFmtId="0" fontId="4" fillId="0" borderId="52" xfId="0" applyFont="1" applyBorder="1" applyAlignment="1">
      <alignment horizontal="left" vertical="top"/>
    </xf>
    <xf numFmtId="0" fontId="4" fillId="0" borderId="53" xfId="0" applyFont="1" applyBorder="1" applyAlignment="1">
      <alignment horizontal="left" vertical="top"/>
    </xf>
    <xf numFmtId="0" fontId="4" fillId="0" borderId="54" xfId="0" applyFont="1" applyBorder="1" applyAlignment="1">
      <alignment horizontal="left" vertical="top"/>
    </xf>
    <xf numFmtId="0" fontId="4" fillId="0" borderId="55" xfId="0" applyFont="1" applyBorder="1" applyAlignment="1">
      <alignment horizontal="left" vertical="top"/>
    </xf>
    <xf numFmtId="0" fontId="4" fillId="0" borderId="0" xfId="0" applyFont="1" applyAlignment="1">
      <alignment horizontal="left" vertical="top"/>
    </xf>
    <xf numFmtId="0" fontId="4" fillId="0" borderId="56" xfId="0" applyFont="1" applyBorder="1" applyAlignment="1">
      <alignment horizontal="left" vertical="top"/>
    </xf>
    <xf numFmtId="0" fontId="4" fillId="0" borderId="20" xfId="0" applyFont="1" applyBorder="1" applyAlignment="1">
      <alignment horizontal="left" vertical="top"/>
    </xf>
    <xf numFmtId="0" fontId="4" fillId="0" borderId="50" xfId="0" applyFont="1" applyBorder="1" applyAlignment="1">
      <alignment horizontal="left" vertical="top"/>
    </xf>
    <xf numFmtId="0" fontId="4" fillId="0" borderId="57" xfId="0" applyFont="1" applyBorder="1" applyAlignment="1">
      <alignment horizontal="left" vertical="top"/>
    </xf>
    <xf numFmtId="0" fontId="4" fillId="0" borderId="0" xfId="0" applyFont="1" applyAlignment="1">
      <alignment horizontal="left"/>
    </xf>
    <xf numFmtId="0" fontId="4" fillId="0" borderId="0" xfId="0" applyFont="1" applyAlignment="1">
      <alignment horizontal="left" vertical="center"/>
    </xf>
    <xf numFmtId="0" fontId="4" fillId="0" borderId="50" xfId="0" applyFont="1" applyBorder="1" applyAlignment="1">
      <alignment horizontal="left"/>
    </xf>
    <xf numFmtId="0" fontId="46" fillId="0" borderId="17" xfId="0" applyFont="1" applyBorder="1" applyAlignment="1">
      <alignment horizontal="center" vertical="center"/>
    </xf>
    <xf numFmtId="0" fontId="0" fillId="29" borderId="7" xfId="0" applyFill="1" applyBorder="1" applyAlignment="1">
      <alignment horizontal="center"/>
    </xf>
    <xf numFmtId="0" fontId="0" fillId="0" borderId="100" xfId="0" applyBorder="1" applyAlignment="1">
      <alignment horizontal="center"/>
    </xf>
    <xf numFmtId="0" fontId="4" fillId="0" borderId="101" xfId="0" applyFont="1" applyBorder="1" applyAlignment="1">
      <alignment horizontal="center"/>
    </xf>
    <xf numFmtId="0" fontId="6" fillId="0" borderId="55" xfId="0" applyFont="1" applyBorder="1" applyAlignment="1">
      <alignment horizontal="center" wrapText="1"/>
    </xf>
    <xf numFmtId="0" fontId="6" fillId="0" borderId="20" xfId="0" applyFont="1" applyBorder="1" applyAlignment="1">
      <alignment horizontal="center" wrapText="1"/>
    </xf>
    <xf numFmtId="0" fontId="0" fillId="3" borderId="22" xfId="0" applyFill="1" applyBorder="1" applyAlignment="1">
      <alignment horizontal="center" vertical="center" wrapText="1"/>
    </xf>
    <xf numFmtId="0" fontId="0" fillId="3" borderId="23" xfId="0" applyFill="1" applyBorder="1" applyAlignment="1">
      <alignment horizontal="center" vertical="center" wrapText="1"/>
    </xf>
    <xf numFmtId="0" fontId="0" fillId="3" borderId="24" xfId="0" applyFill="1" applyBorder="1" applyAlignment="1">
      <alignment horizontal="center" vertical="center" wrapText="1"/>
    </xf>
    <xf numFmtId="0" fontId="0" fillId="3" borderId="22" xfId="0" applyFill="1" applyBorder="1" applyAlignment="1">
      <alignment horizontal="center" vertical="center"/>
    </xf>
    <xf numFmtId="0" fontId="0" fillId="3" borderId="23" xfId="0" applyFill="1" applyBorder="1" applyAlignment="1">
      <alignment horizontal="center" vertical="center"/>
    </xf>
    <xf numFmtId="0" fontId="0" fillId="3" borderId="24" xfId="0" applyFill="1" applyBorder="1" applyAlignment="1">
      <alignment horizontal="center" vertical="center"/>
    </xf>
    <xf numFmtId="0" fontId="6" fillId="3" borderId="22" xfId="0" applyFont="1" applyFill="1" applyBorder="1" applyAlignment="1">
      <alignment horizontal="center" vertical="center" wrapText="1"/>
    </xf>
    <xf numFmtId="0" fontId="6" fillId="3" borderId="23" xfId="0" applyFont="1" applyFill="1" applyBorder="1" applyAlignment="1">
      <alignment horizontal="center" vertical="center"/>
    </xf>
    <xf numFmtId="0" fontId="6" fillId="3" borderId="24" xfId="0" applyFont="1" applyFill="1" applyBorder="1" applyAlignment="1">
      <alignment horizontal="center" vertical="center"/>
    </xf>
    <xf numFmtId="0" fontId="0" fillId="3" borderId="6" xfId="0" applyFill="1" applyBorder="1" applyAlignment="1">
      <alignment horizontal="center" vertical="center" wrapText="1"/>
    </xf>
    <xf numFmtId="0" fontId="0" fillId="3" borderId="9" xfId="0" applyFill="1" applyBorder="1" applyAlignment="1">
      <alignment horizontal="center" vertical="center" wrapText="1"/>
    </xf>
    <xf numFmtId="0" fontId="0" fillId="4" borderId="22" xfId="0" applyFill="1" applyBorder="1" applyAlignment="1">
      <alignment horizontal="center" vertical="center"/>
    </xf>
    <xf numFmtId="0" fontId="0" fillId="4" borderId="23" xfId="0" applyFill="1" applyBorder="1" applyAlignment="1">
      <alignment horizontal="center" vertical="center"/>
    </xf>
    <xf numFmtId="0" fontId="0" fillId="4" borderId="24" xfId="0" applyFill="1" applyBorder="1" applyAlignment="1">
      <alignment horizontal="center" vertical="center"/>
    </xf>
    <xf numFmtId="0" fontId="52" fillId="3" borderId="22" xfId="0" applyFont="1" applyFill="1"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6" fillId="0" borderId="22" xfId="0" applyFont="1" applyBorder="1" applyAlignment="1">
      <alignment horizontal="center" vertical="center" wrapText="1"/>
    </xf>
    <xf numFmtId="0" fontId="6" fillId="0" borderId="23" xfId="0" applyFont="1" applyBorder="1" applyAlignment="1">
      <alignment horizontal="center" vertical="center"/>
    </xf>
    <xf numFmtId="0" fontId="6" fillId="0" borderId="24" xfId="0" applyFont="1" applyBorder="1" applyAlignment="1">
      <alignment horizontal="center" vertical="center"/>
    </xf>
    <xf numFmtId="0" fontId="0" fillId="0" borderId="6" xfId="0" applyBorder="1" applyAlignment="1">
      <alignment horizontal="center" vertical="center" wrapText="1"/>
    </xf>
    <xf numFmtId="0" fontId="0" fillId="0" borderId="9" xfId="0" applyBorder="1" applyAlignment="1">
      <alignment horizontal="center" vertical="center" wrapText="1"/>
    </xf>
    <xf numFmtId="0" fontId="0" fillId="0" borderId="22"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51" fillId="3" borderId="22" xfId="0" applyFont="1" applyFill="1" applyBorder="1" applyAlignment="1">
      <alignment horizontal="center" vertical="center" wrapText="1"/>
    </xf>
    <xf numFmtId="0" fontId="12" fillId="7" borderId="1" xfId="0" applyFont="1" applyFill="1" applyBorder="1" applyAlignment="1">
      <alignment horizontal="center"/>
    </xf>
    <xf numFmtId="0" fontId="12" fillId="7" borderId="3" xfId="0" applyFont="1" applyFill="1" applyBorder="1" applyAlignment="1">
      <alignment horizontal="center"/>
    </xf>
    <xf numFmtId="0" fontId="11" fillId="6" borderId="89" xfId="0" applyFont="1" applyFill="1" applyBorder="1" applyAlignment="1">
      <alignment horizontal="center"/>
    </xf>
    <xf numFmtId="0" fontId="11" fillId="6" borderId="83" xfId="0" applyFont="1" applyFill="1" applyBorder="1" applyAlignment="1">
      <alignment horizontal="center"/>
    </xf>
    <xf numFmtId="0" fontId="11" fillId="6" borderId="90" xfId="0" applyFont="1" applyFill="1" applyBorder="1" applyAlignment="1">
      <alignment horizontal="center"/>
    </xf>
    <xf numFmtId="0" fontId="4" fillId="3" borderId="91" xfId="0" applyFont="1" applyFill="1" applyBorder="1" applyAlignment="1">
      <alignment horizontal="center" vertical="center"/>
    </xf>
    <xf numFmtId="0" fontId="4" fillId="3" borderId="7" xfId="0" applyFont="1" applyFill="1" applyBorder="1" applyAlignment="1">
      <alignment horizontal="center" vertical="center"/>
    </xf>
    <xf numFmtId="0" fontId="4" fillId="3" borderId="92" xfId="0" applyFont="1" applyFill="1" applyBorder="1" applyAlignment="1">
      <alignment horizontal="center" vertical="center"/>
    </xf>
    <xf numFmtId="0" fontId="4" fillId="3" borderId="61" xfId="0" applyFont="1" applyFill="1" applyBorder="1" applyAlignment="1">
      <alignment horizontal="center" vertical="center"/>
    </xf>
    <xf numFmtId="0" fontId="4" fillId="3" borderId="0" xfId="0" applyFont="1" applyFill="1" applyAlignment="1">
      <alignment horizontal="center" vertical="center"/>
    </xf>
    <xf numFmtId="0" fontId="4" fillId="3" borderId="62" xfId="0" applyFont="1" applyFill="1" applyBorder="1" applyAlignment="1">
      <alignment horizontal="center" vertical="center"/>
    </xf>
    <xf numFmtId="0" fontId="4" fillId="3" borderId="63" xfId="0" applyFont="1" applyFill="1" applyBorder="1" applyAlignment="1">
      <alignment horizontal="center" vertical="center"/>
    </xf>
    <xf numFmtId="0" fontId="4" fillId="3" borderId="64" xfId="0" applyFont="1" applyFill="1" applyBorder="1" applyAlignment="1">
      <alignment horizontal="center" vertical="center"/>
    </xf>
    <xf numFmtId="0" fontId="4" fillId="3" borderId="65" xfId="0" applyFont="1" applyFill="1" applyBorder="1" applyAlignment="1">
      <alignment horizontal="center" vertical="center"/>
    </xf>
    <xf numFmtId="0" fontId="27" fillId="3" borderId="49" xfId="1" applyFont="1" applyFill="1" applyBorder="1" applyAlignment="1">
      <alignment horizontal="left" vertical="center" wrapText="1"/>
    </xf>
    <xf numFmtId="0" fontId="27" fillId="3" borderId="48" xfId="1" applyFont="1" applyFill="1" applyBorder="1" applyAlignment="1">
      <alignment horizontal="left" vertical="center" wrapText="1"/>
    </xf>
    <xf numFmtId="0" fontId="27" fillId="3" borderId="47" xfId="1" applyFont="1" applyFill="1" applyBorder="1" applyAlignment="1">
      <alignment horizontal="left" vertical="center" wrapText="1"/>
    </xf>
    <xf numFmtId="0" fontId="16" fillId="3" borderId="35" xfId="1" applyFont="1" applyFill="1" applyBorder="1" applyAlignment="1">
      <alignment horizontal="left" vertical="center" wrapText="1"/>
    </xf>
    <xf numFmtId="0" fontId="16" fillId="3" borderId="36" xfId="1" applyFont="1" applyFill="1" applyBorder="1" applyAlignment="1">
      <alignment horizontal="left" vertical="center" wrapText="1"/>
    </xf>
    <xf numFmtId="0" fontId="16" fillId="3" borderId="47" xfId="1" applyFont="1" applyFill="1" applyBorder="1" applyAlignment="1">
      <alignment horizontal="left" vertical="center" wrapText="1"/>
    </xf>
    <xf numFmtId="0" fontId="16" fillId="3" borderId="48" xfId="1" applyFont="1" applyFill="1" applyBorder="1" applyAlignment="1">
      <alignment horizontal="left" vertical="center" wrapText="1"/>
    </xf>
    <xf numFmtId="0" fontId="16" fillId="3" borderId="49" xfId="1" applyFont="1" applyFill="1" applyBorder="1" applyAlignment="1">
      <alignment horizontal="left" vertical="center" wrapText="1"/>
    </xf>
  </cellXfs>
  <cellStyles count="8">
    <cellStyle name="Moeda 2" xfId="3" xr:uid="{00000000-0005-0000-0000-000000000000}"/>
    <cellStyle name="Normal" xfId="0" builtinId="0"/>
    <cellStyle name="Normal 2" xfId="1" xr:uid="{00000000-0005-0000-0000-000002000000}"/>
    <cellStyle name="Normal 2 10" xfId="6" xr:uid="{00000000-0005-0000-0000-000003000000}"/>
    <cellStyle name="Normal_ANTEPROYECTO CAPEX 2010 C A_v2" xfId="5" xr:uid="{00000000-0005-0000-0000-000004000000}"/>
    <cellStyle name="Porcentagem" xfId="7" builtinId="5"/>
    <cellStyle name="Separador de milhares 2" xfId="4" xr:uid="{00000000-0005-0000-0000-000006000000}"/>
    <cellStyle name="Vírgula" xfId="2" builtinId="3"/>
  </cellStyles>
  <dxfs count="9">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theme="0" tint="-4.9989318521683403E-2"/>
        </patternFill>
      </fill>
    </dxf>
  </dxfs>
  <tableStyles count="0" defaultTableStyle="TableStyleMedium9" defaultPivotStyle="PivotStyleLight16"/>
  <colors>
    <mruColors>
      <color rgb="FF4D4D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100852</xdr:colOff>
      <xdr:row>17</xdr:row>
      <xdr:rowOff>112059</xdr:rowOff>
    </xdr:from>
    <xdr:to>
      <xdr:col>0</xdr:col>
      <xdr:colOff>616324</xdr:colOff>
      <xdr:row>18</xdr:row>
      <xdr:rowOff>134469</xdr:rowOff>
    </xdr:to>
    <xdr:sp macro="[0]!Orçado" textlink="">
      <xdr:nvSpPr>
        <xdr:cNvPr id="2" name="Retângulo de cantos arredondados 1">
          <a:extLst>
            <a:ext uri="{FF2B5EF4-FFF2-40B4-BE49-F238E27FC236}">
              <a16:creationId xmlns:a16="http://schemas.microsoft.com/office/drawing/2014/main" id="{00000000-0008-0000-0400-000002000000}"/>
            </a:ext>
          </a:extLst>
        </xdr:cNvPr>
        <xdr:cNvSpPr/>
      </xdr:nvSpPr>
      <xdr:spPr>
        <a:xfrm>
          <a:off x="100852" y="3922059"/>
          <a:ext cx="515472" cy="212910"/>
        </a:xfrm>
        <a:prstGeom prst="roundRect">
          <a:avLst/>
        </a:prstGeom>
        <a:solidFill>
          <a:schemeClr val="bg1">
            <a:lumMod val="85000"/>
          </a:schemeClr>
        </a:solidFill>
        <a:ln>
          <a:solidFill>
            <a:schemeClr val="bg1">
              <a:lumMod val="85000"/>
            </a:schemeClr>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ysClr val="windowText" lastClr="000000"/>
              </a:solidFill>
            </a:rPr>
            <a:t>Orçado</a:t>
          </a:r>
        </a:p>
      </xdr:txBody>
    </xdr:sp>
    <xdr:clientData/>
  </xdr:twoCellAnchor>
  <xdr:twoCellAnchor>
    <xdr:from>
      <xdr:col>0</xdr:col>
      <xdr:colOff>100852</xdr:colOff>
      <xdr:row>19</xdr:row>
      <xdr:rowOff>100854</xdr:rowOff>
    </xdr:from>
    <xdr:to>
      <xdr:col>0</xdr:col>
      <xdr:colOff>616324</xdr:colOff>
      <xdr:row>20</xdr:row>
      <xdr:rowOff>123264</xdr:rowOff>
    </xdr:to>
    <xdr:sp macro="[0]!Realizado" textlink="">
      <xdr:nvSpPr>
        <xdr:cNvPr id="3" name="Retângulo de cantos arredondados 2">
          <a:extLst>
            <a:ext uri="{FF2B5EF4-FFF2-40B4-BE49-F238E27FC236}">
              <a16:creationId xmlns:a16="http://schemas.microsoft.com/office/drawing/2014/main" id="{00000000-0008-0000-0400-000003000000}"/>
            </a:ext>
          </a:extLst>
        </xdr:cNvPr>
        <xdr:cNvSpPr/>
      </xdr:nvSpPr>
      <xdr:spPr>
        <a:xfrm>
          <a:off x="100852" y="4291854"/>
          <a:ext cx="515472" cy="212910"/>
        </a:xfrm>
        <a:prstGeom prst="roundRect">
          <a:avLst/>
        </a:prstGeom>
        <a:solidFill>
          <a:schemeClr val="bg1">
            <a:lumMod val="65000"/>
          </a:schemeClr>
        </a:solidFill>
        <a:ln>
          <a:solidFill>
            <a:schemeClr val="bg1">
              <a:lumMod val="65000"/>
            </a:schemeClr>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ysClr val="windowText" lastClr="000000"/>
              </a:solidFill>
            </a:rPr>
            <a:t>Real</a:t>
          </a:r>
          <a:endParaRPr lang="pt-BR" sz="1100">
            <a:solidFill>
              <a:sysClr val="windowText" lastClr="000000"/>
            </a:solidFill>
          </a:endParaRPr>
        </a:p>
      </xdr:txBody>
    </xdr:sp>
    <xdr:clientData/>
  </xdr:twoCellAnchor>
  <xdr:twoCellAnchor>
    <xdr:from>
      <xdr:col>0</xdr:col>
      <xdr:colOff>100852</xdr:colOff>
      <xdr:row>21</xdr:row>
      <xdr:rowOff>89646</xdr:rowOff>
    </xdr:from>
    <xdr:to>
      <xdr:col>0</xdr:col>
      <xdr:colOff>616324</xdr:colOff>
      <xdr:row>22</xdr:row>
      <xdr:rowOff>112055</xdr:rowOff>
    </xdr:to>
    <xdr:sp macro="[0]!Exibe_Tudo" textlink="">
      <xdr:nvSpPr>
        <xdr:cNvPr id="4" name="Retângulo de cantos arredondados 3">
          <a:extLst>
            <a:ext uri="{FF2B5EF4-FFF2-40B4-BE49-F238E27FC236}">
              <a16:creationId xmlns:a16="http://schemas.microsoft.com/office/drawing/2014/main" id="{00000000-0008-0000-0400-000004000000}"/>
            </a:ext>
          </a:extLst>
        </xdr:cNvPr>
        <xdr:cNvSpPr/>
      </xdr:nvSpPr>
      <xdr:spPr>
        <a:xfrm>
          <a:off x="100852" y="4661646"/>
          <a:ext cx="515472" cy="212909"/>
        </a:xfrm>
        <a:prstGeom prst="roundRect">
          <a:avLst/>
        </a:prstGeom>
        <a:solidFill>
          <a:schemeClr val="bg1">
            <a:lumMod val="95000"/>
          </a:schemeClr>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Exibe</a:t>
          </a:r>
          <a:r>
            <a:rPr lang="pt-BR" sz="1000" baseline="0">
              <a:solidFill>
                <a:sysClr val="windowText" lastClr="000000"/>
              </a:solidFill>
            </a:rPr>
            <a:t> T</a:t>
          </a:r>
          <a:r>
            <a:rPr lang="pt-BR" sz="1050" baseline="0">
              <a:solidFill>
                <a:sysClr val="windowText" lastClr="000000"/>
              </a:solidFill>
            </a:rPr>
            <a:t>d</a:t>
          </a:r>
          <a:endParaRPr lang="pt-BR" sz="105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279400</xdr:colOff>
          <xdr:row>1</xdr:row>
          <xdr:rowOff>19050</xdr:rowOff>
        </xdr:from>
        <xdr:to>
          <xdr:col>9</xdr:col>
          <xdr:colOff>438150</xdr:colOff>
          <xdr:row>44</xdr:row>
          <xdr:rowOff>19050</xdr:rowOff>
        </xdr:to>
        <xdr:sp macro="" textlink="">
          <xdr:nvSpPr>
            <xdr:cNvPr id="18433" name="Object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257175</xdr:colOff>
      <xdr:row>1</xdr:row>
      <xdr:rowOff>66675</xdr:rowOff>
    </xdr:from>
    <xdr:to>
      <xdr:col>2</xdr:col>
      <xdr:colOff>266700</xdr:colOff>
      <xdr:row>4</xdr:row>
      <xdr:rowOff>104775</xdr:rowOff>
    </xdr:to>
    <xdr:pic>
      <xdr:nvPicPr>
        <xdr:cNvPr id="3" name="Imagem 2" descr="cid:image001.jpg@01D12789.AD178E60">
          <a:extLst>
            <a:ext uri="{FF2B5EF4-FFF2-40B4-BE49-F238E27FC236}">
              <a16:creationId xmlns:a16="http://schemas.microsoft.com/office/drawing/2014/main" id="{00000000-0008-0000-0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7175" y="266700"/>
          <a:ext cx="1228725" cy="609600"/>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241300</xdr:colOff>
          <xdr:row>1</xdr:row>
          <xdr:rowOff>19050</xdr:rowOff>
        </xdr:from>
        <xdr:to>
          <xdr:col>9</xdr:col>
          <xdr:colOff>514350</xdr:colOff>
          <xdr:row>42</xdr:row>
          <xdr:rowOff>76200</xdr:rowOff>
        </xdr:to>
        <xdr:sp macro="" textlink="">
          <xdr:nvSpPr>
            <xdr:cNvPr id="19457" name="Object 1" hidden="1">
              <a:extLst>
                <a:ext uri="{63B3BB69-23CF-44E3-9099-C40C66FF867C}">
                  <a14:compatExt spid="_x0000_s19457"/>
                </a:ext>
                <a:ext uri="{FF2B5EF4-FFF2-40B4-BE49-F238E27FC236}">
                  <a16:creationId xmlns:a16="http://schemas.microsoft.com/office/drawing/2014/main" id="{00000000-0008-0000-0700-00000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0</xdr:col>
      <xdr:colOff>180975</xdr:colOff>
      <xdr:row>0</xdr:row>
      <xdr:rowOff>133350</xdr:rowOff>
    </xdr:from>
    <xdr:to>
      <xdr:col>2</xdr:col>
      <xdr:colOff>190500</xdr:colOff>
      <xdr:row>3</xdr:row>
      <xdr:rowOff>161925</xdr:rowOff>
    </xdr:to>
    <xdr:pic>
      <xdr:nvPicPr>
        <xdr:cNvPr id="3" name="Imagem 2" descr="cid:image001.jpg@01D12789.AD178E60">
          <a:extLst>
            <a:ext uri="{FF2B5EF4-FFF2-40B4-BE49-F238E27FC236}">
              <a16:creationId xmlns:a16="http://schemas.microsoft.com/office/drawing/2014/main" id="{00000000-0008-0000-0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0975" y="133350"/>
          <a:ext cx="1228725" cy="609600"/>
        </a:xfrm>
        <a:prstGeom prst="rect">
          <a:avLst/>
        </a:prstGeom>
        <a:noFill/>
        <a:ln>
          <a:no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areias/webapps/TamWeb/pages/system/view.jsp?id=327"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image" Target="../media/image2.emf"/><Relationship Id="rId4" Type="http://schemas.openxmlformats.org/officeDocument/2006/relationships/package" Target="../embeddings/Microsoft_Word_Document.docx"/></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openxmlformats.org/officeDocument/2006/relationships/image" Target="../media/image4.emf"/><Relationship Id="rId4" Type="http://schemas.openxmlformats.org/officeDocument/2006/relationships/package" Target="../embeddings/Microsoft_Word_Document1.docx"/></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6"/>
  <dimension ref="B1:N217"/>
  <sheetViews>
    <sheetView topLeftCell="G1" workbookViewId="0">
      <selection activeCell="G6" sqref="G6"/>
    </sheetView>
  </sheetViews>
  <sheetFormatPr defaultRowHeight="14.45"/>
  <cols>
    <col min="1" max="1" width="1.5703125" customWidth="1"/>
    <col min="2" max="2" width="34.85546875" customWidth="1"/>
    <col min="3" max="3" width="5.140625" bestFit="1" customWidth="1"/>
    <col min="4" max="4" width="34.85546875" bestFit="1" customWidth="1"/>
    <col min="5" max="5" width="38" bestFit="1" customWidth="1"/>
    <col min="6" max="6" width="21.5703125" bestFit="1" customWidth="1"/>
    <col min="7" max="7" width="22.7109375" bestFit="1" customWidth="1"/>
    <col min="8" max="8" width="22.42578125" bestFit="1" customWidth="1"/>
    <col min="9" max="9" width="10.28515625" bestFit="1" customWidth="1"/>
    <col min="10" max="10" width="23.140625" bestFit="1" customWidth="1"/>
    <col min="11" max="11" width="23" bestFit="1" customWidth="1"/>
    <col min="12" max="12" width="22" bestFit="1" customWidth="1"/>
    <col min="13" max="13" width="22.140625" bestFit="1" customWidth="1"/>
    <col min="14" max="14" width="42.140625" bestFit="1" customWidth="1"/>
  </cols>
  <sheetData>
    <row r="1" spans="2:14" ht="18.95" thickBot="1">
      <c r="B1" s="251" t="s">
        <v>0</v>
      </c>
      <c r="C1" s="208" t="s">
        <v>1</v>
      </c>
      <c r="D1" s="208" t="s">
        <v>2</v>
      </c>
      <c r="E1" s="208" t="s">
        <v>3</v>
      </c>
      <c r="F1" s="209" t="s">
        <v>4</v>
      </c>
      <c r="G1" s="245" t="s">
        <v>5</v>
      </c>
      <c r="H1" s="256" t="s">
        <v>6</v>
      </c>
      <c r="I1" s="246" t="s">
        <v>7</v>
      </c>
      <c r="J1" s="252" t="s">
        <v>8</v>
      </c>
      <c r="K1" s="253" t="s">
        <v>9</v>
      </c>
      <c r="L1" s="254" t="s">
        <v>10</v>
      </c>
      <c r="M1" s="255" t="s">
        <v>11</v>
      </c>
      <c r="N1" s="289" t="s">
        <v>12</v>
      </c>
    </row>
    <row r="2" spans="2:14">
      <c r="B2" s="250" t="s">
        <v>13</v>
      </c>
      <c r="C2" s="207" t="s">
        <v>14</v>
      </c>
      <c r="D2" s="207" t="s">
        <v>15</v>
      </c>
      <c r="E2" s="207" t="s">
        <v>16</v>
      </c>
      <c r="F2" s="207" t="s">
        <v>17</v>
      </c>
      <c r="G2" s="243" t="s">
        <v>18</v>
      </c>
      <c r="H2" s="257" t="s">
        <v>19</v>
      </c>
      <c r="I2" s="243" t="s">
        <v>20</v>
      </c>
      <c r="J2" s="243" t="s">
        <v>21</v>
      </c>
      <c r="K2" s="243" t="s">
        <v>22</v>
      </c>
      <c r="L2" s="243" t="s">
        <v>23</v>
      </c>
      <c r="M2" s="243" t="s">
        <v>24</v>
      </c>
      <c r="N2" s="290" t="s">
        <v>25</v>
      </c>
    </row>
    <row r="3" spans="2:14">
      <c r="B3" s="206" t="s">
        <v>26</v>
      </c>
      <c r="C3" s="207" t="s">
        <v>27</v>
      </c>
      <c r="D3" s="207" t="s">
        <v>28</v>
      </c>
      <c r="E3" s="207" t="s">
        <v>29</v>
      </c>
      <c r="F3" s="207" t="s">
        <v>30</v>
      </c>
      <c r="G3" s="243" t="s">
        <v>31</v>
      </c>
      <c r="H3" s="257" t="s">
        <v>32</v>
      </c>
      <c r="I3" s="243" t="s">
        <v>33</v>
      </c>
      <c r="J3" s="243" t="s">
        <v>34</v>
      </c>
      <c r="K3" s="243" t="s">
        <v>35</v>
      </c>
      <c r="L3" s="243" t="s">
        <v>36</v>
      </c>
      <c r="M3" s="243" t="s">
        <v>37</v>
      </c>
      <c r="N3" s="290" t="s">
        <v>38</v>
      </c>
    </row>
    <row r="4" spans="2:14">
      <c r="B4" s="206" t="s">
        <v>39</v>
      </c>
      <c r="C4" s="207" t="s">
        <v>40</v>
      </c>
      <c r="D4" s="207" t="s">
        <v>41</v>
      </c>
      <c r="E4" s="207" t="s">
        <v>42</v>
      </c>
      <c r="F4" s="207" t="s">
        <v>43</v>
      </c>
      <c r="G4" s="243" t="s">
        <v>44</v>
      </c>
      <c r="H4" s="257" t="s">
        <v>45</v>
      </c>
      <c r="I4" s="243" t="s">
        <v>46</v>
      </c>
      <c r="J4" s="243" t="s">
        <v>47</v>
      </c>
      <c r="K4" s="243" t="s">
        <v>48</v>
      </c>
      <c r="L4" s="243" t="s">
        <v>49</v>
      </c>
      <c r="M4" s="243" t="s">
        <v>50</v>
      </c>
      <c r="N4" s="290" t="s">
        <v>51</v>
      </c>
    </row>
    <row r="5" spans="2:14" ht="15" thickBot="1">
      <c r="B5" s="206" t="s">
        <v>52</v>
      </c>
      <c r="C5" s="207" t="s">
        <v>53</v>
      </c>
      <c r="D5" s="207" t="s">
        <v>54</v>
      </c>
      <c r="E5" s="207" t="s">
        <v>55</v>
      </c>
      <c r="F5" s="207" t="s">
        <v>56</v>
      </c>
      <c r="G5" s="243" t="s">
        <v>57</v>
      </c>
      <c r="H5" s="258" t="s">
        <v>58</v>
      </c>
      <c r="I5" s="243" t="s">
        <v>59</v>
      </c>
      <c r="J5" s="243" t="s">
        <v>60</v>
      </c>
      <c r="K5" s="243" t="s">
        <v>61</v>
      </c>
      <c r="L5" s="243" t="s">
        <v>62</v>
      </c>
      <c r="M5" s="244" t="s">
        <v>63</v>
      </c>
      <c r="N5" s="290" t="s">
        <v>64</v>
      </c>
    </row>
    <row r="6" spans="2:14" ht="15" thickBot="1">
      <c r="B6" s="206" t="s">
        <v>65</v>
      </c>
      <c r="C6" s="207" t="s">
        <v>66</v>
      </c>
      <c r="D6" s="207" t="s">
        <v>67</v>
      </c>
      <c r="E6" s="207" t="s">
        <v>68</v>
      </c>
      <c r="F6" s="207" t="s">
        <v>69</v>
      </c>
      <c r="G6" s="243" t="s">
        <v>70</v>
      </c>
      <c r="I6" s="244" t="s">
        <v>71</v>
      </c>
      <c r="J6" s="244" t="s">
        <v>72</v>
      </c>
      <c r="K6" s="244" t="s">
        <v>73</v>
      </c>
      <c r="L6" s="243" t="s">
        <v>74</v>
      </c>
      <c r="M6" s="261"/>
      <c r="N6" s="290" t="s">
        <v>75</v>
      </c>
    </row>
    <row r="7" spans="2:14">
      <c r="B7" s="206" t="s">
        <v>76</v>
      </c>
      <c r="C7" s="207" t="s">
        <v>77</v>
      </c>
      <c r="D7" s="207" t="s">
        <v>78</v>
      </c>
      <c r="E7" s="207" t="s">
        <v>79</v>
      </c>
      <c r="F7" s="207" t="s">
        <v>80</v>
      </c>
      <c r="G7" s="243" t="s">
        <v>81</v>
      </c>
      <c r="J7" s="260"/>
      <c r="K7" s="259"/>
      <c r="L7" s="243" t="s">
        <v>82</v>
      </c>
      <c r="M7" s="257"/>
      <c r="N7" s="290" t="s">
        <v>83</v>
      </c>
    </row>
    <row r="8" spans="2:14">
      <c r="B8" s="206" t="s">
        <v>84</v>
      </c>
      <c r="C8" s="207" t="s">
        <v>85</v>
      </c>
      <c r="D8" s="207" t="s">
        <v>86</v>
      </c>
      <c r="E8" s="207" t="s">
        <v>87</v>
      </c>
      <c r="G8" s="243" t="s">
        <v>88</v>
      </c>
      <c r="K8" s="259"/>
      <c r="L8" s="243" t="s">
        <v>89</v>
      </c>
      <c r="M8" s="257"/>
      <c r="N8" s="290" t="s">
        <v>90</v>
      </c>
    </row>
    <row r="9" spans="2:14" ht="15" thickBot="1">
      <c r="B9" s="206" t="s">
        <v>91</v>
      </c>
      <c r="C9" s="207" t="s">
        <v>92</v>
      </c>
      <c r="D9" s="207" t="s">
        <v>93</v>
      </c>
      <c r="E9" s="207" t="s">
        <v>94</v>
      </c>
      <c r="G9" s="243" t="s">
        <v>95</v>
      </c>
      <c r="K9" s="259"/>
      <c r="L9" s="244" t="s">
        <v>96</v>
      </c>
      <c r="M9" s="257"/>
      <c r="N9" s="290" t="s">
        <v>97</v>
      </c>
    </row>
    <row r="10" spans="2:14">
      <c r="B10" s="206" t="s">
        <v>98</v>
      </c>
      <c r="C10" s="207" t="s">
        <v>99</v>
      </c>
      <c r="D10" s="207" t="s">
        <v>100</v>
      </c>
      <c r="E10" s="207" t="s">
        <v>101</v>
      </c>
      <c r="G10" s="243" t="s">
        <v>102</v>
      </c>
      <c r="N10" s="290" t="s">
        <v>103</v>
      </c>
    </row>
    <row r="11" spans="2:14">
      <c r="B11" s="206" t="s">
        <v>104</v>
      </c>
      <c r="C11" s="207" t="s">
        <v>105</v>
      </c>
      <c r="D11" s="207" t="s">
        <v>106</v>
      </c>
      <c r="E11" s="207" t="s">
        <v>107</v>
      </c>
      <c r="G11" s="243" t="s">
        <v>108</v>
      </c>
      <c r="N11" s="290" t="s">
        <v>109</v>
      </c>
    </row>
    <row r="12" spans="2:14">
      <c r="B12" s="206" t="s">
        <v>110</v>
      </c>
      <c r="C12" s="207" t="s">
        <v>111</v>
      </c>
      <c r="D12" s="207" t="s">
        <v>112</v>
      </c>
      <c r="E12" s="207" t="s">
        <v>113</v>
      </c>
      <c r="G12" s="243"/>
      <c r="N12" s="290" t="s">
        <v>114</v>
      </c>
    </row>
    <row r="13" spans="2:14">
      <c r="B13" s="206" t="s">
        <v>115</v>
      </c>
      <c r="C13" s="207" t="s">
        <v>116</v>
      </c>
      <c r="D13" s="207" t="s">
        <v>117</v>
      </c>
      <c r="E13" s="207" t="s">
        <v>118</v>
      </c>
      <c r="G13" s="243"/>
      <c r="N13" s="290" t="s">
        <v>119</v>
      </c>
    </row>
    <row r="14" spans="2:14">
      <c r="B14" s="206" t="s">
        <v>120</v>
      </c>
      <c r="C14" s="207" t="s">
        <v>121</v>
      </c>
      <c r="D14" s="207" t="s">
        <v>122</v>
      </c>
      <c r="E14" s="207" t="s">
        <v>123</v>
      </c>
      <c r="G14" s="243"/>
      <c r="N14" s="290" t="s">
        <v>124</v>
      </c>
    </row>
    <row r="15" spans="2:14">
      <c r="B15" s="206" t="s">
        <v>125</v>
      </c>
      <c r="C15" s="207" t="s">
        <v>126</v>
      </c>
      <c r="D15" s="207" t="s">
        <v>127</v>
      </c>
      <c r="E15" s="207" t="s">
        <v>128</v>
      </c>
      <c r="G15" s="243"/>
      <c r="N15" s="290" t="s">
        <v>129</v>
      </c>
    </row>
    <row r="16" spans="2:14">
      <c r="B16" s="206" t="s">
        <v>130</v>
      </c>
      <c r="C16" s="207" t="s">
        <v>131</v>
      </c>
      <c r="D16" s="207" t="s">
        <v>132</v>
      </c>
      <c r="E16" s="207" t="s">
        <v>133</v>
      </c>
      <c r="N16" s="290" t="s">
        <v>134</v>
      </c>
    </row>
    <row r="17" spans="2:14">
      <c r="B17" s="206" t="s">
        <v>135</v>
      </c>
      <c r="C17" s="207" t="s">
        <v>136</v>
      </c>
      <c r="D17" s="207" t="s">
        <v>137</v>
      </c>
      <c r="E17" s="207" t="s">
        <v>138</v>
      </c>
      <c r="N17" s="290" t="s">
        <v>139</v>
      </c>
    </row>
    <row r="18" spans="2:14" ht="15" thickBot="1">
      <c r="B18" s="206" t="s">
        <v>140</v>
      </c>
      <c r="C18" s="207" t="s">
        <v>141</v>
      </c>
      <c r="D18" s="207" t="s">
        <v>142</v>
      </c>
      <c r="E18" s="207" t="s">
        <v>143</v>
      </c>
      <c r="N18" s="291" t="s">
        <v>144</v>
      </c>
    </row>
    <row r="19" spans="2:14">
      <c r="B19" s="206" t="s">
        <v>145</v>
      </c>
      <c r="C19" s="207" t="s">
        <v>146</v>
      </c>
      <c r="D19" s="207" t="s">
        <v>147</v>
      </c>
      <c r="E19" s="207" t="s">
        <v>148</v>
      </c>
    </row>
    <row r="20" spans="2:14">
      <c r="B20" s="206" t="s">
        <v>149</v>
      </c>
      <c r="C20" s="207" t="s">
        <v>150</v>
      </c>
      <c r="D20" s="207" t="s">
        <v>151</v>
      </c>
      <c r="E20" s="207" t="s">
        <v>152</v>
      </c>
    </row>
    <row r="21" spans="2:14">
      <c r="B21" s="206" t="s">
        <v>153</v>
      </c>
      <c r="C21" s="207" t="s">
        <v>154</v>
      </c>
      <c r="D21" s="207" t="s">
        <v>155</v>
      </c>
      <c r="E21" s="207" t="s">
        <v>156</v>
      </c>
    </row>
    <row r="22" spans="2:14">
      <c r="B22" s="206" t="s">
        <v>157</v>
      </c>
      <c r="C22" s="207" t="s">
        <v>158</v>
      </c>
      <c r="D22" s="207" t="s">
        <v>159</v>
      </c>
      <c r="E22" s="207" t="s">
        <v>160</v>
      </c>
    </row>
    <row r="23" spans="2:14">
      <c r="B23" s="232" t="s">
        <v>161</v>
      </c>
      <c r="C23" s="207" t="s">
        <v>162</v>
      </c>
      <c r="D23" s="207" t="s">
        <v>163</v>
      </c>
      <c r="E23" s="207" t="s">
        <v>164</v>
      </c>
    </row>
    <row r="24" spans="2:14">
      <c r="B24" s="232" t="s">
        <v>165</v>
      </c>
      <c r="C24" s="207" t="s">
        <v>166</v>
      </c>
      <c r="D24" s="207" t="s">
        <v>167</v>
      </c>
      <c r="E24" s="207" t="s">
        <v>168</v>
      </c>
    </row>
    <row r="25" spans="2:14">
      <c r="B25" s="206" t="s">
        <v>169</v>
      </c>
      <c r="C25" s="207" t="s">
        <v>170</v>
      </c>
      <c r="D25" s="207" t="s">
        <v>171</v>
      </c>
      <c r="E25" s="207" t="s">
        <v>172</v>
      </c>
    </row>
    <row r="26" spans="2:14">
      <c r="B26" s="206" t="s">
        <v>173</v>
      </c>
    </row>
    <row r="27" spans="2:14">
      <c r="B27" s="206" t="s">
        <v>174</v>
      </c>
    </row>
    <row r="28" spans="2:14">
      <c r="B28" s="206" t="s">
        <v>175</v>
      </c>
    </row>
    <row r="29" spans="2:14">
      <c r="B29" s="206" t="s">
        <v>176</v>
      </c>
    </row>
    <row r="30" spans="2:14">
      <c r="B30" s="206" t="s">
        <v>177</v>
      </c>
    </row>
    <row r="31" spans="2:14">
      <c r="B31" s="232" t="s">
        <v>178</v>
      </c>
    </row>
    <row r="32" spans="2:14">
      <c r="B32" s="206" t="s">
        <v>179</v>
      </c>
    </row>
    <row r="33" spans="2:2">
      <c r="B33" s="206" t="s">
        <v>180</v>
      </c>
    </row>
    <row r="34" spans="2:2">
      <c r="B34" s="206" t="s">
        <v>181</v>
      </c>
    </row>
    <row r="35" spans="2:2">
      <c r="B35" s="206" t="s">
        <v>182</v>
      </c>
    </row>
    <row r="36" spans="2:2">
      <c r="B36" s="206" t="s">
        <v>183</v>
      </c>
    </row>
    <row r="37" spans="2:2">
      <c r="B37" s="206" t="s">
        <v>184</v>
      </c>
    </row>
    <row r="38" spans="2:2">
      <c r="B38" s="206" t="s">
        <v>185</v>
      </c>
    </row>
    <row r="39" spans="2:2">
      <c r="B39" s="206" t="s">
        <v>186</v>
      </c>
    </row>
    <row r="40" spans="2:2">
      <c r="B40" s="206" t="s">
        <v>187</v>
      </c>
    </row>
    <row r="41" spans="2:2">
      <c r="B41" s="206" t="s">
        <v>188</v>
      </c>
    </row>
    <row r="42" spans="2:2">
      <c r="B42" s="206" t="s">
        <v>189</v>
      </c>
    </row>
    <row r="43" spans="2:2">
      <c r="B43" s="206" t="s">
        <v>190</v>
      </c>
    </row>
    <row r="44" spans="2:2">
      <c r="B44" s="206" t="s">
        <v>191</v>
      </c>
    </row>
    <row r="45" spans="2:2">
      <c r="B45" s="206" t="s">
        <v>192</v>
      </c>
    </row>
    <row r="46" spans="2:2">
      <c r="B46" s="206" t="s">
        <v>193</v>
      </c>
    </row>
    <row r="47" spans="2:2">
      <c r="B47" s="206" t="s">
        <v>194</v>
      </c>
    </row>
    <row r="48" spans="2:2">
      <c r="B48" s="206" t="s">
        <v>195</v>
      </c>
    </row>
    <row r="49" spans="2:2">
      <c r="B49" s="206" t="s">
        <v>196</v>
      </c>
    </row>
    <row r="50" spans="2:2">
      <c r="B50" s="206" t="s">
        <v>197</v>
      </c>
    </row>
    <row r="51" spans="2:2">
      <c r="B51" s="206" t="s">
        <v>198</v>
      </c>
    </row>
    <row r="52" spans="2:2">
      <c r="B52" s="206" t="s">
        <v>199</v>
      </c>
    </row>
    <row r="53" spans="2:2">
      <c r="B53" s="206" t="s">
        <v>200</v>
      </c>
    </row>
    <row r="54" spans="2:2">
      <c r="B54" s="206" t="s">
        <v>201</v>
      </c>
    </row>
    <row r="55" spans="2:2">
      <c r="B55" s="206" t="s">
        <v>202</v>
      </c>
    </row>
    <row r="56" spans="2:2">
      <c r="B56" s="206" t="s">
        <v>203</v>
      </c>
    </row>
    <row r="57" spans="2:2">
      <c r="B57" s="206" t="s">
        <v>204</v>
      </c>
    </row>
    <row r="58" spans="2:2">
      <c r="B58" s="206" t="s">
        <v>205</v>
      </c>
    </row>
    <row r="59" spans="2:2">
      <c r="B59" s="206" t="s">
        <v>206</v>
      </c>
    </row>
    <row r="60" spans="2:2">
      <c r="B60" s="206" t="s">
        <v>207</v>
      </c>
    </row>
    <row r="61" spans="2:2">
      <c r="B61" s="206" t="s">
        <v>208</v>
      </c>
    </row>
    <row r="62" spans="2:2">
      <c r="B62" s="206" t="s">
        <v>209</v>
      </c>
    </row>
    <row r="63" spans="2:2">
      <c r="B63" s="206" t="s">
        <v>210</v>
      </c>
    </row>
    <row r="64" spans="2:2">
      <c r="B64" s="206" t="s">
        <v>211</v>
      </c>
    </row>
    <row r="65" spans="2:2">
      <c r="B65" s="206" t="s">
        <v>212</v>
      </c>
    </row>
    <row r="66" spans="2:2">
      <c r="B66" s="206" t="s">
        <v>213</v>
      </c>
    </row>
    <row r="67" spans="2:2">
      <c r="B67" s="206" t="s">
        <v>214</v>
      </c>
    </row>
    <row r="68" spans="2:2">
      <c r="B68" s="206" t="s">
        <v>215</v>
      </c>
    </row>
    <row r="69" spans="2:2">
      <c r="B69" s="206" t="s">
        <v>216</v>
      </c>
    </row>
    <row r="70" spans="2:2">
      <c r="B70" s="206" t="s">
        <v>217</v>
      </c>
    </row>
    <row r="71" spans="2:2">
      <c r="B71" s="206" t="s">
        <v>218</v>
      </c>
    </row>
    <row r="72" spans="2:2">
      <c r="B72" s="206" t="s">
        <v>219</v>
      </c>
    </row>
    <row r="73" spans="2:2">
      <c r="B73" s="206" t="s">
        <v>220</v>
      </c>
    </row>
    <row r="74" spans="2:2">
      <c r="B74" s="206" t="s">
        <v>221</v>
      </c>
    </row>
    <row r="75" spans="2:2">
      <c r="B75" s="206" t="s">
        <v>222</v>
      </c>
    </row>
    <row r="76" spans="2:2">
      <c r="B76" s="206" t="s">
        <v>223</v>
      </c>
    </row>
    <row r="77" spans="2:2">
      <c r="B77" s="206" t="s">
        <v>224</v>
      </c>
    </row>
    <row r="78" spans="2:2">
      <c r="B78" s="206" t="s">
        <v>225</v>
      </c>
    </row>
    <row r="79" spans="2:2">
      <c r="B79" s="206" t="s">
        <v>226</v>
      </c>
    </row>
    <row r="80" spans="2:2">
      <c r="B80" s="206" t="s">
        <v>227</v>
      </c>
    </row>
    <row r="81" spans="2:2">
      <c r="B81" s="206" t="s">
        <v>228</v>
      </c>
    </row>
    <row r="82" spans="2:2">
      <c r="B82" s="206" t="s">
        <v>229</v>
      </c>
    </row>
    <row r="83" spans="2:2">
      <c r="B83" s="206" t="s">
        <v>230</v>
      </c>
    </row>
    <row r="84" spans="2:2">
      <c r="B84" s="206" t="s">
        <v>231</v>
      </c>
    </row>
    <row r="85" spans="2:2">
      <c r="B85" s="206" t="s">
        <v>232</v>
      </c>
    </row>
    <row r="86" spans="2:2">
      <c r="B86" s="206" t="s">
        <v>233</v>
      </c>
    </row>
    <row r="87" spans="2:2">
      <c r="B87" s="206" t="s">
        <v>234</v>
      </c>
    </row>
    <row r="88" spans="2:2">
      <c r="B88" s="206" t="s">
        <v>235</v>
      </c>
    </row>
    <row r="89" spans="2:2">
      <c r="B89" s="206" t="s">
        <v>236</v>
      </c>
    </row>
    <row r="90" spans="2:2">
      <c r="B90" s="206" t="s">
        <v>237</v>
      </c>
    </row>
    <row r="91" spans="2:2">
      <c r="B91" s="206" t="s">
        <v>238</v>
      </c>
    </row>
    <row r="92" spans="2:2">
      <c r="B92" s="206" t="s">
        <v>239</v>
      </c>
    </row>
    <row r="93" spans="2:2">
      <c r="B93" s="206" t="s">
        <v>240</v>
      </c>
    </row>
    <row r="94" spans="2:2">
      <c r="B94" s="206" t="s">
        <v>241</v>
      </c>
    </row>
    <row r="95" spans="2:2">
      <c r="B95" s="206" t="s">
        <v>242</v>
      </c>
    </row>
    <row r="96" spans="2:2">
      <c r="B96" s="206" t="s">
        <v>243</v>
      </c>
    </row>
    <row r="97" spans="2:2">
      <c r="B97" s="206" t="s">
        <v>244</v>
      </c>
    </row>
    <row r="98" spans="2:2">
      <c r="B98" s="206" t="s">
        <v>245</v>
      </c>
    </row>
    <row r="99" spans="2:2">
      <c r="B99" s="206" t="s">
        <v>246</v>
      </c>
    </row>
    <row r="100" spans="2:2">
      <c r="B100" s="206" t="s">
        <v>247</v>
      </c>
    </row>
    <row r="101" spans="2:2">
      <c r="B101" s="206" t="s">
        <v>248</v>
      </c>
    </row>
    <row r="102" spans="2:2">
      <c r="B102" s="206" t="s">
        <v>249</v>
      </c>
    </row>
    <row r="103" spans="2:2">
      <c r="B103" s="206" t="s">
        <v>250</v>
      </c>
    </row>
    <row r="104" spans="2:2">
      <c r="B104" s="206" t="s">
        <v>251</v>
      </c>
    </row>
    <row r="105" spans="2:2">
      <c r="B105" s="206" t="s">
        <v>252</v>
      </c>
    </row>
    <row r="106" spans="2:2">
      <c r="B106" s="206" t="s">
        <v>253</v>
      </c>
    </row>
    <row r="107" spans="2:2">
      <c r="B107" s="206" t="s">
        <v>254</v>
      </c>
    </row>
    <row r="108" spans="2:2">
      <c r="B108" s="206" t="s">
        <v>255</v>
      </c>
    </row>
    <row r="109" spans="2:2">
      <c r="B109" s="206" t="s">
        <v>256</v>
      </c>
    </row>
    <row r="110" spans="2:2">
      <c r="B110" s="206" t="s">
        <v>257</v>
      </c>
    </row>
    <row r="111" spans="2:2">
      <c r="B111" s="206" t="s">
        <v>258</v>
      </c>
    </row>
    <row r="112" spans="2:2">
      <c r="B112" s="206" t="s">
        <v>259</v>
      </c>
    </row>
    <row r="113" spans="2:2">
      <c r="B113" s="206" t="s">
        <v>260</v>
      </c>
    </row>
    <row r="114" spans="2:2">
      <c r="B114" s="206" t="s">
        <v>261</v>
      </c>
    </row>
    <row r="115" spans="2:2">
      <c r="B115" s="206" t="s">
        <v>262</v>
      </c>
    </row>
    <row r="116" spans="2:2">
      <c r="B116" s="206" t="s">
        <v>263</v>
      </c>
    </row>
    <row r="117" spans="2:2">
      <c r="B117" s="206" t="s">
        <v>264</v>
      </c>
    </row>
    <row r="118" spans="2:2">
      <c r="B118" s="206" t="s">
        <v>265</v>
      </c>
    </row>
    <row r="119" spans="2:2">
      <c r="B119" s="206" t="s">
        <v>266</v>
      </c>
    </row>
    <row r="120" spans="2:2">
      <c r="B120" s="206" t="s">
        <v>267</v>
      </c>
    </row>
    <row r="121" spans="2:2">
      <c r="B121" s="206" t="s">
        <v>268</v>
      </c>
    </row>
    <row r="122" spans="2:2">
      <c r="B122" s="206" t="s">
        <v>269</v>
      </c>
    </row>
    <row r="123" spans="2:2">
      <c r="B123" s="206" t="s">
        <v>270</v>
      </c>
    </row>
    <row r="124" spans="2:2">
      <c r="B124" s="206" t="s">
        <v>271</v>
      </c>
    </row>
    <row r="125" spans="2:2">
      <c r="B125" s="206" t="s">
        <v>272</v>
      </c>
    </row>
    <row r="126" spans="2:2">
      <c r="B126" s="206" t="s">
        <v>273</v>
      </c>
    </row>
    <row r="127" spans="2:2">
      <c r="B127" s="206" t="s">
        <v>274</v>
      </c>
    </row>
    <row r="128" spans="2:2">
      <c r="B128" s="206" t="s">
        <v>275</v>
      </c>
    </row>
    <row r="129" spans="2:2">
      <c r="B129" s="206" t="s">
        <v>276</v>
      </c>
    </row>
    <row r="130" spans="2:2">
      <c r="B130" s="206" t="s">
        <v>277</v>
      </c>
    </row>
    <row r="131" spans="2:2">
      <c r="B131" s="206" t="s">
        <v>278</v>
      </c>
    </row>
    <row r="132" spans="2:2">
      <c r="B132" s="206" t="s">
        <v>279</v>
      </c>
    </row>
    <row r="133" spans="2:2">
      <c r="B133" s="206" t="s">
        <v>280</v>
      </c>
    </row>
    <row r="134" spans="2:2">
      <c r="B134" s="206" t="s">
        <v>281</v>
      </c>
    </row>
    <row r="135" spans="2:2">
      <c r="B135" s="206" t="s">
        <v>282</v>
      </c>
    </row>
    <row r="136" spans="2:2">
      <c r="B136" s="206" t="s">
        <v>283</v>
      </c>
    </row>
    <row r="137" spans="2:2">
      <c r="B137" s="206" t="s">
        <v>284</v>
      </c>
    </row>
    <row r="138" spans="2:2">
      <c r="B138" s="206" t="s">
        <v>285</v>
      </c>
    </row>
    <row r="139" spans="2:2">
      <c r="B139" s="206" t="s">
        <v>286</v>
      </c>
    </row>
    <row r="140" spans="2:2">
      <c r="B140" s="206" t="s">
        <v>287</v>
      </c>
    </row>
    <row r="141" spans="2:2">
      <c r="B141" s="206" t="s">
        <v>288</v>
      </c>
    </row>
    <row r="142" spans="2:2">
      <c r="B142" s="206" t="s">
        <v>289</v>
      </c>
    </row>
    <row r="143" spans="2:2">
      <c r="B143" s="206" t="s">
        <v>290</v>
      </c>
    </row>
    <row r="144" spans="2:2">
      <c r="B144" s="206" t="s">
        <v>291</v>
      </c>
    </row>
    <row r="145" spans="2:2">
      <c r="B145" s="206" t="s">
        <v>292</v>
      </c>
    </row>
    <row r="146" spans="2:2">
      <c r="B146" s="206" t="s">
        <v>293</v>
      </c>
    </row>
    <row r="147" spans="2:2">
      <c r="B147" s="206" t="s">
        <v>294</v>
      </c>
    </row>
    <row r="148" spans="2:2">
      <c r="B148" s="206" t="s">
        <v>295</v>
      </c>
    </row>
    <row r="149" spans="2:2">
      <c r="B149" s="232" t="s">
        <v>296</v>
      </c>
    </row>
    <row r="150" spans="2:2">
      <c r="B150" s="206" t="s">
        <v>297</v>
      </c>
    </row>
    <row r="151" spans="2:2">
      <c r="B151" s="206" t="s">
        <v>298</v>
      </c>
    </row>
    <row r="152" spans="2:2">
      <c r="B152" s="206" t="s">
        <v>299</v>
      </c>
    </row>
    <row r="153" spans="2:2">
      <c r="B153" s="206" t="s">
        <v>300</v>
      </c>
    </row>
    <row r="154" spans="2:2">
      <c r="B154" s="206" t="s">
        <v>301</v>
      </c>
    </row>
    <row r="155" spans="2:2">
      <c r="B155" s="206" t="s">
        <v>302</v>
      </c>
    </row>
    <row r="156" spans="2:2">
      <c r="B156" s="206" t="s">
        <v>303</v>
      </c>
    </row>
    <row r="157" spans="2:2">
      <c r="B157" s="206" t="s">
        <v>304</v>
      </c>
    </row>
    <row r="158" spans="2:2">
      <c r="B158" s="206" t="s">
        <v>305</v>
      </c>
    </row>
    <row r="159" spans="2:2">
      <c r="B159" s="206" t="s">
        <v>306</v>
      </c>
    </row>
    <row r="160" spans="2:2">
      <c r="B160" s="206" t="s">
        <v>307</v>
      </c>
    </row>
    <row r="161" spans="2:2">
      <c r="B161" s="206" t="s">
        <v>308</v>
      </c>
    </row>
    <row r="162" spans="2:2">
      <c r="B162" s="206" t="s">
        <v>309</v>
      </c>
    </row>
    <row r="163" spans="2:2">
      <c r="B163" s="206" t="s">
        <v>310</v>
      </c>
    </row>
    <row r="164" spans="2:2">
      <c r="B164" s="206" t="s">
        <v>311</v>
      </c>
    </row>
    <row r="165" spans="2:2">
      <c r="B165" s="206" t="s">
        <v>312</v>
      </c>
    </row>
    <row r="166" spans="2:2">
      <c r="B166" s="206" t="s">
        <v>313</v>
      </c>
    </row>
    <row r="167" spans="2:2">
      <c r="B167" s="206" t="s">
        <v>314</v>
      </c>
    </row>
    <row r="168" spans="2:2">
      <c r="B168" s="206" t="s">
        <v>315</v>
      </c>
    </row>
    <row r="169" spans="2:2">
      <c r="B169" s="206" t="s">
        <v>316</v>
      </c>
    </row>
    <row r="170" spans="2:2">
      <c r="B170" s="206" t="s">
        <v>317</v>
      </c>
    </row>
    <row r="171" spans="2:2">
      <c r="B171" s="206" t="s">
        <v>318</v>
      </c>
    </row>
    <row r="172" spans="2:2">
      <c r="B172" s="206" t="s">
        <v>319</v>
      </c>
    </row>
    <row r="173" spans="2:2">
      <c r="B173" s="206" t="s">
        <v>320</v>
      </c>
    </row>
    <row r="174" spans="2:2">
      <c r="B174" s="206" t="s">
        <v>321</v>
      </c>
    </row>
    <row r="175" spans="2:2">
      <c r="B175" s="206" t="s">
        <v>322</v>
      </c>
    </row>
    <row r="176" spans="2:2">
      <c r="B176" s="206" t="s">
        <v>323</v>
      </c>
    </row>
    <row r="177" spans="2:2">
      <c r="B177" s="206" t="s">
        <v>324</v>
      </c>
    </row>
    <row r="178" spans="2:2">
      <c r="B178" s="206" t="s">
        <v>325</v>
      </c>
    </row>
    <row r="179" spans="2:2">
      <c r="B179" s="206" t="s">
        <v>326</v>
      </c>
    </row>
    <row r="180" spans="2:2">
      <c r="B180" s="206" t="s">
        <v>327</v>
      </c>
    </row>
    <row r="181" spans="2:2">
      <c r="B181" s="206" t="s">
        <v>328</v>
      </c>
    </row>
    <row r="182" spans="2:2">
      <c r="B182" s="206" t="s">
        <v>329</v>
      </c>
    </row>
    <row r="183" spans="2:2">
      <c r="B183" s="206" t="s">
        <v>330</v>
      </c>
    </row>
    <row r="184" spans="2:2">
      <c r="B184" s="206" t="s">
        <v>331</v>
      </c>
    </row>
    <row r="185" spans="2:2">
      <c r="B185" s="206" t="s">
        <v>332</v>
      </c>
    </row>
    <row r="186" spans="2:2">
      <c r="B186" s="206" t="s">
        <v>333</v>
      </c>
    </row>
    <row r="187" spans="2:2">
      <c r="B187" s="206" t="s">
        <v>334</v>
      </c>
    </row>
    <row r="188" spans="2:2">
      <c r="B188" s="206" t="s">
        <v>335</v>
      </c>
    </row>
    <row r="189" spans="2:2">
      <c r="B189" s="206" t="s">
        <v>336</v>
      </c>
    </row>
    <row r="190" spans="2:2">
      <c r="B190" s="206" t="s">
        <v>337</v>
      </c>
    </row>
    <row r="191" spans="2:2">
      <c r="B191" s="206" t="s">
        <v>338</v>
      </c>
    </row>
    <row r="192" spans="2:2">
      <c r="B192" s="206" t="s">
        <v>339</v>
      </c>
    </row>
    <row r="193" spans="2:2">
      <c r="B193" s="206" t="s">
        <v>340</v>
      </c>
    </row>
    <row r="194" spans="2:2">
      <c r="B194" s="206" t="s">
        <v>341</v>
      </c>
    </row>
    <row r="195" spans="2:2">
      <c r="B195" s="206" t="s">
        <v>342</v>
      </c>
    </row>
    <row r="196" spans="2:2">
      <c r="B196" s="206" t="s">
        <v>343</v>
      </c>
    </row>
    <row r="197" spans="2:2">
      <c r="B197" s="206" t="s">
        <v>344</v>
      </c>
    </row>
    <row r="198" spans="2:2">
      <c r="B198" s="206" t="s">
        <v>345</v>
      </c>
    </row>
    <row r="199" spans="2:2">
      <c r="B199" s="206" t="s">
        <v>346</v>
      </c>
    </row>
    <row r="200" spans="2:2">
      <c r="B200" s="206" t="s">
        <v>347</v>
      </c>
    </row>
    <row r="201" spans="2:2">
      <c r="B201" s="206" t="s">
        <v>348</v>
      </c>
    </row>
    <row r="202" spans="2:2">
      <c r="B202" s="206" t="s">
        <v>349</v>
      </c>
    </row>
    <row r="203" spans="2:2">
      <c r="B203" s="206" t="s">
        <v>350</v>
      </c>
    </row>
    <row r="204" spans="2:2">
      <c r="B204" s="206" t="s">
        <v>14</v>
      </c>
    </row>
    <row r="205" spans="2:2">
      <c r="B205" s="206" t="s">
        <v>351</v>
      </c>
    </row>
    <row r="206" spans="2:2">
      <c r="B206" s="206" t="s">
        <v>352</v>
      </c>
    </row>
    <row r="207" spans="2:2">
      <c r="B207" s="206" t="s">
        <v>353</v>
      </c>
    </row>
    <row r="208" spans="2:2">
      <c r="B208" s="206" t="s">
        <v>354</v>
      </c>
    </row>
    <row r="209" spans="2:2">
      <c r="B209" s="206" t="s">
        <v>355</v>
      </c>
    </row>
    <row r="210" spans="2:2">
      <c r="B210" s="206" t="s">
        <v>356</v>
      </c>
    </row>
    <row r="211" spans="2:2">
      <c r="B211" s="206" t="s">
        <v>357</v>
      </c>
    </row>
    <row r="212" spans="2:2">
      <c r="B212" s="206" t="s">
        <v>358</v>
      </c>
    </row>
    <row r="213" spans="2:2">
      <c r="B213" s="206" t="s">
        <v>359</v>
      </c>
    </row>
    <row r="214" spans="2:2">
      <c r="B214" s="206" t="s">
        <v>360</v>
      </c>
    </row>
    <row r="215" spans="2:2">
      <c r="B215" s="206" t="s">
        <v>361</v>
      </c>
    </row>
    <row r="216" spans="2:2">
      <c r="B216" s="206" t="s">
        <v>362</v>
      </c>
    </row>
    <row r="217" spans="2:2">
      <c r="B217" s="206" t="s">
        <v>363</v>
      </c>
    </row>
  </sheetData>
  <conditionalFormatting sqref="N2:N18">
    <cfRule type="containsText" dxfId="8" priority="1" operator="containsText" text="CAPEX">
      <formula>NOT(ISERROR(SEARCH("CAPEX",N2)))</formula>
    </cfRule>
  </conditionalFormatting>
  <hyperlinks>
    <hyperlink ref="B23" r:id="rId1" display="http://areias/webapps/TamWeb/pages/system/view.jsp?id=327" xr:uid="{00000000-0004-0000-0000-000000000000}"/>
  </hyperlinks>
  <pageMargins left="0.511811024" right="0.511811024" top="0.78740157499999996" bottom="0.78740157499999996" header="0.31496062000000002" footer="0.31496062000000002"/>
  <pageSetup paperSize="9" orientation="portrait"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1"/>
  <dimension ref="A1:C18"/>
  <sheetViews>
    <sheetView showGridLines="0" workbookViewId="0">
      <selection activeCell="A5" sqref="A5"/>
    </sheetView>
  </sheetViews>
  <sheetFormatPr defaultRowHeight="14.45"/>
  <sheetData>
    <row r="1" spans="1:3">
      <c r="A1" t="s">
        <v>364</v>
      </c>
    </row>
    <row r="2" spans="1:3">
      <c r="A2" t="s">
        <v>365</v>
      </c>
    </row>
    <row r="4" spans="1:3">
      <c r="A4" s="336" t="s">
        <v>366</v>
      </c>
    </row>
    <row r="5" spans="1:3">
      <c r="A5" s="335" t="s">
        <v>367</v>
      </c>
    </row>
    <row r="6" spans="1:3">
      <c r="A6" s="335" t="s">
        <v>368</v>
      </c>
    </row>
    <row r="7" spans="1:3">
      <c r="A7" s="335" t="s">
        <v>369</v>
      </c>
    </row>
    <row r="9" spans="1:3">
      <c r="A9" s="287" t="s">
        <v>370</v>
      </c>
      <c r="B9" s="287"/>
      <c r="C9" s="287"/>
    </row>
    <row r="10" spans="1:3">
      <c r="A10" s="335" t="s">
        <v>371</v>
      </c>
    </row>
    <row r="11" spans="1:3">
      <c r="A11" s="335" t="s">
        <v>372</v>
      </c>
    </row>
    <row r="13" spans="1:3">
      <c r="A13" s="287" t="s">
        <v>373</v>
      </c>
      <c r="B13" s="287"/>
      <c r="C13" s="287"/>
    </row>
    <row r="14" spans="1:3">
      <c r="A14" s="335" t="s">
        <v>374</v>
      </c>
    </row>
    <row r="16" spans="1:3">
      <c r="A16" s="287" t="s">
        <v>375</v>
      </c>
      <c r="B16" s="287"/>
    </row>
    <row r="17" spans="1:1">
      <c r="A17" s="335" t="s">
        <v>376</v>
      </c>
    </row>
    <row r="18" spans="1:1">
      <c r="A18" s="335" t="s">
        <v>377</v>
      </c>
    </row>
  </sheetData>
  <pageMargins left="0.511811024" right="0.511811024" top="0.78740157499999996" bottom="0.78740157499999996" header="0.31496062000000002" footer="0.31496062000000002"/>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5">
    <pageSetUpPr fitToPage="1"/>
  </sheetPr>
  <dimension ref="B1:S50"/>
  <sheetViews>
    <sheetView showGridLines="0" topLeftCell="D14" zoomScale="70" zoomScaleNormal="70" zoomScalePageLayoutView="73" workbookViewId="0">
      <selection activeCell="P5" sqref="P5"/>
    </sheetView>
  </sheetViews>
  <sheetFormatPr defaultColWidth="4.28515625" defaultRowHeight="14.45"/>
  <cols>
    <col min="1" max="1" width="2.28515625" customWidth="1"/>
    <col min="2" max="5" width="15.42578125" customWidth="1"/>
    <col min="6" max="6" width="19.7109375" customWidth="1"/>
    <col min="7" max="7" width="3.28515625" customWidth="1"/>
    <col min="8" max="8" width="15.42578125" customWidth="1"/>
    <col min="9" max="9" width="2.42578125" customWidth="1"/>
    <col min="10" max="10" width="1.85546875" customWidth="1"/>
    <col min="11" max="11" width="20.140625" bestFit="1" customWidth="1"/>
    <col min="12" max="12" width="25.42578125" customWidth="1"/>
    <col min="13" max="13" width="17.7109375" customWidth="1"/>
    <col min="14" max="14" width="14.140625" bestFit="1" customWidth="1"/>
    <col min="15" max="15" width="17.85546875" bestFit="1" customWidth="1"/>
    <col min="16" max="16" width="13.28515625" bestFit="1" customWidth="1"/>
    <col min="17" max="17" width="13.85546875" bestFit="1" customWidth="1"/>
    <col min="18" max="18" width="13.85546875" customWidth="1"/>
    <col min="19" max="19" width="2.140625" customWidth="1"/>
    <col min="20" max="20" width="0.42578125" customWidth="1"/>
  </cols>
  <sheetData>
    <row r="1" spans="2:19" s="338" customFormat="1" ht="23.25" customHeight="1">
      <c r="B1" s="339" t="s">
        <v>378</v>
      </c>
      <c r="C1" s="397" t="s">
        <v>379</v>
      </c>
      <c r="D1" s="397"/>
      <c r="E1" s="397"/>
      <c r="F1" s="397"/>
      <c r="G1" s="397"/>
      <c r="H1" s="397"/>
      <c r="I1" s="339"/>
      <c r="J1" s="340"/>
      <c r="K1" s="339" t="s">
        <v>380</v>
      </c>
      <c r="L1" s="398" t="s">
        <v>381</v>
      </c>
      <c r="M1" s="398"/>
      <c r="N1" s="398"/>
      <c r="O1" s="398"/>
      <c r="P1" s="398"/>
      <c r="Q1" s="398"/>
      <c r="R1" s="398"/>
    </row>
    <row r="2" spans="2:19">
      <c r="B2" s="276" t="s">
        <v>382</v>
      </c>
      <c r="C2" s="275"/>
      <c r="E2" s="262"/>
      <c r="F2" s="262"/>
      <c r="G2" s="262"/>
      <c r="H2" s="262"/>
      <c r="J2" s="271"/>
      <c r="K2" s="276" t="s">
        <v>383</v>
      </c>
      <c r="L2" s="262"/>
      <c r="M2" s="262"/>
      <c r="N2" s="262"/>
      <c r="O2" s="262"/>
      <c r="P2" s="262"/>
      <c r="Q2" s="262"/>
      <c r="R2" s="262"/>
    </row>
    <row r="3" spans="2:19" ht="15.75" customHeight="1">
      <c r="B3" s="294" t="s">
        <v>384</v>
      </c>
      <c r="C3" s="401" t="s">
        <v>385</v>
      </c>
      <c r="D3" s="401"/>
      <c r="E3" s="401"/>
      <c r="F3" s="401"/>
      <c r="G3" s="401"/>
      <c r="H3" s="401"/>
      <c r="I3" s="273"/>
      <c r="J3" s="271"/>
      <c r="K3" s="270" t="s">
        <v>386</v>
      </c>
      <c r="L3" s="401" t="s">
        <v>387</v>
      </c>
      <c r="M3" s="401"/>
      <c r="N3" s="401"/>
      <c r="O3" s="401"/>
      <c r="P3" s="401"/>
      <c r="Q3" s="401"/>
      <c r="R3" s="401"/>
    </row>
    <row r="4" spans="2:19" ht="15.75" customHeight="1">
      <c r="B4" s="294" t="s">
        <v>388</v>
      </c>
      <c r="C4" s="399" t="s">
        <v>389</v>
      </c>
      <c r="D4" s="399"/>
      <c r="E4" s="399"/>
      <c r="F4" s="399"/>
      <c r="G4" s="399"/>
      <c r="H4" s="399"/>
      <c r="I4" s="273"/>
      <c r="J4" s="271"/>
      <c r="K4" s="270" t="s">
        <v>390</v>
      </c>
      <c r="L4" s="399" t="s">
        <v>391</v>
      </c>
      <c r="M4" s="399"/>
      <c r="N4" s="399"/>
      <c r="O4" s="399"/>
      <c r="P4" s="278"/>
      <c r="Q4" s="400"/>
      <c r="R4" s="400"/>
    </row>
    <row r="5" spans="2:19" ht="15.75" customHeight="1">
      <c r="B5" s="294" t="s">
        <v>392</v>
      </c>
      <c r="C5" s="399" t="s">
        <v>393</v>
      </c>
      <c r="D5" s="399"/>
      <c r="E5" s="399"/>
      <c r="F5" s="399"/>
      <c r="G5" s="399"/>
      <c r="H5" s="399"/>
      <c r="I5" s="273"/>
      <c r="J5" s="271"/>
      <c r="K5" s="270" t="s">
        <v>394</v>
      </c>
      <c r="L5" s="399" t="s">
        <v>395</v>
      </c>
      <c r="M5" s="399"/>
      <c r="N5" s="399"/>
      <c r="O5" s="399"/>
      <c r="P5" s="278"/>
      <c r="Q5" s="400"/>
      <c r="R5" s="400"/>
    </row>
    <row r="6" spans="2:19" ht="15.75" customHeight="1">
      <c r="J6" s="271"/>
    </row>
    <row r="7" spans="2:19" ht="15.75" customHeight="1">
      <c r="B7" s="267" t="s">
        <v>396</v>
      </c>
      <c r="J7" s="2"/>
      <c r="K7" s="270" t="s">
        <v>397</v>
      </c>
    </row>
    <row r="8" spans="2:19" ht="15.75" customHeight="1">
      <c r="B8" s="414" t="s">
        <v>398</v>
      </c>
      <c r="C8" s="415"/>
      <c r="D8" s="415"/>
      <c r="E8" s="415"/>
      <c r="F8" s="415"/>
      <c r="G8" s="415"/>
      <c r="H8" s="415"/>
      <c r="I8" s="416"/>
      <c r="J8" s="2"/>
      <c r="K8" s="435" t="s">
        <v>399</v>
      </c>
      <c r="L8" s="435"/>
      <c r="M8" s="295">
        <v>2020</v>
      </c>
      <c r="N8" s="295">
        <v>2021</v>
      </c>
      <c r="O8" s="295">
        <v>2022</v>
      </c>
      <c r="P8" s="295">
        <v>2023</v>
      </c>
      <c r="Q8" s="295">
        <v>2024</v>
      </c>
      <c r="R8" s="281" t="s">
        <v>400</v>
      </c>
    </row>
    <row r="9" spans="2:19" ht="15.75" customHeight="1">
      <c r="B9" s="417"/>
      <c r="C9" s="418"/>
      <c r="D9" s="418"/>
      <c r="E9" s="418"/>
      <c r="F9" s="418"/>
      <c r="G9" s="418"/>
      <c r="H9" s="418"/>
      <c r="I9" s="419"/>
      <c r="J9" s="212"/>
      <c r="K9" s="436" t="s">
        <v>401</v>
      </c>
      <c r="L9" s="436"/>
      <c r="M9" s="282">
        <v>0</v>
      </c>
      <c r="N9" s="282">
        <v>0</v>
      </c>
      <c r="O9" s="282">
        <v>0</v>
      </c>
      <c r="P9" s="282">
        <v>0</v>
      </c>
      <c r="Q9" s="282">
        <v>3627225</v>
      </c>
      <c r="R9" s="283">
        <f>SUM('RESUMO DEFESA'!$M9:$Q9)</f>
        <v>3627225</v>
      </c>
    </row>
    <row r="10" spans="2:19" ht="15.75" customHeight="1" thickBot="1">
      <c r="B10" s="417"/>
      <c r="C10" s="418"/>
      <c r="D10" s="418"/>
      <c r="E10" s="418"/>
      <c r="F10" s="418"/>
      <c r="G10" s="418"/>
      <c r="H10" s="418"/>
      <c r="I10" s="419"/>
      <c r="J10" s="212"/>
      <c r="K10" s="437" t="s">
        <v>402</v>
      </c>
      <c r="L10" s="437"/>
      <c r="M10" s="284">
        <v>0</v>
      </c>
      <c r="N10" s="284">
        <v>0</v>
      </c>
      <c r="O10" s="284">
        <v>0</v>
      </c>
      <c r="P10" s="284">
        <v>0</v>
      </c>
      <c r="Q10" s="284">
        <v>76710</v>
      </c>
      <c r="R10" s="285">
        <f>SUM('RESUMO DEFESA'!$M10:$Q10)</f>
        <v>76710</v>
      </c>
    </row>
    <row r="11" spans="2:19" ht="15.75" customHeight="1" thickTop="1">
      <c r="B11" s="417"/>
      <c r="C11" s="418"/>
      <c r="D11" s="418"/>
      <c r="E11" s="418"/>
      <c r="F11" s="418"/>
      <c r="G11" s="418"/>
      <c r="H11" s="418"/>
      <c r="I11" s="419"/>
      <c r="J11" s="272"/>
      <c r="K11" s="438" t="s">
        <v>400</v>
      </c>
      <c r="L11" s="438"/>
      <c r="M11" s="286">
        <f>SUBTOTAL(109,'RESUMO DEFESA'!$M$9:$M$10)</f>
        <v>0</v>
      </c>
      <c r="N11" s="286">
        <f>SUBTOTAL(109,'RESUMO DEFESA'!$N$9:$N$10)</f>
        <v>0</v>
      </c>
      <c r="O11" s="286">
        <f>SUBTOTAL(109,'RESUMO DEFESA'!$O$9:$O$10)</f>
        <v>0</v>
      </c>
      <c r="P11" s="286">
        <f>SUBTOTAL(109,'RESUMO DEFESA'!$P$9:$P$10)</f>
        <v>0</v>
      </c>
      <c r="Q11" s="286">
        <f>SUBTOTAL(9,'RESUMO DEFESA'!$Q$9:$Q$10)</f>
        <v>3703935</v>
      </c>
      <c r="R11" s="286">
        <f>SUBTOTAL(9,'RESUMO DEFESA'!$R$9:$R$10)</f>
        <v>3703935</v>
      </c>
    </row>
    <row r="12" spans="2:19" ht="15.75" customHeight="1">
      <c r="B12" s="417"/>
      <c r="C12" s="418"/>
      <c r="D12" s="418"/>
      <c r="E12" s="418"/>
      <c r="F12" s="418"/>
      <c r="G12" s="418"/>
      <c r="H12" s="418"/>
      <c r="I12" s="419"/>
      <c r="J12" s="269"/>
      <c r="L12" s="267"/>
      <c r="M12" s="311"/>
      <c r="N12" s="311"/>
      <c r="O12" s="311"/>
      <c r="P12" s="311"/>
      <c r="Q12" s="311"/>
      <c r="R12" s="311"/>
    </row>
    <row r="13" spans="2:19" ht="15.75" customHeight="1">
      <c r="B13" s="417"/>
      <c r="C13" s="418"/>
      <c r="D13" s="418"/>
      <c r="E13" s="418"/>
      <c r="F13" s="418"/>
      <c r="G13" s="418"/>
      <c r="H13" s="418"/>
      <c r="I13" s="419"/>
      <c r="J13" s="269"/>
      <c r="L13" t="s">
        <v>102</v>
      </c>
      <c r="S13" s="267"/>
    </row>
    <row r="14" spans="2:19" ht="15.75" customHeight="1" thickBot="1">
      <c r="B14" s="420"/>
      <c r="C14" s="421"/>
      <c r="D14" s="421"/>
      <c r="E14" s="421"/>
      <c r="F14" s="421"/>
      <c r="G14" s="421"/>
      <c r="H14" s="421"/>
      <c r="I14" s="422"/>
      <c r="J14" s="269"/>
      <c r="K14" s="270" t="s">
        <v>403</v>
      </c>
      <c r="L14" s="270"/>
      <c r="M14" s="270"/>
      <c r="S14" s="267"/>
    </row>
    <row r="15" spans="2:19" ht="15.75" customHeight="1" thickTop="1" thickBot="1">
      <c r="B15" s="305"/>
      <c r="C15" s="305"/>
      <c r="D15" s="305"/>
      <c r="E15" s="305"/>
      <c r="F15" s="305"/>
      <c r="G15" s="305"/>
      <c r="H15" s="305"/>
      <c r="I15" s="305"/>
      <c r="J15" s="269"/>
      <c r="K15" s="306" t="s">
        <v>404</v>
      </c>
      <c r="L15" s="307" t="s">
        <v>5</v>
      </c>
      <c r="M15" s="318" t="s">
        <v>20</v>
      </c>
      <c r="N15" s="318" t="s">
        <v>33</v>
      </c>
      <c r="O15" s="318" t="s">
        <v>46</v>
      </c>
      <c r="P15" s="318" t="s">
        <v>59</v>
      </c>
      <c r="Q15" s="307" t="s">
        <v>71</v>
      </c>
      <c r="R15" s="318" t="s">
        <v>405</v>
      </c>
    </row>
    <row r="16" spans="2:19" ht="15.75" customHeight="1" thickTop="1">
      <c r="B16" s="432" t="s">
        <v>406</v>
      </c>
      <c r="C16" s="432"/>
      <c r="D16" s="432"/>
      <c r="E16" s="432"/>
      <c r="F16" s="432"/>
      <c r="G16" s="432"/>
      <c r="H16" s="432"/>
      <c r="I16" s="270"/>
      <c r="J16" s="269"/>
      <c r="K16" t="s">
        <v>401</v>
      </c>
      <c r="L16" t="s">
        <v>18</v>
      </c>
      <c r="M16" s="312">
        <f>SUMIFS('ANEXO 1 - Detalhes Técnicos'!$O$1:$O$150,'ANEXO 1 - Detalhes Técnicos'!$N$1:$N$150,'RESUMO DEFESA'!$K$16,'ANEXO 1 - Detalhes Técnicos'!$B$1:$B$150,'RESUMO DEFESA'!$M$15,'ANEXO 1 - Detalhes Técnicos'!$A$1:$A$150,'RESUMO DEFESA'!L16,'ANEXO 1 - Detalhes Técnicos'!$D$1:$D$150,"SIM")</f>
        <v>0</v>
      </c>
      <c r="N16" s="312">
        <f>SUMIFS('ANEXO 1 - Detalhes Técnicos'!$O$1:$O$150,'ANEXO 1 - Detalhes Técnicos'!$N$1:$N$150,'RESUMO DEFESA'!$K$16,'ANEXO 1 - Detalhes Técnicos'!$B$1:$B$150,'RESUMO DEFESA'!$N$15,'ANEXO 1 - Detalhes Técnicos'!$A$1:$A$150,'RESUMO DEFESA'!L16,'ANEXO 1 - Detalhes Técnicos'!$D$1:$D$150,"SIM")</f>
        <v>0</v>
      </c>
      <c r="O16" s="312">
        <f>SUMIFS('ANEXO 1 - Detalhes Técnicos'!$O$1:$O$150,'ANEXO 1 - Detalhes Técnicos'!$N$1:$N$150,'RESUMO DEFESA'!$K$16,'ANEXO 1 - Detalhes Técnicos'!$B$1:$B$150,'RESUMO DEFESA'!$O$15,'ANEXO 1 - Detalhes Técnicos'!$A$1:$A$150,'RESUMO DEFESA'!L16,'ANEXO 1 - Detalhes Técnicos'!$D$1:$D$150,"SIM")</f>
        <v>0</v>
      </c>
      <c r="P16" s="313">
        <f>SUMIFS('ANEXO 1 - Detalhes Técnicos'!$O$1:$O$150,'ANEXO 1 - Detalhes Técnicos'!$N$1:$N$150,'RESUMO DEFESA'!$K$16,'ANEXO 1 - Detalhes Técnicos'!$B$1:$B$150,'RESUMO DEFESA'!$P$15,'ANEXO 1 - Detalhes Técnicos'!$A$1:$A$150,'RESUMO DEFESA'!L16,'ANEXO 1 - Detalhes Técnicos'!$D$1:$D$150,"SIM")</f>
        <v>0</v>
      </c>
      <c r="Q16" s="312">
        <f>SUMIFS('ANEXO 1 - Detalhes Técnicos'!$O$1:$O$150,'ANEXO 1 - Detalhes Técnicos'!$N$1:$N$150,'RESUMO DEFESA'!$K$16,'ANEXO 1 - Detalhes Técnicos'!$B$1:$B$150,'RESUMO DEFESA'!$Q$15,'ANEXO 1 - Detalhes Técnicos'!$A$1:$A$150,'RESUMO DEFESA'!L16,'ANEXO 1 - Detalhes Técnicos'!$D$1:$D$150,"SIM")</f>
        <v>0</v>
      </c>
      <c r="R16" s="312">
        <f>SUM(M16:Q16)</f>
        <v>0</v>
      </c>
    </row>
    <row r="17" spans="2:18" ht="15.75" customHeight="1">
      <c r="B17" s="414" t="s">
        <v>407</v>
      </c>
      <c r="C17" s="415"/>
      <c r="D17" s="415"/>
      <c r="E17" s="415"/>
      <c r="F17" s="415"/>
      <c r="G17" s="415"/>
      <c r="H17" s="415"/>
      <c r="I17" s="416"/>
      <c r="L17" t="s">
        <v>31</v>
      </c>
      <c r="M17" s="312">
        <f>SUMIFS('ANEXO 1 - Detalhes Técnicos'!$O$1:$O$150,'ANEXO 1 - Detalhes Técnicos'!$N$1:$N$150,'RESUMO DEFESA'!$K$16,'ANEXO 1 - Detalhes Técnicos'!$B$1:$B$150,'RESUMO DEFESA'!$M$15,'ANEXO 1 - Detalhes Técnicos'!$A$1:$A$150,'RESUMO DEFESA'!L17,'ANEXO 1 - Detalhes Técnicos'!$D$1:$D$150,"SIM")</f>
        <v>0</v>
      </c>
      <c r="N17" s="312">
        <f>SUMIFS('ANEXO 1 - Detalhes Técnicos'!$O$1:$O$150,'ANEXO 1 - Detalhes Técnicos'!$N$1:$N$150,'RESUMO DEFESA'!$K$16,'ANEXO 1 - Detalhes Técnicos'!$B$1:$B$150,'RESUMO DEFESA'!$N$15,'ANEXO 1 - Detalhes Técnicos'!$A$1:$A$150,'RESUMO DEFESA'!L17,'ANEXO 1 - Detalhes Técnicos'!$D$1:$D$150,"SIM")</f>
        <v>0</v>
      </c>
      <c r="O17" s="312">
        <f>SUMIFS('ANEXO 1 - Detalhes Técnicos'!$O$1:$O$150,'ANEXO 1 - Detalhes Técnicos'!$N$1:$N$150,'RESUMO DEFESA'!$K$16,'ANEXO 1 - Detalhes Técnicos'!$B$1:$B$150,'RESUMO DEFESA'!$O$15,'ANEXO 1 - Detalhes Técnicos'!$A$1:$A$150,'RESUMO DEFESA'!L17,'ANEXO 1 - Detalhes Técnicos'!$D$1:$D$150,"SIM")</f>
        <v>0</v>
      </c>
      <c r="P17" s="313">
        <f>SUMIFS('ANEXO 1 - Detalhes Técnicos'!$O$1:$O$150,'ANEXO 1 - Detalhes Técnicos'!$N$1:$N$150,'RESUMO DEFESA'!$K$16,'ANEXO 1 - Detalhes Técnicos'!$B$1:$B$150,'RESUMO DEFESA'!$P$15,'ANEXO 1 - Detalhes Técnicos'!$A$1:$A$150,'RESUMO DEFESA'!L17,'ANEXO 1 - Detalhes Técnicos'!$D$1:$D$150,"SIM")</f>
        <v>0</v>
      </c>
      <c r="Q17" s="312">
        <f>SUMIFS('ANEXO 1 - Detalhes Técnicos'!$O$1:$O$150,'ANEXO 1 - Detalhes Técnicos'!$N$1:$N$150,'RESUMO DEFESA'!$K$16,'ANEXO 1 - Detalhes Técnicos'!$B$1:$B$150,'RESUMO DEFESA'!$Q$15,'ANEXO 1 - Detalhes Técnicos'!$A$1:$A$150,'RESUMO DEFESA'!L17,'ANEXO 1 - Detalhes Técnicos'!$D$1:$D$150,"SIM")</f>
        <v>0</v>
      </c>
      <c r="R17" s="312">
        <f t="shared" ref="R17:R25" si="0">SUM(M17:Q17)</f>
        <v>0</v>
      </c>
    </row>
    <row r="18" spans="2:18" ht="15.75" customHeight="1">
      <c r="B18" s="417"/>
      <c r="C18" s="418"/>
      <c r="D18" s="418"/>
      <c r="E18" s="418"/>
      <c r="F18" s="418"/>
      <c r="G18" s="418"/>
      <c r="H18" s="418"/>
      <c r="I18" s="419"/>
      <c r="J18" s="3"/>
      <c r="L18" t="s">
        <v>44</v>
      </c>
      <c r="M18" s="312">
        <f>SUMIFS('ANEXO 1 - Detalhes Técnicos'!$O$1:$O$150,'ANEXO 1 - Detalhes Técnicos'!$N$1:$N$150,'RESUMO DEFESA'!$K$16,'ANEXO 1 - Detalhes Técnicos'!$B$1:$B$150,'RESUMO DEFESA'!$M$15,'ANEXO 1 - Detalhes Técnicos'!$A$1:$A$150,'RESUMO DEFESA'!L18,'ANEXO 1 - Detalhes Técnicos'!$D$1:$D$150,"SIM")</f>
        <v>0</v>
      </c>
      <c r="N18" s="312">
        <f>SUMIFS('ANEXO 1 - Detalhes Técnicos'!$O$1:$O$150,'ANEXO 1 - Detalhes Técnicos'!$N$1:$N$150,'RESUMO DEFESA'!$K$16,'ANEXO 1 - Detalhes Técnicos'!$B$1:$B$150,'RESUMO DEFESA'!$N$15,'ANEXO 1 - Detalhes Técnicos'!$A$1:$A$150,'RESUMO DEFESA'!L18,'ANEXO 1 - Detalhes Técnicos'!$D$1:$D$150,"SIM")</f>
        <v>0</v>
      </c>
      <c r="O18" s="312">
        <f>SUMIFS('ANEXO 1 - Detalhes Técnicos'!$O$1:$O$150,'ANEXO 1 - Detalhes Técnicos'!$N$1:$N$150,'RESUMO DEFESA'!$K$16,'ANEXO 1 - Detalhes Técnicos'!$B$1:$B$150,'RESUMO DEFESA'!$O$15,'ANEXO 1 - Detalhes Técnicos'!$A$1:$A$150,'RESUMO DEFESA'!L18,'ANEXO 1 - Detalhes Técnicos'!$D$1:$D$150,"SIM")</f>
        <v>0</v>
      </c>
      <c r="P18" s="313">
        <f>SUMIFS('ANEXO 1 - Detalhes Técnicos'!$O$1:$O$150,'ANEXO 1 - Detalhes Técnicos'!$N$1:$N$150,'RESUMO DEFESA'!$K$16,'ANEXO 1 - Detalhes Técnicos'!$B$1:$B$150,'RESUMO DEFESA'!$P$15,'ANEXO 1 - Detalhes Técnicos'!$A$1:$A$150,'RESUMO DEFESA'!L18,'ANEXO 1 - Detalhes Técnicos'!$D$1:$D$150,"SIM")</f>
        <v>0</v>
      </c>
      <c r="Q18" s="312">
        <v>0</v>
      </c>
      <c r="R18" s="312">
        <f t="shared" si="0"/>
        <v>0</v>
      </c>
    </row>
    <row r="19" spans="2:18" ht="15.75" customHeight="1">
      <c r="B19" s="417"/>
      <c r="C19" s="418"/>
      <c r="D19" s="418"/>
      <c r="E19" s="418"/>
      <c r="F19" s="418"/>
      <c r="G19" s="418"/>
      <c r="H19" s="418"/>
      <c r="I19" s="419"/>
      <c r="J19" s="3"/>
      <c r="L19" t="s">
        <v>57</v>
      </c>
      <c r="M19" s="312">
        <f>SUMIFS('ANEXO 1 - Detalhes Técnicos'!$O$1:$O$150,'ANEXO 1 - Detalhes Técnicos'!$N$1:$N$150,'RESUMO DEFESA'!$K$16,'ANEXO 1 - Detalhes Técnicos'!$B$1:$B$150,'RESUMO DEFESA'!$M$15,'ANEXO 1 - Detalhes Técnicos'!$A$1:$A$150,'RESUMO DEFESA'!L19,'ANEXO 1 - Detalhes Técnicos'!$D$1:$D$150,"SIM")</f>
        <v>0</v>
      </c>
      <c r="N19" s="312">
        <f>SUMIFS('ANEXO 1 - Detalhes Técnicos'!$O$1:$O$150,'ANEXO 1 - Detalhes Técnicos'!$N$1:$N$150,'RESUMO DEFESA'!$K$16,'ANEXO 1 - Detalhes Técnicos'!$B$1:$B$150,'RESUMO DEFESA'!$N$15,'ANEXO 1 - Detalhes Técnicos'!$A$1:$A$150,'RESUMO DEFESA'!L19,'ANEXO 1 - Detalhes Técnicos'!$D$1:$D$150,"SIM")</f>
        <v>0</v>
      </c>
      <c r="O19" s="312">
        <f>SUMIFS('ANEXO 1 - Detalhes Técnicos'!$O$1:$O$150,'ANEXO 1 - Detalhes Técnicos'!$N$1:$N$150,'RESUMO DEFESA'!$K$16,'ANEXO 1 - Detalhes Técnicos'!$B$1:$B$150,'RESUMO DEFESA'!$O$15,'ANEXO 1 - Detalhes Técnicos'!$A$1:$A$150,'RESUMO DEFESA'!L19,'ANEXO 1 - Detalhes Técnicos'!$D$1:$D$150,"SIM")</f>
        <v>0</v>
      </c>
      <c r="P19" s="313">
        <f>SUMIFS('ANEXO 1 - Detalhes Técnicos'!$O$1:$O$150,'ANEXO 1 - Detalhes Técnicos'!$N$1:$N$150,'RESUMO DEFESA'!$K$16,'ANEXO 1 - Detalhes Técnicos'!$B$1:$B$150,'RESUMO DEFESA'!$P$15,'ANEXO 1 - Detalhes Técnicos'!$A$1:$A$150,'RESUMO DEFESA'!L19,'ANEXO 1 - Detalhes Técnicos'!$D$1:$D$150,"SIM")</f>
        <v>0</v>
      </c>
      <c r="Q19" s="312">
        <f>SUMIFS('ANEXO 1 - Detalhes Técnicos'!$O$1:$O$150,'ANEXO 1 - Detalhes Técnicos'!$N$1:$N$150,'RESUMO DEFESA'!$K$16,'ANEXO 1 - Detalhes Técnicos'!$B$1:$B$150,'RESUMO DEFESA'!$Q$15,'ANEXO 1 - Detalhes Técnicos'!$A$1:$A$150,'RESUMO DEFESA'!L19,'ANEXO 1 - Detalhes Técnicos'!$D$1:$D$150,"SIM")</f>
        <v>0</v>
      </c>
      <c r="R19" s="312">
        <f t="shared" si="0"/>
        <v>0</v>
      </c>
    </row>
    <row r="20" spans="2:18" ht="15.75" customHeight="1">
      <c r="B20" s="417"/>
      <c r="C20" s="418"/>
      <c r="D20" s="418"/>
      <c r="E20" s="418"/>
      <c r="F20" s="418"/>
      <c r="G20" s="418"/>
      <c r="H20" s="418"/>
      <c r="I20" s="419"/>
      <c r="J20" s="3"/>
      <c r="L20" t="s">
        <v>70</v>
      </c>
      <c r="M20" s="312">
        <f>SUMIFS('ANEXO 1 - Detalhes Técnicos'!$O$1:$O$150,'ANEXO 1 - Detalhes Técnicos'!$N$1:$N$150,'RESUMO DEFESA'!$K$16,'ANEXO 1 - Detalhes Técnicos'!$B$1:$B$150,'RESUMO DEFESA'!$M$15,'ANEXO 1 - Detalhes Técnicos'!$A$1:$A$150,'RESUMO DEFESA'!L20,'ANEXO 1 - Detalhes Técnicos'!$D$1:$D$150,"SIM")</f>
        <v>0</v>
      </c>
      <c r="N20" s="312">
        <f>SUMIFS('ANEXO 1 - Detalhes Técnicos'!$O$1:$O$150,'ANEXO 1 - Detalhes Técnicos'!$N$1:$N$150,'RESUMO DEFESA'!$K$16,'ANEXO 1 - Detalhes Técnicos'!$B$1:$B$150,'RESUMO DEFESA'!$N$15,'ANEXO 1 - Detalhes Técnicos'!$A$1:$A$150,'RESUMO DEFESA'!L20,'ANEXO 1 - Detalhes Técnicos'!$D$1:$D$150,"SIM")</f>
        <v>0</v>
      </c>
      <c r="O20" s="312">
        <f>SUMIFS('ANEXO 1 - Detalhes Técnicos'!$O$1:$O$150,'ANEXO 1 - Detalhes Técnicos'!$N$1:$N$150,'RESUMO DEFESA'!$K$16,'ANEXO 1 - Detalhes Técnicos'!$B$1:$B$150,'RESUMO DEFESA'!$O$15,'ANEXO 1 - Detalhes Técnicos'!$A$1:$A$150,'RESUMO DEFESA'!L20,'ANEXO 1 - Detalhes Técnicos'!$D$1:$D$150,"SIM")</f>
        <v>0</v>
      </c>
      <c r="P20" s="313">
        <f>SUMIFS('ANEXO 1 - Detalhes Técnicos'!$O$1:$O$150,'ANEXO 1 - Detalhes Técnicos'!$N$1:$N$150,'RESUMO DEFESA'!$K$16,'ANEXO 1 - Detalhes Técnicos'!$B$1:$B$150,'RESUMO DEFESA'!$P$15,'ANEXO 1 - Detalhes Técnicos'!$A$1:$A$150,'RESUMO DEFESA'!L20,'ANEXO 1 - Detalhes Técnicos'!$D$1:$D$150,"SIM")</f>
        <v>0</v>
      </c>
      <c r="Q20" s="312">
        <f>SUMIFS('ANEXO 1 - Detalhes Técnicos'!$O$1:$O$150,'ANEXO 1 - Detalhes Técnicos'!$N$1:$N$150,'RESUMO DEFESA'!$K$16,'ANEXO 1 - Detalhes Técnicos'!$B$1:$B$150,'RESUMO DEFESA'!$Q$15,'ANEXO 1 - Detalhes Técnicos'!$A$1:$A$150,'RESUMO DEFESA'!L20,'ANEXO 1 - Detalhes Técnicos'!$D$1:$D$150,"SIM")</f>
        <v>0</v>
      </c>
      <c r="R20" s="312">
        <f t="shared" si="0"/>
        <v>0</v>
      </c>
    </row>
    <row r="21" spans="2:18" ht="15.75" customHeight="1">
      <c r="B21" s="417"/>
      <c r="C21" s="418"/>
      <c r="D21" s="418"/>
      <c r="E21" s="418"/>
      <c r="F21" s="418"/>
      <c r="G21" s="418"/>
      <c r="H21" s="418"/>
      <c r="I21" s="419"/>
      <c r="J21" s="3"/>
      <c r="L21" t="s">
        <v>81</v>
      </c>
      <c r="M21" s="312">
        <f>SUMIFS('ANEXO 1 - Detalhes Técnicos'!$O$1:$O$150,'ANEXO 1 - Detalhes Técnicos'!$N$1:$N$150,'RESUMO DEFESA'!$K$16,'ANEXO 1 - Detalhes Técnicos'!$B$1:$B$150,'RESUMO DEFESA'!$M$15,'ANEXO 1 - Detalhes Técnicos'!$A$1:$A$150,'RESUMO DEFESA'!L21,'ANEXO 1 - Detalhes Técnicos'!$D$1:$D$150,"SIM")</f>
        <v>0</v>
      </c>
      <c r="N21" s="312">
        <f>SUMIFS('ANEXO 1 - Detalhes Técnicos'!$O$1:$O$150,'ANEXO 1 - Detalhes Técnicos'!$N$1:$N$150,'RESUMO DEFESA'!$K$16,'ANEXO 1 - Detalhes Técnicos'!$B$1:$B$150,'RESUMO DEFESA'!$N$15,'ANEXO 1 - Detalhes Técnicos'!$A$1:$A$150,'RESUMO DEFESA'!L21,'ANEXO 1 - Detalhes Técnicos'!$D$1:$D$150,"SIM")</f>
        <v>0</v>
      </c>
      <c r="O21" s="312">
        <f>SUMIFS('ANEXO 1 - Detalhes Técnicos'!$O$1:$O$150,'ANEXO 1 - Detalhes Técnicos'!$N$1:$N$150,'RESUMO DEFESA'!$K$16,'ANEXO 1 - Detalhes Técnicos'!$B$1:$B$150,'RESUMO DEFESA'!$O$15,'ANEXO 1 - Detalhes Técnicos'!$A$1:$A$150,'RESUMO DEFESA'!L21,'ANEXO 1 - Detalhes Técnicos'!$D$1:$D$150,"SIM")</f>
        <v>0</v>
      </c>
      <c r="P21" s="313">
        <f>SUMIFS('ANEXO 1 - Detalhes Técnicos'!$O$1:$O$150,'ANEXO 1 - Detalhes Técnicos'!$N$1:$N$150,'RESUMO DEFESA'!$K$16,'ANEXO 1 - Detalhes Técnicos'!$B$1:$B$150,'RESUMO DEFESA'!$P$15,'ANEXO 1 - Detalhes Técnicos'!$A$1:$A$150,'RESUMO DEFESA'!L21,'ANEXO 1 - Detalhes Técnicos'!$D$1:$D$150,"SIM")</f>
        <v>0</v>
      </c>
      <c r="Q21" s="312">
        <f>SUMIFS('ANEXO 1 - Detalhes Técnicos'!$O$1:$O$150,'ANEXO 1 - Detalhes Técnicos'!$N$1:$N$150,'RESUMO DEFESA'!$K$16,'ANEXO 1 - Detalhes Técnicos'!$B$1:$B$150,'RESUMO DEFESA'!$Q$15,'ANEXO 1 - Detalhes Técnicos'!$A$1:$A$150,'RESUMO DEFESA'!L21,'ANEXO 1 - Detalhes Técnicos'!$D$1:$D$150,"SIM")</f>
        <v>0</v>
      </c>
      <c r="R21" s="312">
        <f t="shared" si="0"/>
        <v>0</v>
      </c>
    </row>
    <row r="22" spans="2:18" ht="15.75" customHeight="1">
      <c r="B22" s="420"/>
      <c r="C22" s="421"/>
      <c r="D22" s="421"/>
      <c r="E22" s="421"/>
      <c r="F22" s="421"/>
      <c r="G22" s="421"/>
      <c r="H22" s="421"/>
      <c r="I22" s="422"/>
      <c r="J22" s="3"/>
      <c r="L22" t="s">
        <v>88</v>
      </c>
      <c r="M22" s="312">
        <f>SUMIFS('ANEXO 1 - Detalhes Técnicos'!$O$1:$O$150,'ANEXO 1 - Detalhes Técnicos'!$N$1:$N$150,'RESUMO DEFESA'!$K$16,'ANEXO 1 - Detalhes Técnicos'!$B$1:$B$150,'RESUMO DEFESA'!$M$15,'ANEXO 1 - Detalhes Técnicos'!$A$1:$A$150,'RESUMO DEFESA'!L22,'ANEXO 1 - Detalhes Técnicos'!$D$1:$D$150,"SIM")</f>
        <v>0</v>
      </c>
      <c r="N22" s="312">
        <f>SUMIFS('ANEXO 1 - Detalhes Técnicos'!$O$1:$O$150,'ANEXO 1 - Detalhes Técnicos'!$N$1:$N$150,'RESUMO DEFESA'!$K$16,'ANEXO 1 - Detalhes Técnicos'!$B$1:$B$150,'RESUMO DEFESA'!$N$15,'ANEXO 1 - Detalhes Técnicos'!$A$1:$A$150,'RESUMO DEFESA'!L22,'ANEXO 1 - Detalhes Técnicos'!$D$1:$D$150,"SIM")</f>
        <v>0</v>
      </c>
      <c r="O22" s="312">
        <f>SUMIFS('ANEXO 1 - Detalhes Técnicos'!$O$1:$O$150,'ANEXO 1 - Detalhes Técnicos'!$N$1:$N$150,'RESUMO DEFESA'!$K$16,'ANEXO 1 - Detalhes Técnicos'!$B$1:$B$150,'RESUMO DEFESA'!$O$15,'ANEXO 1 - Detalhes Técnicos'!$A$1:$A$150,'RESUMO DEFESA'!L22,'ANEXO 1 - Detalhes Técnicos'!$D$1:$D$150,"SIM")</f>
        <v>0</v>
      </c>
      <c r="P22" s="313">
        <f>SUMIFS('ANEXO 1 - Detalhes Técnicos'!$O$1:$O$150,'ANEXO 1 - Detalhes Técnicos'!$N$1:$N$150,'RESUMO DEFESA'!$K$16,'ANEXO 1 - Detalhes Técnicos'!$B$1:$B$150,'RESUMO DEFESA'!$P$15,'ANEXO 1 - Detalhes Técnicos'!$A$1:$A$150,'RESUMO DEFESA'!L22,'ANEXO 1 - Detalhes Técnicos'!$D$1:$D$150,"SIM")</f>
        <v>0</v>
      </c>
      <c r="Q22" s="312">
        <f>SUMIFS('ANEXO 1 - Detalhes Técnicos'!$O$1:$O$150,'ANEXO 1 - Detalhes Técnicos'!$N$1:$N$150,'RESUMO DEFESA'!$K$16,'ANEXO 1 - Detalhes Técnicos'!$B$1:$B$150,'RESUMO DEFESA'!$Q$15,'ANEXO 1 - Detalhes Técnicos'!$A$1:$A$150,'RESUMO DEFESA'!L22,'ANEXO 1 - Detalhes Técnicos'!$D$1:$D$150,"SIM")</f>
        <v>0</v>
      </c>
      <c r="R22" s="312">
        <f t="shared" si="0"/>
        <v>0</v>
      </c>
    </row>
    <row r="23" spans="2:18" ht="15.75" customHeight="1">
      <c r="B23" s="305"/>
      <c r="C23" s="305"/>
      <c r="D23" s="305"/>
      <c r="E23" s="305"/>
      <c r="F23" s="305"/>
      <c r="G23" s="305"/>
      <c r="H23" s="305"/>
      <c r="I23" s="305"/>
      <c r="J23" s="3"/>
      <c r="L23" t="s">
        <v>95</v>
      </c>
      <c r="M23" s="312">
        <f>SUMIFS('ANEXO 1 - Detalhes Técnicos'!$O$1:$O$150,'ANEXO 1 - Detalhes Técnicos'!$N$1:$N$150,'RESUMO DEFESA'!$K$16,'ANEXO 1 - Detalhes Técnicos'!$B$1:$B$150,'RESUMO DEFESA'!$M$15,'ANEXO 1 - Detalhes Técnicos'!$A$1:$A$150,'RESUMO DEFESA'!L23,'ANEXO 1 - Detalhes Técnicos'!$D$1:$D$150,"SIM")</f>
        <v>0</v>
      </c>
      <c r="N23" s="312">
        <f>SUMIFS('ANEXO 1 - Detalhes Técnicos'!$O$1:$O$150,'ANEXO 1 - Detalhes Técnicos'!$N$1:$N$150,'RESUMO DEFESA'!$K$16,'ANEXO 1 - Detalhes Técnicos'!$B$1:$B$150,'RESUMO DEFESA'!$N$15,'ANEXO 1 - Detalhes Técnicos'!$A$1:$A$150,'RESUMO DEFESA'!L23,'ANEXO 1 - Detalhes Técnicos'!$D$1:$D$150,"SIM")</f>
        <v>0</v>
      </c>
      <c r="O23" s="312">
        <f>SUMIFS('ANEXO 1 - Detalhes Técnicos'!$O$1:$O$150,'ANEXO 1 - Detalhes Técnicos'!$N$1:$N$150,'RESUMO DEFESA'!$K$16,'ANEXO 1 - Detalhes Técnicos'!$B$1:$B$150,'RESUMO DEFESA'!$O$15,'ANEXO 1 - Detalhes Técnicos'!$A$1:$A$150,'RESUMO DEFESA'!L23,'ANEXO 1 - Detalhes Técnicos'!$D$1:$D$150,"SIM")</f>
        <v>0</v>
      </c>
      <c r="P23" s="313">
        <f>SUMIFS('ANEXO 1 - Detalhes Técnicos'!$O$1:$O$150,'ANEXO 1 - Detalhes Técnicos'!$N$1:$N$150,'RESUMO DEFESA'!$K$16,'ANEXO 1 - Detalhes Técnicos'!$B$1:$B$150,'RESUMO DEFESA'!$P$15,'ANEXO 1 - Detalhes Técnicos'!$A$1:$A$150,'RESUMO DEFESA'!L23,'ANEXO 1 - Detalhes Técnicos'!$D$1:$D$150,"SIM")</f>
        <v>0</v>
      </c>
      <c r="Q23" s="312">
        <f>SUMIFS('ANEXO 1 - Detalhes Técnicos'!$O$1:$O$150,'ANEXO 1 - Detalhes Técnicos'!$N$1:$N$150,'RESUMO DEFESA'!$K$16,'ANEXO 1 - Detalhes Técnicos'!$B$1:$B$150,'RESUMO DEFESA'!$Q$15,'ANEXO 1 - Detalhes Técnicos'!$A$1:$A$150,'RESUMO DEFESA'!L23,'ANEXO 1 - Detalhes Técnicos'!$D$1:$D$150,"SIM")</f>
        <v>0</v>
      </c>
      <c r="R23" s="312">
        <f t="shared" si="0"/>
        <v>0</v>
      </c>
    </row>
    <row r="24" spans="2:18" ht="15.75" customHeight="1">
      <c r="B24" s="434" t="s">
        <v>408</v>
      </c>
      <c r="C24" s="434"/>
      <c r="D24" s="434"/>
      <c r="L24" t="s">
        <v>102</v>
      </c>
      <c r="M24" s="312">
        <f>SUMIFS('ANEXO 1 - Detalhes Técnicos'!$O$1:$O$150,'ANEXO 1 - Detalhes Técnicos'!$N$1:$N$150,'RESUMO DEFESA'!$K$16,'ANEXO 1 - Detalhes Técnicos'!$B$1:$B$150,'RESUMO DEFESA'!$M$15,'ANEXO 1 - Detalhes Técnicos'!$A$1:$A$150,'RESUMO DEFESA'!L24,'ANEXO 1 - Detalhes Técnicos'!$D$1:$D$150,"SIM")</f>
        <v>0</v>
      </c>
      <c r="N24" s="312">
        <f>SUMIFS('ANEXO 1 - Detalhes Técnicos'!$O$1:$O$150,'ANEXO 1 - Detalhes Técnicos'!$N$1:$N$150,'RESUMO DEFESA'!$K$16,'ANEXO 1 - Detalhes Técnicos'!$B$1:$B$150,'RESUMO DEFESA'!$N$15,'ANEXO 1 - Detalhes Técnicos'!$A$1:$A$150,'RESUMO DEFESA'!L24,'ANEXO 1 - Detalhes Técnicos'!$D$1:$D$150,"SIM")</f>
        <v>0</v>
      </c>
      <c r="O24" s="312">
        <f>SUMIFS('ANEXO 1 - Detalhes Técnicos'!$O$1:$O$150,'ANEXO 1 - Detalhes Técnicos'!$N$1:$N$150,'RESUMO DEFESA'!$K$16,'ANEXO 1 - Detalhes Técnicos'!$B$1:$B$150,'RESUMO DEFESA'!$O$15,'ANEXO 1 - Detalhes Técnicos'!$A$1:$A$150,'RESUMO DEFESA'!L24,'ANEXO 1 - Detalhes Técnicos'!$D$1:$D$150,"SIM")</f>
        <v>0</v>
      </c>
      <c r="P24" s="313">
        <f>SUMIFS('ANEXO 1 - Detalhes Técnicos'!$O$1:$O$150,'ANEXO 1 - Detalhes Técnicos'!$N$1:$N$150,'RESUMO DEFESA'!$K$16,'ANEXO 1 - Detalhes Técnicos'!$B$1:$B$150,'RESUMO DEFESA'!$P$15,'ANEXO 1 - Detalhes Técnicos'!$A$1:$A$150,'RESUMO DEFESA'!L24,'ANEXO 1 - Detalhes Técnicos'!$D$1:$D$150,"SIM")</f>
        <v>0</v>
      </c>
      <c r="Q24" s="312">
        <f>SUMIFS('ANEXO 1 - Detalhes Técnicos'!$O$1:$O$150,'ANEXO 1 - Detalhes Técnicos'!$N$1:$N$150,'RESUMO DEFESA'!$K$16,'ANEXO 1 - Detalhes Técnicos'!$B$1:$B$150,'RESUMO DEFESA'!$Q$15,'ANEXO 1 - Detalhes Técnicos'!$A$1:$A$150,'RESUMO DEFESA'!L24,'ANEXO 1 - Detalhes Técnicos'!$D$1:$D$150,"SIM")</f>
        <v>0</v>
      </c>
      <c r="R24" s="312">
        <f t="shared" si="0"/>
        <v>0</v>
      </c>
    </row>
    <row r="25" spans="2:18" ht="15.75" customHeight="1">
      <c r="B25" s="414" t="s">
        <v>409</v>
      </c>
      <c r="C25" s="415"/>
      <c r="D25" s="415"/>
      <c r="E25" s="415"/>
      <c r="F25" s="415"/>
      <c r="G25" s="415"/>
      <c r="H25" s="415"/>
      <c r="I25" s="416"/>
      <c r="L25" t="s">
        <v>108</v>
      </c>
      <c r="M25" s="312">
        <f>SUMIFS('ANEXO 1 - Detalhes Técnicos'!$O$1:$O$150,'ANEXO 1 - Detalhes Técnicos'!$N$1:$N$150,'RESUMO DEFESA'!$K$16,'ANEXO 1 - Detalhes Técnicos'!$B$1:$B$150,'RESUMO DEFESA'!$M$15,'ANEXO 1 - Detalhes Técnicos'!$A$1:$A$150,'RESUMO DEFESA'!L25,'ANEXO 1 - Detalhes Técnicos'!$D$1:$D$150,"SIM")</f>
        <v>0</v>
      </c>
      <c r="N25" s="312">
        <f>SUMIFS('ANEXO 1 - Detalhes Técnicos'!$O$1:$O$150,'ANEXO 1 - Detalhes Técnicos'!$N$1:$N$150,'RESUMO DEFESA'!$K$16,'ANEXO 1 - Detalhes Técnicos'!$B$1:$B$150,'RESUMO DEFESA'!$N$15,'ANEXO 1 - Detalhes Técnicos'!$A$1:$A$150,'RESUMO DEFESA'!L25,'ANEXO 1 - Detalhes Técnicos'!$D$1:$D$150,"SIM")</f>
        <v>0</v>
      </c>
      <c r="O25" s="312">
        <f>SUMIFS('ANEXO 1 - Detalhes Técnicos'!$O$1:$O$150,'ANEXO 1 - Detalhes Técnicos'!$N$1:$N$150,'RESUMO DEFESA'!$K$16,'ANEXO 1 - Detalhes Técnicos'!$B$1:$B$150,'RESUMO DEFESA'!$O$15,'ANEXO 1 - Detalhes Técnicos'!$A$1:$A$150,'RESUMO DEFESA'!L25,'ANEXO 1 - Detalhes Técnicos'!$D$1:$D$150,"SIM")</f>
        <v>0</v>
      </c>
      <c r="P25" s="313">
        <f>SUMIFS('ANEXO 1 - Detalhes Técnicos'!$O$1:$O$150,'ANEXO 1 - Detalhes Técnicos'!$N$1:$N$150,'RESUMO DEFESA'!$K$16,'ANEXO 1 - Detalhes Técnicos'!$B$1:$B$150,'RESUMO DEFESA'!$P$15,'ANEXO 1 - Detalhes Técnicos'!$A$1:$A$150,'RESUMO DEFESA'!L25,'ANEXO 1 - Detalhes Técnicos'!$D$1:$D$150,"SIM")</f>
        <v>0</v>
      </c>
      <c r="Q25" s="312">
        <f>SUMIFS('ANEXO 1 - Detalhes Técnicos'!$O$1:$O$150,'ANEXO 1 - Detalhes Técnicos'!$N$1:$N$150,'RESUMO DEFESA'!$K$16,'ANEXO 1 - Detalhes Técnicos'!$B$1:$B$150,'RESUMO DEFESA'!$Q$15,'ANEXO 1 - Detalhes Técnicos'!$A$1:$A$150,'RESUMO DEFESA'!L25,'ANEXO 1 - Detalhes Técnicos'!$D$1:$D$150,"SIM")</f>
        <v>0</v>
      </c>
      <c r="R25" s="312">
        <f t="shared" si="0"/>
        <v>0</v>
      </c>
    </row>
    <row r="26" spans="2:18" ht="15.75" customHeight="1" thickBot="1">
      <c r="B26" s="417"/>
      <c r="C26" s="418"/>
      <c r="D26" s="418"/>
      <c r="E26" s="418"/>
      <c r="F26" s="418"/>
      <c r="G26" s="418"/>
      <c r="H26" s="418"/>
      <c r="I26" s="419"/>
      <c r="J26" s="3"/>
      <c r="K26" s="309" t="s">
        <v>410</v>
      </c>
      <c r="L26" s="308"/>
      <c r="M26" s="314">
        <f>SUM(M16:M25)</f>
        <v>0</v>
      </c>
      <c r="N26" s="314">
        <f t="shared" ref="N26:Q26" si="1">SUM(N16:N25)</f>
        <v>0</v>
      </c>
      <c r="O26" s="314">
        <f t="shared" si="1"/>
        <v>0</v>
      </c>
      <c r="P26" s="314">
        <f t="shared" si="1"/>
        <v>0</v>
      </c>
      <c r="Q26" s="314">
        <f t="shared" si="1"/>
        <v>0</v>
      </c>
      <c r="R26" s="314">
        <f>SUM(R16:R25)</f>
        <v>0</v>
      </c>
    </row>
    <row r="27" spans="2:18" ht="15.75" customHeight="1" thickTop="1">
      <c r="B27" s="417"/>
      <c r="C27" s="418"/>
      <c r="D27" s="418"/>
      <c r="E27" s="418"/>
      <c r="F27" s="418"/>
      <c r="G27" s="418"/>
      <c r="H27" s="418"/>
      <c r="I27" s="419"/>
      <c r="K27" s="211" t="s">
        <v>402</v>
      </c>
      <c r="L27" t="s">
        <v>18</v>
      </c>
      <c r="M27" s="315">
        <f>SUMIFS('ANEXO 1 - Detalhes Técnicos'!$O$1:$O$150,'ANEXO 1 - Detalhes Técnicos'!$N$1:$N$150,'RESUMO DEFESA'!$K$27,'ANEXO 1 - Detalhes Técnicos'!$B$1:$B$150,'RESUMO DEFESA'!$M$15,'ANEXO 1 - Detalhes Técnicos'!$A$1:$A$150,'RESUMO DEFESA'!L27,'ANEXO 1 - Detalhes Técnicos'!$D$1:$D$150,"SIM")</f>
        <v>0</v>
      </c>
      <c r="N27" s="315">
        <f>SUMIFS('ANEXO 1 - Detalhes Técnicos'!$O$1:$O$150,'ANEXO 1 - Detalhes Técnicos'!$N$1:$N$150,'RESUMO DEFESA'!$K$27,'ANEXO 1 - Detalhes Técnicos'!$B$1:$B$150,'RESUMO DEFESA'!$N$15,'ANEXO 1 - Detalhes Técnicos'!$A$1:$A$150,'RESUMO DEFESA'!L27,'ANEXO 1 - Detalhes Técnicos'!$D$1:$D$150,"SIM")</f>
        <v>0</v>
      </c>
      <c r="O27" s="315">
        <f>SUMIFS('ANEXO 1 - Detalhes Técnicos'!$O$1:$O$150,'ANEXO 1 - Detalhes Técnicos'!$N$1:$N$150,'RESUMO DEFESA'!$K$27,'ANEXO 1 - Detalhes Técnicos'!$B$1:$B$150,'RESUMO DEFESA'!$O$15,'ANEXO 1 - Detalhes Técnicos'!$A$1:$A$150,'RESUMO DEFESA'!L27,'ANEXO 1 - Detalhes Técnicos'!$D$1:$D$150,"SIM")</f>
        <v>0</v>
      </c>
      <c r="P27" s="316">
        <f>SUMIFS('ANEXO 1 - Detalhes Técnicos'!$O$1:$O$150,'ANEXO 1 - Detalhes Técnicos'!$N$1:$N$150,'RESUMO DEFESA'!$K$27,'ANEXO 1 - Detalhes Técnicos'!$B$1:$B$150,'RESUMO DEFESA'!$P$15,'ANEXO 1 - Detalhes Técnicos'!$A$1:$A$150,'RESUMO DEFESA'!L27,'ANEXO 1 - Detalhes Técnicos'!$D$1:$D$150,"SIM")</f>
        <v>0</v>
      </c>
      <c r="Q27" s="315">
        <f>SUMIFS('ANEXO 1 - Detalhes Técnicos'!$O$1:$O$150,'ANEXO 1 - Detalhes Técnicos'!$N$1:$N$150,'RESUMO DEFESA'!$K$27,'ANEXO 1 - Detalhes Técnicos'!$B$1:$B$150,'RESUMO DEFESA'!$Q$15,'ANEXO 1 - Detalhes Técnicos'!$A$1:$A$150,'RESUMO DEFESA'!L27,'ANEXO 1 - Detalhes Técnicos'!$D$1:$D$150,"SIM")</f>
        <v>0</v>
      </c>
      <c r="R27" s="315">
        <f>SUM(M27:Q27)</f>
        <v>0</v>
      </c>
    </row>
    <row r="28" spans="2:18" ht="15.75" customHeight="1">
      <c r="B28" s="417"/>
      <c r="C28" s="418"/>
      <c r="D28" s="418"/>
      <c r="E28" s="418"/>
      <c r="F28" s="418"/>
      <c r="G28" s="418"/>
      <c r="H28" s="418"/>
      <c r="I28" s="419"/>
      <c r="K28" s="211"/>
      <c r="L28" s="211" t="s">
        <v>31</v>
      </c>
      <c r="M28" s="315">
        <f>SUMIFS('ANEXO 1 - Detalhes Técnicos'!$O$1:$O$150,'ANEXO 1 - Detalhes Técnicos'!$N$1:$N$150,'RESUMO DEFESA'!$K$27,'ANEXO 1 - Detalhes Técnicos'!$B$1:$B$150,'RESUMO DEFESA'!$M$15,'ANEXO 1 - Detalhes Técnicos'!$A$1:$A$150,'RESUMO DEFESA'!L28,'ANEXO 1 - Detalhes Técnicos'!$D$1:$D$150,"SIM")</f>
        <v>0</v>
      </c>
      <c r="N28" s="315">
        <f>SUMIFS('ANEXO 1 - Detalhes Técnicos'!$O$1:$O$150,'ANEXO 1 - Detalhes Técnicos'!$N$1:$N$150,'RESUMO DEFESA'!$K$27,'ANEXO 1 - Detalhes Técnicos'!$B$1:$B$150,'RESUMO DEFESA'!$N$15,'ANEXO 1 - Detalhes Técnicos'!$A$1:$A$150,'RESUMO DEFESA'!L28,'ANEXO 1 - Detalhes Técnicos'!$D$1:$D$150,"SIM")</f>
        <v>0</v>
      </c>
      <c r="O28" s="315">
        <f>SUMIFS('ANEXO 1 - Detalhes Técnicos'!$O$1:$O$150,'ANEXO 1 - Detalhes Técnicos'!$N$1:$N$150,'RESUMO DEFESA'!$K$27,'ANEXO 1 - Detalhes Técnicos'!$B$1:$B$150,'RESUMO DEFESA'!$O$15,'ANEXO 1 - Detalhes Técnicos'!$A$1:$A$150,'RESUMO DEFESA'!L28,'ANEXO 1 - Detalhes Técnicos'!$D$1:$D$150,"SIM")</f>
        <v>0</v>
      </c>
      <c r="P28" s="316">
        <f>SUMIFS('ANEXO 1 - Detalhes Técnicos'!$O$1:$O$150,'ANEXO 1 - Detalhes Técnicos'!$N$1:$N$150,'RESUMO DEFESA'!$K$27,'ANEXO 1 - Detalhes Técnicos'!$B$1:$B$150,'RESUMO DEFESA'!$P$15,'ANEXO 1 - Detalhes Técnicos'!$A$1:$A$150,'RESUMO DEFESA'!L28,'ANEXO 1 - Detalhes Técnicos'!$D$1:$D$150,"SIM")</f>
        <v>0</v>
      </c>
      <c r="Q28" s="315">
        <f>SUMIFS('ANEXO 1 - Detalhes Técnicos'!$O$1:$O$150,'ANEXO 1 - Detalhes Técnicos'!$N$1:$N$150,'RESUMO DEFESA'!$K$27,'ANEXO 1 - Detalhes Técnicos'!$B$1:$B$150,'RESUMO DEFESA'!$Q$15,'ANEXO 1 - Detalhes Técnicos'!$A$1:$A$150,'RESUMO DEFESA'!L28,'ANEXO 1 - Detalhes Técnicos'!$D$1:$D$150,"SIM")</f>
        <v>0</v>
      </c>
      <c r="R28" s="315">
        <f t="shared" ref="R28:R36" si="2">SUM(M28:Q28)</f>
        <v>0</v>
      </c>
    </row>
    <row r="29" spans="2:18" ht="15.75" customHeight="1">
      <c r="B29" s="417"/>
      <c r="C29" s="418"/>
      <c r="D29" s="418"/>
      <c r="E29" s="418"/>
      <c r="F29" s="418"/>
      <c r="G29" s="418"/>
      <c r="H29" s="418"/>
      <c r="I29" s="419"/>
      <c r="K29" s="211"/>
      <c r="L29" s="211" t="s">
        <v>44</v>
      </c>
      <c r="M29" s="315">
        <f>SUMIFS('ANEXO 1 - Detalhes Técnicos'!$O$1:$O$150,'ANEXO 1 - Detalhes Técnicos'!$N$1:$N$150,'RESUMO DEFESA'!$K$27,'ANEXO 1 - Detalhes Técnicos'!$B$1:$B$150,'RESUMO DEFESA'!$M$15,'ANEXO 1 - Detalhes Técnicos'!$A$1:$A$150,'RESUMO DEFESA'!L29,'ANEXO 1 - Detalhes Técnicos'!$D$1:$D$150,"SIM")</f>
        <v>0</v>
      </c>
      <c r="N29" s="315">
        <f>SUMIFS('ANEXO 1 - Detalhes Técnicos'!$O$1:$O$150,'ANEXO 1 - Detalhes Técnicos'!$N$1:$N$150,'RESUMO DEFESA'!$K$27,'ANEXO 1 - Detalhes Técnicos'!$B$1:$B$150,'RESUMO DEFESA'!$N$15,'ANEXO 1 - Detalhes Técnicos'!$A$1:$A$150,'RESUMO DEFESA'!L29,'ANEXO 1 - Detalhes Técnicos'!$D$1:$D$150,"SIM")</f>
        <v>0</v>
      </c>
      <c r="O29" s="315">
        <f>SUMIFS('ANEXO 1 - Detalhes Técnicos'!$O$1:$O$150,'ANEXO 1 - Detalhes Técnicos'!$N$1:$N$150,'RESUMO DEFESA'!$K$27,'ANEXO 1 - Detalhes Técnicos'!$B$1:$B$150,'RESUMO DEFESA'!$O$15,'ANEXO 1 - Detalhes Técnicos'!$A$1:$A$150,'RESUMO DEFESA'!L29,'ANEXO 1 - Detalhes Técnicos'!$D$1:$D$150,"SIM")</f>
        <v>0</v>
      </c>
      <c r="P29" s="316">
        <f>SUMIFS('ANEXO 1 - Detalhes Técnicos'!$O$1:$O$150,'ANEXO 1 - Detalhes Técnicos'!$N$1:$N$150,'RESUMO DEFESA'!$K$27,'ANEXO 1 - Detalhes Técnicos'!$B$1:$B$150,'RESUMO DEFESA'!$P$15,'ANEXO 1 - Detalhes Técnicos'!$A$1:$A$150,'RESUMO DEFESA'!L29,'ANEXO 1 - Detalhes Técnicos'!$D$1:$D$150,"SIM")</f>
        <v>0</v>
      </c>
      <c r="Q29" s="315">
        <f>SUMIFS('ANEXO 1 - Detalhes Técnicos'!$O$1:$O$150,'ANEXO 1 - Detalhes Técnicos'!$N$1:$N$150,'RESUMO DEFESA'!$K$27,'ANEXO 1 - Detalhes Técnicos'!$B$1:$B$150,'RESUMO DEFESA'!$Q$15,'ANEXO 1 - Detalhes Técnicos'!$A$1:$A$150,'RESUMO DEFESA'!L29,'ANEXO 1 - Detalhes Técnicos'!$D$1:$D$150,"SIM")</f>
        <v>0</v>
      </c>
      <c r="R29" s="315">
        <f t="shared" si="2"/>
        <v>0</v>
      </c>
    </row>
    <row r="30" spans="2:18" ht="15.75" customHeight="1">
      <c r="B30" s="420"/>
      <c r="C30" s="421"/>
      <c r="D30" s="421"/>
      <c r="E30" s="421"/>
      <c r="F30" s="421"/>
      <c r="G30" s="421"/>
      <c r="H30" s="421"/>
      <c r="I30" s="422"/>
      <c r="K30" s="211"/>
      <c r="L30" s="211" t="s">
        <v>57</v>
      </c>
      <c r="M30" s="315">
        <f>SUMIFS('ANEXO 1 - Detalhes Técnicos'!$O$1:$O$150,'ANEXO 1 - Detalhes Técnicos'!$N$1:$N$150,'RESUMO DEFESA'!$K$27,'ANEXO 1 - Detalhes Técnicos'!$B$1:$B$150,'RESUMO DEFESA'!$M$15,'ANEXO 1 - Detalhes Técnicos'!$A$1:$A$150,'RESUMO DEFESA'!L30,'ANEXO 1 - Detalhes Técnicos'!$D$1:$D$150,"SIM")</f>
        <v>0</v>
      </c>
      <c r="N30" s="315">
        <f>SUMIFS('ANEXO 1 - Detalhes Técnicos'!$O$1:$O$150,'ANEXO 1 - Detalhes Técnicos'!$N$1:$N$150,'RESUMO DEFESA'!$K$27,'ANEXO 1 - Detalhes Técnicos'!$B$1:$B$150,'RESUMO DEFESA'!$N$15,'ANEXO 1 - Detalhes Técnicos'!$A$1:$A$150,'RESUMO DEFESA'!L30,'ANEXO 1 - Detalhes Técnicos'!$D$1:$D$150,"SIM")</f>
        <v>0</v>
      </c>
      <c r="O30" s="315">
        <f>SUMIFS('ANEXO 1 - Detalhes Técnicos'!$O$1:$O$150,'ANEXO 1 - Detalhes Técnicos'!$N$1:$N$150,'RESUMO DEFESA'!$K$27,'ANEXO 1 - Detalhes Técnicos'!$B$1:$B$150,'RESUMO DEFESA'!$O$15,'ANEXO 1 - Detalhes Técnicos'!$A$1:$A$150,'RESUMO DEFESA'!L30,'ANEXO 1 - Detalhes Técnicos'!$D$1:$D$150,"SIM")</f>
        <v>0</v>
      </c>
      <c r="P30" s="316">
        <f>SUMIFS('ANEXO 1 - Detalhes Técnicos'!$O$1:$O$150,'ANEXO 1 - Detalhes Técnicos'!$N$1:$N$150,'RESUMO DEFESA'!$K$27,'ANEXO 1 - Detalhes Técnicos'!$B$1:$B$150,'RESUMO DEFESA'!$P$15,'ANEXO 1 - Detalhes Técnicos'!$A$1:$A$150,'RESUMO DEFESA'!L30,'ANEXO 1 - Detalhes Técnicos'!$D$1:$D$150,"SIM")</f>
        <v>0</v>
      </c>
      <c r="Q30" s="315">
        <f>SUMIFS('ANEXO 1 - Detalhes Técnicos'!$O$1:$O$150,'ANEXO 1 - Detalhes Técnicos'!$N$1:$N$150,'RESUMO DEFESA'!$K$27,'ANEXO 1 - Detalhes Técnicos'!$B$1:$B$150,'RESUMO DEFESA'!$Q$15,'ANEXO 1 - Detalhes Técnicos'!$A$1:$A$150,'RESUMO DEFESA'!L30,'ANEXO 1 - Detalhes Técnicos'!$D$1:$D$150,"SIM")</f>
        <v>0</v>
      </c>
      <c r="R30" s="315">
        <f t="shared" si="2"/>
        <v>0</v>
      </c>
    </row>
    <row r="31" spans="2:18" ht="15.75" customHeight="1">
      <c r="B31" s="305"/>
      <c r="C31" s="305"/>
      <c r="D31" s="305"/>
      <c r="E31" s="305"/>
      <c r="F31" s="305"/>
      <c r="G31" s="305"/>
      <c r="H31" s="305"/>
      <c r="I31" s="305"/>
      <c r="K31" s="211"/>
      <c r="L31" s="211" t="s">
        <v>70</v>
      </c>
      <c r="M31" s="315">
        <f>SUMIFS('ANEXO 1 - Detalhes Técnicos'!$O$1:$O$150,'ANEXO 1 - Detalhes Técnicos'!$N$1:$N$150,'RESUMO DEFESA'!$K$27,'ANEXO 1 - Detalhes Técnicos'!$B$1:$B$150,'RESUMO DEFESA'!$M$15,'ANEXO 1 - Detalhes Técnicos'!$A$1:$A$150,'RESUMO DEFESA'!L31,'ANEXO 1 - Detalhes Técnicos'!$D$1:$D$150,"SIM")</f>
        <v>0</v>
      </c>
      <c r="N31" s="315">
        <f>SUMIFS('ANEXO 1 - Detalhes Técnicos'!$O$1:$O$150,'ANEXO 1 - Detalhes Técnicos'!$N$1:$N$150,'RESUMO DEFESA'!$K$27,'ANEXO 1 - Detalhes Técnicos'!$B$1:$B$150,'RESUMO DEFESA'!$N$15,'ANEXO 1 - Detalhes Técnicos'!$A$1:$A$150,'RESUMO DEFESA'!L31,'ANEXO 1 - Detalhes Técnicos'!$D$1:$D$150,"SIM")</f>
        <v>0</v>
      </c>
      <c r="O31" s="315">
        <f>SUMIFS('ANEXO 1 - Detalhes Técnicos'!$O$1:$O$150,'ANEXO 1 - Detalhes Técnicos'!$N$1:$N$150,'RESUMO DEFESA'!$K$27,'ANEXO 1 - Detalhes Técnicos'!$B$1:$B$150,'RESUMO DEFESA'!$O$15,'ANEXO 1 - Detalhes Técnicos'!$A$1:$A$150,'RESUMO DEFESA'!L31,'ANEXO 1 - Detalhes Técnicos'!$D$1:$D$150,"SIM")</f>
        <v>0</v>
      </c>
      <c r="P31" s="316">
        <f>SUMIFS('ANEXO 1 - Detalhes Técnicos'!$O$1:$O$150,'ANEXO 1 - Detalhes Técnicos'!$N$1:$N$150,'RESUMO DEFESA'!$K$27,'ANEXO 1 - Detalhes Técnicos'!$B$1:$B$150,'RESUMO DEFESA'!$P$15,'ANEXO 1 - Detalhes Técnicos'!$A$1:$A$150,'RESUMO DEFESA'!L31,'ANEXO 1 - Detalhes Técnicos'!$D$1:$D$150,"SIM")</f>
        <v>0</v>
      </c>
      <c r="Q31" s="315">
        <f>SUMIFS('ANEXO 1 - Detalhes Técnicos'!$O$1:$O$150,'ANEXO 1 - Detalhes Técnicos'!$N$1:$N$150,'RESUMO DEFESA'!$K$27,'ANEXO 1 - Detalhes Técnicos'!$B$1:$B$150,'RESUMO DEFESA'!$Q$15,'ANEXO 1 - Detalhes Técnicos'!$A$1:$A$150,'RESUMO DEFESA'!L31,'ANEXO 1 - Detalhes Técnicos'!$D$1:$D$150,"SIM")</f>
        <v>0</v>
      </c>
      <c r="R31" s="315">
        <f t="shared" si="2"/>
        <v>0</v>
      </c>
    </row>
    <row r="32" spans="2:18" ht="15.75" customHeight="1">
      <c r="B32" s="432" t="s">
        <v>411</v>
      </c>
      <c r="C32" s="432"/>
      <c r="D32" s="432"/>
      <c r="K32" s="211"/>
      <c r="L32" s="211" t="s">
        <v>81</v>
      </c>
      <c r="M32" s="315">
        <f>SUMIFS('ANEXO 1 - Detalhes Técnicos'!$O$1:$O$150,'ANEXO 1 - Detalhes Técnicos'!$N$1:$N$150,'RESUMO DEFESA'!$K$27,'ANEXO 1 - Detalhes Técnicos'!$B$1:$B$150,'RESUMO DEFESA'!$M$15,'ANEXO 1 - Detalhes Técnicos'!$A$1:$A$150,'RESUMO DEFESA'!L32,'ANEXO 1 - Detalhes Técnicos'!$D$1:$D$150,"SIM")</f>
        <v>0</v>
      </c>
      <c r="N32" s="315">
        <f>SUMIFS('ANEXO 1 - Detalhes Técnicos'!$O$1:$O$150,'ANEXO 1 - Detalhes Técnicos'!$N$1:$N$150,'RESUMO DEFESA'!$K$27,'ANEXO 1 - Detalhes Técnicos'!$B$1:$B$150,'RESUMO DEFESA'!$N$15,'ANEXO 1 - Detalhes Técnicos'!$A$1:$A$150,'RESUMO DEFESA'!L32,'ANEXO 1 - Detalhes Técnicos'!$D$1:$D$150,"SIM")</f>
        <v>0</v>
      </c>
      <c r="O32" s="315">
        <f>SUMIFS('ANEXO 1 - Detalhes Técnicos'!$O$1:$O$150,'ANEXO 1 - Detalhes Técnicos'!$N$1:$N$150,'RESUMO DEFESA'!$K$27,'ANEXO 1 - Detalhes Técnicos'!$B$1:$B$150,'RESUMO DEFESA'!$O$15,'ANEXO 1 - Detalhes Técnicos'!$A$1:$A$150,'RESUMO DEFESA'!L32,'ANEXO 1 - Detalhes Técnicos'!$D$1:$D$150,"SIM")</f>
        <v>0</v>
      </c>
      <c r="P32" s="316">
        <f>SUMIFS('ANEXO 1 - Detalhes Técnicos'!$O$1:$O$150,'ANEXO 1 - Detalhes Técnicos'!$N$1:$N$150,'RESUMO DEFESA'!$K$27,'ANEXO 1 - Detalhes Técnicos'!$B$1:$B$150,'RESUMO DEFESA'!$P$15,'ANEXO 1 - Detalhes Técnicos'!$A$1:$A$150,'RESUMO DEFESA'!L32,'ANEXO 1 - Detalhes Técnicos'!$D$1:$D$150,"SIM")</f>
        <v>0</v>
      </c>
      <c r="Q32" s="315">
        <f>SUMIFS('ANEXO 1 - Detalhes Técnicos'!$O$1:$O$150,'ANEXO 1 - Detalhes Técnicos'!$N$1:$N$150,'RESUMO DEFESA'!$K$27,'ANEXO 1 - Detalhes Técnicos'!$B$1:$B$150,'RESUMO DEFESA'!$Q$15,'ANEXO 1 - Detalhes Técnicos'!$A$1:$A$150,'RESUMO DEFESA'!L32,'ANEXO 1 - Detalhes Técnicos'!$D$1:$D$150,"SIM")</f>
        <v>0</v>
      </c>
      <c r="R32" s="315">
        <f t="shared" si="2"/>
        <v>0</v>
      </c>
    </row>
    <row r="33" spans="2:18" ht="15.75" customHeight="1">
      <c r="B33" s="319"/>
      <c r="C33" s="262"/>
      <c r="D33" s="262"/>
      <c r="E33" s="262"/>
      <c r="F33" s="262"/>
      <c r="G33" s="262"/>
      <c r="H33" s="262"/>
      <c r="I33" s="263"/>
      <c r="K33" s="211"/>
      <c r="L33" s="211" t="s">
        <v>88</v>
      </c>
      <c r="M33" s="315">
        <f>SUMIFS('ANEXO 1 - Detalhes Técnicos'!$O$1:$O$150,'ANEXO 1 - Detalhes Técnicos'!$N$1:$N$150,'RESUMO DEFESA'!$K$27,'ANEXO 1 - Detalhes Técnicos'!$B$1:$B$150,'RESUMO DEFESA'!$M$15,'ANEXO 1 - Detalhes Técnicos'!$A$1:$A$150,'RESUMO DEFESA'!L33,'ANEXO 1 - Detalhes Técnicos'!$D$1:$D$150,"SIM")</f>
        <v>0</v>
      </c>
      <c r="N33" s="315">
        <f>SUMIFS('ANEXO 1 - Detalhes Técnicos'!$O$1:$O$150,'ANEXO 1 - Detalhes Técnicos'!$N$1:$N$150,'RESUMO DEFESA'!$K$27,'ANEXO 1 - Detalhes Técnicos'!$B$1:$B$150,'RESUMO DEFESA'!$N$15,'ANEXO 1 - Detalhes Técnicos'!$A$1:$A$150,'RESUMO DEFESA'!L33,'ANEXO 1 - Detalhes Técnicos'!$D$1:$D$150,"SIM")</f>
        <v>0</v>
      </c>
      <c r="O33" s="315">
        <f>SUMIFS('ANEXO 1 - Detalhes Técnicos'!$O$1:$O$150,'ANEXO 1 - Detalhes Técnicos'!$N$1:$N$150,'RESUMO DEFESA'!$K$27,'ANEXO 1 - Detalhes Técnicos'!$B$1:$B$150,'RESUMO DEFESA'!$O$15,'ANEXO 1 - Detalhes Técnicos'!$A$1:$A$150,'RESUMO DEFESA'!L33,'ANEXO 1 - Detalhes Técnicos'!$D$1:$D$150,"SIM")</f>
        <v>0</v>
      </c>
      <c r="P33" s="316">
        <f>SUMIFS('ANEXO 1 - Detalhes Técnicos'!$O$1:$O$150,'ANEXO 1 - Detalhes Técnicos'!$N$1:$N$150,'RESUMO DEFESA'!$K$27,'ANEXO 1 - Detalhes Técnicos'!$B$1:$B$150,'RESUMO DEFESA'!$P$15,'ANEXO 1 - Detalhes Técnicos'!$A$1:$A$150,'RESUMO DEFESA'!L33,'ANEXO 1 - Detalhes Técnicos'!$D$1:$D$150,"SIM")</f>
        <v>0</v>
      </c>
      <c r="Q33" s="315">
        <f>SUMIFS('ANEXO 1 - Detalhes Técnicos'!$O$1:$O$150,'ANEXO 1 - Detalhes Técnicos'!$N$1:$N$150,'RESUMO DEFESA'!$K$27,'ANEXO 1 - Detalhes Técnicos'!$B$1:$B$150,'RESUMO DEFESA'!$Q$15,'ANEXO 1 - Detalhes Técnicos'!$A$1:$A$150,'RESUMO DEFESA'!L33,'ANEXO 1 - Detalhes Técnicos'!$D$1:$D$150,"SIM")</f>
        <v>0</v>
      </c>
      <c r="R33" s="315">
        <f t="shared" si="2"/>
        <v>0</v>
      </c>
    </row>
    <row r="34" spans="2:18" ht="15.75" customHeight="1">
      <c r="B34" s="439" t="s">
        <v>412</v>
      </c>
      <c r="C34" s="341"/>
      <c r="D34" s="293" t="s">
        <v>413</v>
      </c>
      <c r="E34" s="288"/>
      <c r="F34" s="326" t="s">
        <v>414</v>
      </c>
      <c r="G34" s="292"/>
      <c r="H34" s="287"/>
      <c r="I34" s="264"/>
      <c r="K34" s="211"/>
      <c r="L34" s="211" t="s">
        <v>95</v>
      </c>
      <c r="M34" s="315">
        <f>SUMIFS('ANEXO 1 - Detalhes Técnicos'!$O$1:$O$150,'ANEXO 1 - Detalhes Técnicos'!$N$1:$N$150,'RESUMO DEFESA'!$K$27,'ANEXO 1 - Detalhes Técnicos'!$B$1:$B$150,'RESUMO DEFESA'!$M$15,'ANEXO 1 - Detalhes Técnicos'!$A$1:$A$150,'RESUMO DEFESA'!L34,'ANEXO 1 - Detalhes Técnicos'!$D$1:$D$150,"SIM")</f>
        <v>1495567.0884999998</v>
      </c>
      <c r="N34" s="315">
        <f>SUMIFS('ANEXO 1 - Detalhes Técnicos'!$O$1:$O$150,'ANEXO 1 - Detalhes Técnicos'!$N$1:$N$150,'RESUMO DEFESA'!$K$27,'ANEXO 1 - Detalhes Técnicos'!$B$1:$B$150,'RESUMO DEFESA'!$N$15,'ANEXO 1 - Detalhes Técnicos'!$A$1:$A$150,'RESUMO DEFESA'!L34,'ANEXO 1 - Detalhes Técnicos'!$D$1:$D$150,"SIM")</f>
        <v>0</v>
      </c>
      <c r="O34" s="315">
        <f>SUMIFS('ANEXO 1 - Detalhes Técnicos'!$O$1:$O$150,'ANEXO 1 - Detalhes Técnicos'!$N$1:$N$150,'RESUMO DEFESA'!$K$27,'ANEXO 1 - Detalhes Técnicos'!$B$1:$B$150,'RESUMO DEFESA'!$O$15,'ANEXO 1 - Detalhes Técnicos'!$A$1:$A$150,'RESUMO DEFESA'!L34,'ANEXO 1 - Detalhes Técnicos'!$D$1:$D$150,"SIM")</f>
        <v>0</v>
      </c>
      <c r="P34" s="316">
        <f>SUMIFS('ANEXO 1 - Detalhes Técnicos'!$O$1:$O$150,'ANEXO 1 - Detalhes Técnicos'!$N$1:$N$150,'RESUMO DEFESA'!$K$27,'ANEXO 1 - Detalhes Técnicos'!$B$1:$B$150,'RESUMO DEFESA'!$P$15,'ANEXO 1 - Detalhes Técnicos'!$A$1:$A$150,'RESUMO DEFESA'!L34,'ANEXO 1 - Detalhes Técnicos'!$D$1:$D$150,"SIM")</f>
        <v>0</v>
      </c>
      <c r="Q34" s="315">
        <f>SUMIFS('ANEXO 1 - Detalhes Técnicos'!$O$1:$O$150,'ANEXO 1 - Detalhes Técnicos'!$N$1:$N$150,'RESUMO DEFESA'!$K$27,'ANEXO 1 - Detalhes Técnicos'!$B$1:$B$150,'RESUMO DEFESA'!$Q$15,'ANEXO 1 - Detalhes Técnicos'!$A$1:$A$150,'RESUMO DEFESA'!L34,'ANEXO 1 - Detalhes Técnicos'!$D$1:$D$150,"SIM")</f>
        <v>0</v>
      </c>
      <c r="R34" s="315">
        <f t="shared" si="2"/>
        <v>1495567.0884999998</v>
      </c>
    </row>
    <row r="35" spans="2:18" ht="15.75" customHeight="1">
      <c r="B35" s="440"/>
      <c r="C35" s="265"/>
      <c r="D35" s="265"/>
      <c r="E35" s="265"/>
      <c r="F35" s="265"/>
      <c r="G35" s="265"/>
      <c r="H35" s="265"/>
      <c r="I35" s="266"/>
      <c r="K35" s="211"/>
      <c r="L35" s="211" t="s">
        <v>102</v>
      </c>
      <c r="M35" s="315">
        <f>SUMIFS('ANEXO 1 - Detalhes Técnicos'!$O$1:$O$150,'ANEXO 1 - Detalhes Técnicos'!$N$1:$N$150,'RESUMO DEFESA'!$K$27,'ANEXO 1 - Detalhes Técnicos'!$B$1:$B$150,'RESUMO DEFESA'!$M$15,'ANEXO 1 - Detalhes Técnicos'!$A$1:$A$150,'RESUMO DEFESA'!L35,'ANEXO 1 - Detalhes Técnicos'!$D$1:$D$150,"SIM")</f>
        <v>0</v>
      </c>
      <c r="N35" s="315">
        <f>SUMIFS('ANEXO 1 - Detalhes Técnicos'!$O$1:$O$150,'ANEXO 1 - Detalhes Técnicos'!$N$1:$N$150,'RESUMO DEFESA'!$K$27,'ANEXO 1 - Detalhes Técnicos'!$B$1:$B$150,'RESUMO DEFESA'!$N$15,'ANEXO 1 - Detalhes Técnicos'!$A$1:$A$150,'RESUMO DEFESA'!L35,'ANEXO 1 - Detalhes Técnicos'!$D$1:$D$150,"SIM")</f>
        <v>0</v>
      </c>
      <c r="O35" s="315">
        <f>SUMIFS('ANEXO 1 - Detalhes Técnicos'!$O$1:$O$150,'ANEXO 1 - Detalhes Técnicos'!$N$1:$N$150,'RESUMO DEFESA'!$K$27,'ANEXO 1 - Detalhes Técnicos'!$B$1:$B$150,'RESUMO DEFESA'!$O$15,'ANEXO 1 - Detalhes Técnicos'!$A$1:$A$150,'RESUMO DEFESA'!L35,'ANEXO 1 - Detalhes Técnicos'!$D$1:$D$150,"SIM")</f>
        <v>0</v>
      </c>
      <c r="P35" s="316">
        <f>SUMIFS('ANEXO 1 - Detalhes Técnicos'!$O$1:$O$150,'ANEXO 1 - Detalhes Técnicos'!$N$1:$N$150,'RESUMO DEFESA'!$K$27,'ANEXO 1 - Detalhes Técnicos'!$B$1:$B$150,'RESUMO DEFESA'!$P$15,'ANEXO 1 - Detalhes Técnicos'!$A$1:$A$150,'RESUMO DEFESA'!L35,'ANEXO 1 - Detalhes Técnicos'!$D$1:$D$150,"SIM")</f>
        <v>0</v>
      </c>
      <c r="Q35" s="315">
        <f>SUMIFS('ANEXO 1 - Detalhes Técnicos'!$O$1:$O$150,'ANEXO 1 - Detalhes Técnicos'!$N$1:$N$150,'RESUMO DEFESA'!$K$27,'ANEXO 1 - Detalhes Técnicos'!$B$1:$B$150,'RESUMO DEFESA'!$Q$15,'ANEXO 1 - Detalhes Técnicos'!$A$1:$A$150,'RESUMO DEFESA'!L35,'ANEXO 1 - Detalhes Técnicos'!$D$1:$D$150,"SIM")</f>
        <v>0</v>
      </c>
      <c r="R35" s="315">
        <f t="shared" si="2"/>
        <v>0</v>
      </c>
    </row>
    <row r="36" spans="2:18" ht="15.75" customHeight="1">
      <c r="K36" s="211"/>
      <c r="L36" s="211" t="s">
        <v>108</v>
      </c>
      <c r="M36" s="315">
        <f>SUMIFS('ANEXO 1 - Detalhes Técnicos'!$O$1:$O$150,'ANEXO 1 - Detalhes Técnicos'!$N$1:$N$150,'RESUMO DEFESA'!$K$27,'ANEXO 1 - Detalhes Técnicos'!$B$1:$B$150,'RESUMO DEFESA'!$M$15,'ANEXO 1 - Detalhes Técnicos'!$A$1:$A$150,'RESUMO DEFESA'!L36,'ANEXO 1 - Detalhes Técnicos'!$D$1:$D$150,"SIM")</f>
        <v>0</v>
      </c>
      <c r="N36" s="315">
        <f>SUMIFS('ANEXO 1 - Detalhes Técnicos'!$O$1:$O$150,'ANEXO 1 - Detalhes Técnicos'!$N$1:$N$150,'RESUMO DEFESA'!$K$27,'ANEXO 1 - Detalhes Técnicos'!$B$1:$B$150,'RESUMO DEFESA'!$N$15,'ANEXO 1 - Detalhes Técnicos'!$A$1:$A$150,'RESUMO DEFESA'!L36,'ANEXO 1 - Detalhes Técnicos'!$D$1:$D$150,"SIM")</f>
        <v>0</v>
      </c>
      <c r="O36" s="315">
        <f>SUMIFS('ANEXO 1 - Detalhes Técnicos'!$O$1:$O$150,'ANEXO 1 - Detalhes Técnicos'!$N$1:$N$150,'RESUMO DEFESA'!$K$27,'ANEXO 1 - Detalhes Técnicos'!$B$1:$B$150,'RESUMO DEFESA'!$O$15,'ANEXO 1 - Detalhes Técnicos'!$A$1:$A$150,'RESUMO DEFESA'!L36,'ANEXO 1 - Detalhes Técnicos'!$D$1:$D$150,"SIM")</f>
        <v>0</v>
      </c>
      <c r="P36" s="316">
        <f>SUMIFS('ANEXO 1 - Detalhes Técnicos'!$O$1:$O$150,'ANEXO 1 - Detalhes Técnicos'!$N$1:$N$150,'RESUMO DEFESA'!$K$27,'ANEXO 1 - Detalhes Técnicos'!$B$1:$B$150,'RESUMO DEFESA'!$P$15,'ANEXO 1 - Detalhes Técnicos'!$A$1:$A$150,'RESUMO DEFESA'!L36,'ANEXO 1 - Detalhes Técnicos'!$D$1:$D$150,"SIM")</f>
        <v>0</v>
      </c>
      <c r="Q36" s="315">
        <f>SUMIFS('ANEXO 1 - Detalhes Técnicos'!$O$1:$O$150,'ANEXO 1 - Detalhes Técnicos'!$N$1:$N$150,'RESUMO DEFESA'!$K$27,'ANEXO 1 - Detalhes Técnicos'!$B$1:$B$150,'RESUMO DEFESA'!$Q$15,'ANEXO 1 - Detalhes Técnicos'!$A$1:$A$150,'RESUMO DEFESA'!L36,'ANEXO 1 - Detalhes Técnicos'!$D$1:$D$150,"SIM")</f>
        <v>0</v>
      </c>
      <c r="R36" s="315">
        <f t="shared" si="2"/>
        <v>0</v>
      </c>
    </row>
    <row r="37" spans="2:18" ht="15.75" customHeight="1" thickBot="1">
      <c r="B37" s="267" t="s">
        <v>415</v>
      </c>
      <c r="K37" s="309" t="s">
        <v>416</v>
      </c>
      <c r="L37" s="308"/>
      <c r="M37" s="314">
        <f>SUM(M27:M36)</f>
        <v>1495567.0884999998</v>
      </c>
      <c r="N37" s="314">
        <f t="shared" ref="N37:Q37" si="3">SUM(N27:N36)</f>
        <v>0</v>
      </c>
      <c r="O37" s="314">
        <f t="shared" si="3"/>
        <v>0</v>
      </c>
      <c r="P37" s="314">
        <f t="shared" si="3"/>
        <v>0</v>
      </c>
      <c r="Q37" s="314">
        <f t="shared" si="3"/>
        <v>0</v>
      </c>
      <c r="R37" s="314">
        <f>SUM(R27:R36)</f>
        <v>1495567.0884999998</v>
      </c>
    </row>
    <row r="38" spans="2:18" ht="15.75" customHeight="1" thickTop="1" thickBot="1">
      <c r="B38" s="423"/>
      <c r="C38" s="424"/>
      <c r="D38" s="424"/>
      <c r="E38" s="424"/>
      <c r="F38" s="424"/>
      <c r="G38" s="424"/>
      <c r="H38" s="424"/>
      <c r="I38" s="425"/>
      <c r="K38" s="310" t="s">
        <v>417</v>
      </c>
      <c r="L38" s="307"/>
      <c r="M38" s="317">
        <f>M26+M37</f>
        <v>1495567.0884999998</v>
      </c>
      <c r="N38" s="317">
        <f t="shared" ref="N38:Q38" si="4">N26+N37</f>
        <v>0</v>
      </c>
      <c r="O38" s="317">
        <f t="shared" si="4"/>
        <v>0</v>
      </c>
      <c r="P38" s="317">
        <f t="shared" si="4"/>
        <v>0</v>
      </c>
      <c r="Q38" s="317">
        <f t="shared" si="4"/>
        <v>0</v>
      </c>
      <c r="R38" s="317">
        <f>R26+R37</f>
        <v>1495567.0884999998</v>
      </c>
    </row>
    <row r="39" spans="2:18" ht="15.75" customHeight="1" thickTop="1">
      <c r="B39" s="426"/>
      <c r="C39" s="427"/>
      <c r="D39" s="427"/>
      <c r="E39" s="427"/>
      <c r="F39" s="427"/>
      <c r="G39" s="427"/>
      <c r="H39" s="427"/>
      <c r="I39" s="428"/>
      <c r="R39" t="s">
        <v>418</v>
      </c>
    </row>
    <row r="40" spans="2:18" ht="15.75" customHeight="1">
      <c r="B40" s="426"/>
      <c r="C40" s="427"/>
      <c r="D40" s="427"/>
      <c r="E40" s="427"/>
      <c r="F40" s="427"/>
      <c r="G40" s="427"/>
      <c r="H40" s="427"/>
      <c r="I40" s="428"/>
    </row>
    <row r="41" spans="2:18" ht="15.75" customHeight="1">
      <c r="B41" s="426"/>
      <c r="C41" s="427"/>
      <c r="D41" s="427"/>
      <c r="E41" s="427"/>
      <c r="F41" s="427"/>
      <c r="G41" s="427"/>
      <c r="H41" s="427"/>
      <c r="I41" s="428"/>
      <c r="K41" s="229" t="s">
        <v>419</v>
      </c>
      <c r="L41" s="280" t="s">
        <v>420</v>
      </c>
      <c r="M41" s="280" t="s">
        <v>421</v>
      </c>
      <c r="O41" s="402" t="s">
        <v>422</v>
      </c>
      <c r="P41" s="403"/>
      <c r="Q41" s="403"/>
      <c r="R41" s="404"/>
    </row>
    <row r="42" spans="2:18" ht="15.75" customHeight="1">
      <c r="B42" s="429"/>
      <c r="C42" s="430"/>
      <c r="D42" s="430"/>
      <c r="E42" s="430"/>
      <c r="F42" s="430"/>
      <c r="G42" s="430"/>
      <c r="H42" s="430"/>
      <c r="I42" s="431"/>
      <c r="K42" s="302" t="s">
        <v>19</v>
      </c>
      <c r="L42" s="299">
        <f>SUMIFS('ANEXO 1 - Detalhes Técnicos'!$O$1:$O$147,'ANEXO 1 - Detalhes Técnicos'!$C$1:$C$147,'RESUMO DEFESA'!K42,'ANEXO 1 - Detalhes Técnicos'!$D$1:$D$147,"SIM")</f>
        <v>0</v>
      </c>
      <c r="M42" s="296">
        <f>IFERROR(L42/$L$46,0)</f>
        <v>0</v>
      </c>
      <c r="O42" s="405"/>
      <c r="P42" s="406"/>
      <c r="Q42" s="406"/>
      <c r="R42" s="407"/>
    </row>
    <row r="43" spans="2:18" ht="30" customHeight="1">
      <c r="B43" s="267" t="s">
        <v>423</v>
      </c>
      <c r="K43" s="303" t="s">
        <v>32</v>
      </c>
      <c r="L43" s="300">
        <f>SUMIFS('ANEXO 1 - Detalhes Técnicos'!$O$1:$O$147,'ANEXO 1 - Detalhes Técnicos'!$C$1:$C$147,'RESUMO DEFESA'!K43,'ANEXO 1 - Detalhes Técnicos'!$D$1:$D$147,"SIM")</f>
        <v>0</v>
      </c>
      <c r="M43" s="297">
        <f>IFERROR(L43/$L$46,0)</f>
        <v>0</v>
      </c>
      <c r="O43" s="408"/>
      <c r="P43" s="409"/>
      <c r="Q43" s="409"/>
      <c r="R43" s="410"/>
    </row>
    <row r="44" spans="2:18" ht="24" customHeight="1">
      <c r="B44" s="433" t="s">
        <v>424</v>
      </c>
      <c r="C44" s="433"/>
      <c r="H44" s="267" t="s">
        <v>425</v>
      </c>
      <c r="I44" s="267"/>
      <c r="K44" s="302" t="s">
        <v>45</v>
      </c>
      <c r="L44" s="299">
        <f>SUMIFS('ANEXO 1 - Detalhes Técnicos'!$O$1:$O$147,'ANEXO 1 - Detalhes Técnicos'!$C$1:$C$147,'RESUMO DEFESA'!K44,'ANEXO 1 - Detalhes Técnicos'!$D$1:$D$147,"SIM")</f>
        <v>0</v>
      </c>
      <c r="M44" s="296">
        <f>IFERROR(L44/$L$46,0)</f>
        <v>0</v>
      </c>
      <c r="O44" s="408"/>
      <c r="P44" s="409"/>
      <c r="Q44" s="409"/>
      <c r="R44" s="410"/>
    </row>
    <row r="45" spans="2:18" ht="32.25" customHeight="1" thickBot="1">
      <c r="C45" s="273"/>
      <c r="D45" s="277"/>
      <c r="E45" s="277"/>
      <c r="F45" s="277"/>
      <c r="H45" s="265"/>
      <c r="K45" s="303" t="s">
        <v>58</v>
      </c>
      <c r="L45" s="300">
        <f>SUMIFS('ANEXO 1 - Detalhes Técnicos'!$O$1:$O$147,'ANEXO 1 - Detalhes Técnicos'!$C$1:$C$147,'RESUMO DEFESA'!K45,'ANEXO 1 - Detalhes Técnicos'!$D$1:$D$147,"SIM")</f>
        <v>1421752.6884999999</v>
      </c>
      <c r="M45" s="297">
        <f>IFERROR(L45/$L$46,0)</f>
        <v>1</v>
      </c>
      <c r="O45" s="408"/>
      <c r="P45" s="409"/>
      <c r="Q45" s="409"/>
      <c r="R45" s="410"/>
    </row>
    <row r="46" spans="2:18" ht="35.25" customHeight="1" thickTop="1">
      <c r="B46" s="324" t="s">
        <v>426</v>
      </c>
      <c r="C46" s="274"/>
      <c r="H46" s="268"/>
      <c r="K46" s="304" t="s">
        <v>400</v>
      </c>
      <c r="L46" s="301">
        <f>SUM(L42:L45)</f>
        <v>1421752.6884999999</v>
      </c>
      <c r="M46" s="298">
        <f>SUM(M42:M45)</f>
        <v>1</v>
      </c>
      <c r="O46" s="408"/>
      <c r="P46" s="409"/>
      <c r="Q46" s="409"/>
      <c r="R46" s="410"/>
    </row>
    <row r="47" spans="2:18" ht="35.25" customHeight="1">
      <c r="B47" s="337" t="s">
        <v>427</v>
      </c>
      <c r="C47" s="274"/>
      <c r="D47" s="268"/>
      <c r="E47" s="268"/>
      <c r="F47" s="268"/>
      <c r="H47" s="268"/>
      <c r="K47" s="321" t="s">
        <v>428</v>
      </c>
      <c r="L47" s="322"/>
      <c r="O47" s="408"/>
      <c r="P47" s="409"/>
      <c r="Q47" s="409"/>
      <c r="R47" s="410"/>
    </row>
    <row r="48" spans="2:18" ht="35.25" customHeight="1">
      <c r="B48" s="324" t="s">
        <v>429</v>
      </c>
      <c r="C48" s="274"/>
      <c r="D48" s="268"/>
      <c r="E48" s="268"/>
      <c r="F48" s="268"/>
      <c r="H48" s="268"/>
      <c r="K48" s="320" t="s">
        <v>430</v>
      </c>
      <c r="L48" s="323">
        <f>L46-L47</f>
        <v>1421752.6884999999</v>
      </c>
      <c r="O48" s="411"/>
      <c r="P48" s="412"/>
      <c r="Q48" s="412"/>
      <c r="R48" s="413"/>
    </row>
    <row r="49" spans="2:11" ht="35.25" customHeight="1">
      <c r="B49" s="325" t="s">
        <v>431</v>
      </c>
      <c r="C49" s="279"/>
      <c r="K49" s="211"/>
    </row>
    <row r="50" spans="2:11" ht="15.75" customHeight="1"/>
  </sheetData>
  <mergeCells count="25">
    <mergeCell ref="O41:R41"/>
    <mergeCell ref="O42:R48"/>
    <mergeCell ref="B8:I14"/>
    <mergeCell ref="B17:I22"/>
    <mergeCell ref="B25:I30"/>
    <mergeCell ref="B38:I42"/>
    <mergeCell ref="B16:H16"/>
    <mergeCell ref="B44:C44"/>
    <mergeCell ref="B24:D24"/>
    <mergeCell ref="B32:D32"/>
    <mergeCell ref="K8:L8"/>
    <mergeCell ref="K9:L9"/>
    <mergeCell ref="K10:L10"/>
    <mergeCell ref="K11:L11"/>
    <mergeCell ref="B34:B35"/>
    <mergeCell ref="C1:H1"/>
    <mergeCell ref="L1:R1"/>
    <mergeCell ref="L4:O4"/>
    <mergeCell ref="L5:O5"/>
    <mergeCell ref="Q4:R4"/>
    <mergeCell ref="Q5:R5"/>
    <mergeCell ref="L3:R3"/>
    <mergeCell ref="C3:H3"/>
    <mergeCell ref="C4:H4"/>
    <mergeCell ref="C5:H5"/>
  </mergeCells>
  <printOptions horizontalCentered="1" verticalCentered="1"/>
  <pageMargins left="0.51181102362204722" right="0.51181102362204722" top="0.39370078740157483" bottom="0.19685039370078741" header="0.31496062992125984" footer="0.31496062992125984"/>
  <pageSetup paperSize="9" scale="56" orientation="landscape" r:id="rId1"/>
  <headerFooter>
    <oddHeader>&amp;L&amp;G&amp;C&amp;"-,Negrito itálico"&amp;22&amp;UDefesa Unificada - PROJETOS</oddHead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APOIO!$N$2:$N$18</xm:f>
          </x14:formula1>
          <xm:sqref>E34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pageSetUpPr fitToPage="1"/>
  </sheetPr>
  <dimension ref="A1:AK209"/>
  <sheetViews>
    <sheetView tabSelected="1" topLeftCell="H1" zoomScale="70" zoomScaleNormal="70" workbookViewId="0">
      <selection sqref="A1:XFD5"/>
    </sheetView>
  </sheetViews>
  <sheetFormatPr defaultColWidth="9.140625" defaultRowHeight="14.45"/>
  <cols>
    <col min="1" max="1" width="20.28515625" customWidth="1"/>
    <col min="2" max="2" width="10.42578125" customWidth="1"/>
    <col min="3" max="4" width="17.28515625" customWidth="1"/>
    <col min="5" max="5" width="33.85546875" customWidth="1"/>
    <col min="6" max="6" width="16.7109375" customWidth="1"/>
    <col min="7" max="7" width="12.140625" customWidth="1"/>
    <col min="8" max="8" width="42.28515625" customWidth="1"/>
    <col min="9" max="9" width="10.28515625" bestFit="1" customWidth="1"/>
    <col min="10" max="10" width="13.85546875" style="230" bestFit="1" customWidth="1"/>
    <col min="11" max="11" width="8.85546875" customWidth="1"/>
    <col min="12" max="12" width="9.140625" customWidth="1"/>
    <col min="13" max="13" width="16" bestFit="1" customWidth="1"/>
    <col min="14" max="14" width="11.42578125" customWidth="1"/>
    <col min="15" max="15" width="16.140625" style="2" bestFit="1" customWidth="1"/>
    <col min="16" max="16" width="20.28515625" style="2" customWidth="1"/>
    <col min="17" max="17" width="18.140625" style="2" customWidth="1"/>
    <col min="18" max="18" width="3.7109375" style="2" customWidth="1"/>
    <col min="19" max="19" width="25.140625" style="2" customWidth="1"/>
    <col min="20" max="20" width="15.140625" style="2" customWidth="1"/>
    <col min="21" max="21" width="19.28515625" style="2" customWidth="1"/>
    <col min="22" max="22" width="10.85546875" style="2" customWidth="1"/>
    <col min="23" max="23" width="17" style="2" customWidth="1"/>
    <col min="24" max="24" width="19.42578125" style="2" customWidth="1"/>
    <col min="25" max="25" width="47.7109375" style="2" bestFit="1" customWidth="1"/>
    <col min="26" max="26" width="32.28515625" style="2" customWidth="1"/>
    <col min="27" max="27" width="17.28515625" style="2" customWidth="1"/>
    <col min="28" max="28" width="35" style="2" customWidth="1"/>
    <col min="29" max="29" width="97.42578125" style="359" customWidth="1"/>
    <col min="30" max="30" width="31.42578125" style="210" bestFit="1" customWidth="1"/>
    <col min="31" max="32" width="17.28515625" style="2" customWidth="1"/>
    <col min="33" max="36" width="9.140625" style="2"/>
  </cols>
  <sheetData>
    <row r="1" spans="1:37" ht="60.75">
      <c r="A1" s="229" t="s">
        <v>5</v>
      </c>
      <c r="B1" s="241" t="s">
        <v>432</v>
      </c>
      <c r="C1" s="241" t="s">
        <v>6</v>
      </c>
      <c r="D1" s="241" t="s">
        <v>433</v>
      </c>
      <c r="E1" s="241" t="s">
        <v>434</v>
      </c>
      <c r="F1" s="234" t="s">
        <v>435</v>
      </c>
      <c r="G1" s="234" t="s">
        <v>436</v>
      </c>
      <c r="H1" s="242" t="s">
        <v>437</v>
      </c>
      <c r="I1" s="234" t="s">
        <v>438</v>
      </c>
      <c r="J1" s="234" t="s">
        <v>439</v>
      </c>
      <c r="K1" s="247" t="s">
        <v>440</v>
      </c>
      <c r="L1" s="234" t="s">
        <v>441</v>
      </c>
      <c r="M1" s="213" t="s">
        <v>442</v>
      </c>
      <c r="N1" s="213" t="s">
        <v>404</v>
      </c>
      <c r="O1" s="213" t="s">
        <v>400</v>
      </c>
      <c r="P1" s="213" t="s">
        <v>443</v>
      </c>
      <c r="Q1" s="213" t="s">
        <v>444</v>
      </c>
      <c r="R1" s="214"/>
      <c r="S1" s="234" t="s">
        <v>445</v>
      </c>
      <c r="T1" s="234" t="s">
        <v>446</v>
      </c>
      <c r="U1" s="234" t="s">
        <v>447</v>
      </c>
      <c r="V1" s="234" t="s">
        <v>448</v>
      </c>
      <c r="W1" s="213" t="s">
        <v>449</v>
      </c>
      <c r="X1" s="213" t="s">
        <v>450</v>
      </c>
      <c r="Y1" s="233" t="s">
        <v>451</v>
      </c>
      <c r="Z1" s="234" t="s">
        <v>452</v>
      </c>
      <c r="AA1" s="234" t="s">
        <v>453</v>
      </c>
      <c r="AB1" s="234" t="s">
        <v>454</v>
      </c>
      <c r="AC1" s="249" t="s">
        <v>455</v>
      </c>
      <c r="AD1" s="248" t="s">
        <v>456</v>
      </c>
      <c r="AE1" s="249" t="s">
        <v>457</v>
      </c>
      <c r="AF1" s="249" t="s">
        <v>458</v>
      </c>
      <c r="AK1" s="2"/>
    </row>
    <row r="2" spans="1:37" s="2" customFormat="1" ht="15">
      <c r="A2" s="441" t="s">
        <v>95</v>
      </c>
      <c r="B2" s="444" t="s">
        <v>20</v>
      </c>
      <c r="C2" s="444" t="s">
        <v>58</v>
      </c>
      <c r="D2" s="441" t="s">
        <v>459</v>
      </c>
      <c r="E2" s="447" t="s">
        <v>460</v>
      </c>
      <c r="F2" s="441" t="s">
        <v>96</v>
      </c>
      <c r="G2" s="450" t="s">
        <v>461</v>
      </c>
      <c r="H2" s="362" t="s">
        <v>462</v>
      </c>
      <c r="I2" s="344">
        <v>176.46</v>
      </c>
      <c r="J2" s="345">
        <v>1056</v>
      </c>
      <c r="K2" s="346">
        <f>IFERROR((I2/176)/L2,0)</f>
        <v>0.11140151515151515</v>
      </c>
      <c r="L2" s="344">
        <v>9</v>
      </c>
      <c r="M2" s="347" t="s">
        <v>463</v>
      </c>
      <c r="N2" s="347" t="s">
        <v>402</v>
      </c>
      <c r="O2" s="348">
        <f>I2*J2</f>
        <v>186341.76000000001</v>
      </c>
      <c r="P2" s="452"/>
      <c r="Q2" s="452"/>
      <c r="R2" s="215"/>
      <c r="S2" s="350" t="s">
        <v>464</v>
      </c>
      <c r="T2" s="351" t="s">
        <v>465</v>
      </c>
      <c r="U2" s="352" t="s">
        <v>466</v>
      </c>
      <c r="V2" s="353" t="s">
        <v>467</v>
      </c>
      <c r="W2" s="353"/>
      <c r="X2" s="353" t="s">
        <v>37</v>
      </c>
      <c r="Y2" s="351"/>
      <c r="Z2" s="353"/>
      <c r="AA2" s="353"/>
      <c r="AB2" s="353"/>
      <c r="AC2" s="353" t="str">
        <f>H2&amp;": "&amp;TEXT(I2,"#.##0")&amp;"h *  R$ "&amp; TEXT(J2, "#.##0,00") &amp;"/h = R$ "&amp; TEXT(O2,"#.##0,00")</f>
        <v>ANÁLISE DE DESENVOLVIMENTO FULL STACK: 176h *  R$ 1.056,00/h = R$ 186.341,76</v>
      </c>
      <c r="AD2" s="353"/>
      <c r="AE2" s="353"/>
      <c r="AF2" s="353"/>
    </row>
    <row r="3" spans="1:37" s="2" customFormat="1" ht="15">
      <c r="A3" s="442"/>
      <c r="B3" s="445"/>
      <c r="C3" s="445"/>
      <c r="D3" s="442"/>
      <c r="E3" s="448"/>
      <c r="F3" s="442"/>
      <c r="G3" s="451"/>
      <c r="H3" s="362"/>
      <c r="I3" s="344"/>
      <c r="J3" s="345"/>
      <c r="K3" s="346"/>
      <c r="L3" s="344"/>
      <c r="M3" s="347"/>
      <c r="N3" s="347"/>
      <c r="O3" s="348"/>
      <c r="P3" s="453"/>
      <c r="Q3" s="453"/>
      <c r="R3" s="215"/>
      <c r="S3" s="350"/>
      <c r="T3" s="350"/>
      <c r="U3" s="352"/>
      <c r="V3" s="354"/>
      <c r="W3" s="353"/>
      <c r="X3" s="353"/>
      <c r="Y3" s="349"/>
      <c r="Z3" s="349"/>
      <c r="AA3" s="349"/>
      <c r="AB3" s="349"/>
      <c r="AC3" s="353"/>
      <c r="AD3" s="353"/>
      <c r="AE3" s="349"/>
      <c r="AF3" s="349"/>
    </row>
    <row r="4" spans="1:37" s="2" customFormat="1" ht="15">
      <c r="A4" s="442"/>
      <c r="B4" s="445"/>
      <c r="C4" s="445"/>
      <c r="D4" s="442"/>
      <c r="E4" s="448"/>
      <c r="F4" s="442"/>
      <c r="G4" s="451"/>
      <c r="H4" s="362"/>
      <c r="I4" s="344"/>
      <c r="J4" s="345"/>
      <c r="K4" s="346"/>
      <c r="L4" s="344"/>
      <c r="M4" s="347"/>
      <c r="N4" s="347"/>
      <c r="O4" s="348">
        <f t="shared" ref="O4:O6" si="0">I4*J4</f>
        <v>0</v>
      </c>
      <c r="P4" s="453"/>
      <c r="Q4" s="453"/>
      <c r="R4" s="215"/>
      <c r="S4" s="350"/>
      <c r="T4" s="350"/>
      <c r="U4" s="352"/>
      <c r="V4" s="354"/>
      <c r="W4" s="353"/>
      <c r="X4" s="353"/>
      <c r="Y4" s="349"/>
      <c r="Z4" s="349"/>
      <c r="AA4" s="349"/>
      <c r="AB4" s="349"/>
      <c r="AC4" s="353"/>
      <c r="AD4" s="353"/>
      <c r="AE4" s="349"/>
      <c r="AF4" s="349"/>
    </row>
    <row r="5" spans="1:37" s="2" customFormat="1" ht="15">
      <c r="A5" s="442"/>
      <c r="B5" s="445"/>
      <c r="C5" s="445"/>
      <c r="D5" s="442"/>
      <c r="E5" s="448"/>
      <c r="F5" s="442"/>
      <c r="G5" s="451"/>
      <c r="H5" s="362"/>
      <c r="I5" s="344"/>
      <c r="J5" s="355"/>
      <c r="K5" s="346"/>
      <c r="L5" s="344"/>
      <c r="M5" s="347"/>
      <c r="N5" s="347"/>
      <c r="O5" s="348">
        <f t="shared" si="0"/>
        <v>0</v>
      </c>
      <c r="P5" s="453"/>
      <c r="Q5" s="453"/>
      <c r="R5" s="215"/>
      <c r="S5" s="350"/>
      <c r="T5" s="350"/>
      <c r="U5" s="352"/>
      <c r="V5" s="354"/>
      <c r="W5" s="353"/>
      <c r="X5" s="353"/>
      <c r="Y5" s="356"/>
      <c r="Z5" s="356"/>
      <c r="AA5" s="356"/>
      <c r="AB5" s="356"/>
      <c r="AC5" s="353"/>
      <c r="AD5" s="353"/>
      <c r="AE5" s="349"/>
      <c r="AF5" s="349"/>
    </row>
    <row r="6" spans="1:37" s="2" customFormat="1" ht="15">
      <c r="A6" s="443"/>
      <c r="B6" s="446"/>
      <c r="C6" s="446"/>
      <c r="D6" s="443"/>
      <c r="E6" s="449"/>
      <c r="F6" s="443"/>
      <c r="G6" s="451"/>
      <c r="H6" s="362"/>
      <c r="I6" s="357"/>
      <c r="J6" s="355"/>
      <c r="K6" s="346">
        <f t="shared" ref="K6" si="1">IFERROR((I6/176)/L6,0)</f>
        <v>0</v>
      </c>
      <c r="L6" s="344"/>
      <c r="M6" s="347"/>
      <c r="N6" s="347"/>
      <c r="O6" s="348">
        <f t="shared" si="0"/>
        <v>0</v>
      </c>
      <c r="P6" s="454"/>
      <c r="Q6" s="454"/>
      <c r="R6" s="215"/>
      <c r="S6" s="358"/>
      <c r="T6" s="350"/>
      <c r="U6" s="352"/>
      <c r="V6" s="349"/>
      <c r="W6" s="353" t="str">
        <f>IFERROR(IF(V6="","",IF(N6="Fábrica",VLOOKUP(V6&amp;"CAPEX",ISS!A:E,5,0),IF(OR(G6="HITSS",G6="GLOBALHITSS",G6="HILDEBRANDO",G6="GLOBAL HITSS"),VLOOKUP(V6,ISS!A87:E88,5,0),VLOOKUP(V6&amp;N6,ISS!A:E,5,0)))),"Classificar")</f>
        <v/>
      </c>
      <c r="X6" s="349"/>
      <c r="Y6" s="356"/>
      <c r="Z6" s="356"/>
      <c r="AA6" s="356"/>
      <c r="AB6" s="356"/>
      <c r="AC6" s="353"/>
      <c r="AD6" s="349"/>
      <c r="AE6" s="349"/>
      <c r="AF6" s="349"/>
    </row>
    <row r="7" spans="1:37">
      <c r="A7" s="216"/>
      <c r="B7" s="216"/>
      <c r="C7" s="216"/>
      <c r="D7" s="216"/>
      <c r="E7" s="216"/>
      <c r="F7" s="216"/>
      <c r="G7" s="216"/>
      <c r="H7" s="219"/>
      <c r="I7" s="216"/>
      <c r="J7" s="217"/>
      <c r="K7" s="216"/>
      <c r="L7" s="218"/>
      <c r="M7" s="216"/>
      <c r="N7" s="219"/>
      <c r="O7" s="216"/>
      <c r="P7" s="218"/>
      <c r="Q7" s="218"/>
      <c r="R7" s="64"/>
      <c r="S7" s="216"/>
      <c r="T7" s="216"/>
      <c r="U7" s="216"/>
      <c r="V7" s="216"/>
      <c r="W7" s="216"/>
      <c r="X7" s="216"/>
      <c r="Y7" s="216"/>
      <c r="Z7" s="216"/>
      <c r="AA7" s="216"/>
      <c r="AB7" s="216"/>
      <c r="AC7" s="360"/>
      <c r="AD7" s="216"/>
      <c r="AE7" s="216"/>
      <c r="AF7" s="216"/>
      <c r="AK7" s="2"/>
    </row>
    <row r="8" spans="1:37" ht="18.600000000000001">
      <c r="A8" s="235" t="str">
        <f>A2</f>
        <v>Sistemas Empresarial</v>
      </c>
      <c r="B8" s="235" t="str">
        <f>B2</f>
        <v>CLARO</v>
      </c>
      <c r="C8" s="235" t="str">
        <f>C2</f>
        <v>Áreas Corporativas</v>
      </c>
      <c r="D8" s="235" t="s">
        <v>468</v>
      </c>
      <c r="E8" s="220"/>
      <c r="F8" s="220"/>
      <c r="G8" s="220"/>
      <c r="H8" s="237"/>
      <c r="I8" s="221">
        <f>SUM(I2:I7)</f>
        <v>176.46</v>
      </c>
      <c r="J8" s="222"/>
      <c r="K8" s="221">
        <f>SUM(K2:K7)</f>
        <v>0.11140151515151515</v>
      </c>
      <c r="L8" s="223"/>
      <c r="M8" s="224"/>
      <c r="N8" s="236" t="str">
        <f>N2</f>
        <v>Opex</v>
      </c>
      <c r="O8" s="342">
        <f>SUM(O2:O7)</f>
        <v>186341.76000000001</v>
      </c>
      <c r="P8" s="231"/>
      <c r="Q8" s="231"/>
      <c r="R8" s="226"/>
      <c r="S8" s="227"/>
      <c r="T8" s="227"/>
      <c r="U8" s="227"/>
      <c r="V8" s="227"/>
      <c r="W8" s="227"/>
      <c r="X8" s="227"/>
      <c r="Y8" s="227"/>
      <c r="Z8" s="227"/>
      <c r="AA8" s="227"/>
      <c r="AB8" s="227"/>
      <c r="AC8" s="361"/>
      <c r="AD8" s="227"/>
      <c r="AE8" s="227"/>
      <c r="AF8" s="227"/>
      <c r="AK8" s="2"/>
    </row>
    <row r="9" spans="1:37" s="2" customFormat="1" ht="14.45" customHeight="1">
      <c r="A9" s="441" t="s">
        <v>95</v>
      </c>
      <c r="B9" s="444" t="s">
        <v>20</v>
      </c>
      <c r="C9" s="444" t="s">
        <v>58</v>
      </c>
      <c r="D9" s="441" t="s">
        <v>469</v>
      </c>
      <c r="E9" s="447" t="s">
        <v>470</v>
      </c>
      <c r="F9" s="441" t="s">
        <v>96</v>
      </c>
      <c r="G9" s="450" t="s">
        <v>461</v>
      </c>
      <c r="H9" s="362" t="s">
        <v>471</v>
      </c>
      <c r="I9" s="344">
        <v>156.06</v>
      </c>
      <c r="J9" s="345">
        <v>1105.07</v>
      </c>
      <c r="K9" s="346">
        <f>IFERROR((I9/176)/L9,0)</f>
        <v>9.8522727272727276E-2</v>
      </c>
      <c r="L9" s="344">
        <v>9</v>
      </c>
      <c r="M9" s="347" t="s">
        <v>463</v>
      </c>
      <c r="N9" s="347" t="s">
        <v>402</v>
      </c>
      <c r="O9" s="348">
        <f>I9*J9</f>
        <v>172457.2242</v>
      </c>
      <c r="P9" s="452"/>
      <c r="Q9" s="452"/>
      <c r="R9" s="215"/>
      <c r="S9" s="350" t="s">
        <v>464</v>
      </c>
      <c r="T9" s="351" t="s">
        <v>465</v>
      </c>
      <c r="U9" s="352" t="s">
        <v>466</v>
      </c>
      <c r="V9" s="353" t="s">
        <v>467</v>
      </c>
      <c r="W9" s="353"/>
      <c r="X9" s="353" t="s">
        <v>37</v>
      </c>
      <c r="Y9" s="351"/>
      <c r="Z9" s="353"/>
      <c r="AA9" s="353"/>
      <c r="AB9" s="353"/>
      <c r="AC9" s="353" t="str">
        <f>H9&amp;": "&amp;TEXT(I9,"#.##0")&amp;"h *  R$ "&amp; TEXT(J9, "#.##0,00") &amp;"/h = R$ "&amp; TEXT(O9,"#.##0,00")</f>
        <v>ARQUITETURA CORPORATIVA - SÊNIOR: 156h *  R$ 1.105,07/h = R$ 172.457,22</v>
      </c>
      <c r="AD9" s="353"/>
      <c r="AE9" s="353"/>
      <c r="AF9" s="353"/>
    </row>
    <row r="10" spans="1:37" s="2" customFormat="1" ht="15">
      <c r="A10" s="442"/>
      <c r="B10" s="445"/>
      <c r="C10" s="445"/>
      <c r="D10" s="442"/>
      <c r="E10" s="448"/>
      <c r="F10" s="442"/>
      <c r="G10" s="451"/>
      <c r="H10" s="362"/>
      <c r="I10" s="344"/>
      <c r="J10" s="345"/>
      <c r="K10" s="346"/>
      <c r="L10" s="344"/>
      <c r="M10" s="347"/>
      <c r="N10" s="347"/>
      <c r="O10" s="348"/>
      <c r="P10" s="453"/>
      <c r="Q10" s="453"/>
      <c r="R10" s="215"/>
      <c r="S10" s="350"/>
      <c r="T10" s="350"/>
      <c r="U10" s="352"/>
      <c r="V10" s="354"/>
      <c r="W10" s="353"/>
      <c r="X10" s="353"/>
      <c r="Y10" s="349"/>
      <c r="Z10" s="349"/>
      <c r="AA10" s="349"/>
      <c r="AB10" s="349"/>
      <c r="AC10" s="353"/>
      <c r="AD10" s="353"/>
      <c r="AE10" s="349"/>
      <c r="AF10" s="349"/>
    </row>
    <row r="11" spans="1:37" s="2" customFormat="1" ht="15">
      <c r="A11" s="442"/>
      <c r="B11" s="445"/>
      <c r="C11" s="445"/>
      <c r="D11" s="442"/>
      <c r="E11" s="448"/>
      <c r="F11" s="442"/>
      <c r="G11" s="451"/>
      <c r="H11" s="362"/>
      <c r="I11" s="344"/>
      <c r="J11" s="345"/>
      <c r="K11" s="346"/>
      <c r="L11" s="344"/>
      <c r="M11" s="347"/>
      <c r="N11" s="347"/>
      <c r="O11" s="348">
        <f t="shared" ref="O11:O13" si="2">I11*J11</f>
        <v>0</v>
      </c>
      <c r="P11" s="453"/>
      <c r="Q11" s="453"/>
      <c r="R11" s="215"/>
      <c r="S11" s="350"/>
      <c r="T11" s="350"/>
      <c r="U11" s="352"/>
      <c r="V11" s="354"/>
      <c r="W11" s="353"/>
      <c r="X11" s="353"/>
      <c r="Y11" s="349"/>
      <c r="Z11" s="349"/>
      <c r="AA11" s="349"/>
      <c r="AB11" s="349"/>
      <c r="AC11" s="353"/>
      <c r="AD11" s="353"/>
      <c r="AE11" s="349"/>
      <c r="AF11" s="349"/>
    </row>
    <row r="12" spans="1:37" s="2" customFormat="1" ht="15">
      <c r="A12" s="442"/>
      <c r="B12" s="445"/>
      <c r="C12" s="445"/>
      <c r="D12" s="442"/>
      <c r="E12" s="448"/>
      <c r="F12" s="442"/>
      <c r="G12" s="451"/>
      <c r="H12" s="362"/>
      <c r="I12" s="344"/>
      <c r="J12" s="355"/>
      <c r="K12" s="346"/>
      <c r="L12" s="344"/>
      <c r="M12" s="347"/>
      <c r="N12" s="347"/>
      <c r="O12" s="348">
        <f t="shared" si="2"/>
        <v>0</v>
      </c>
      <c r="P12" s="453"/>
      <c r="Q12" s="453"/>
      <c r="R12" s="215"/>
      <c r="S12" s="350"/>
      <c r="T12" s="350"/>
      <c r="U12" s="352"/>
      <c r="V12" s="354"/>
      <c r="W12" s="353"/>
      <c r="X12" s="353"/>
      <c r="Y12" s="356"/>
      <c r="Z12" s="356"/>
      <c r="AA12" s="356"/>
      <c r="AB12" s="356"/>
      <c r="AC12" s="353"/>
      <c r="AD12" s="353"/>
      <c r="AE12" s="349"/>
      <c r="AF12" s="349"/>
    </row>
    <row r="13" spans="1:37" s="2" customFormat="1" ht="15">
      <c r="A13" s="443"/>
      <c r="B13" s="446"/>
      <c r="C13" s="446"/>
      <c r="D13" s="443"/>
      <c r="E13" s="449"/>
      <c r="F13" s="443"/>
      <c r="G13" s="451"/>
      <c r="H13" s="362"/>
      <c r="I13" s="357"/>
      <c r="J13" s="355"/>
      <c r="K13" s="346">
        <f t="shared" ref="K13" si="3">IFERROR((I13/176)/L13,0)</f>
        <v>0</v>
      </c>
      <c r="L13" s="344"/>
      <c r="M13" s="347"/>
      <c r="N13" s="347"/>
      <c r="O13" s="348">
        <f t="shared" si="2"/>
        <v>0</v>
      </c>
      <c r="P13" s="454"/>
      <c r="Q13" s="454"/>
      <c r="R13" s="215"/>
      <c r="S13" s="358"/>
      <c r="T13" s="350"/>
      <c r="U13" s="352"/>
      <c r="V13" s="349"/>
      <c r="W13" s="353" t="str">
        <f>IFERROR(IF(V13="","",IF(N13="Fábrica",VLOOKUP(V13&amp;"CAPEX",ISS!A:E,5,0),IF(OR(G13="HITSS",G13="GLOBALHITSS",G13="HILDEBRANDO",G13="GLOBAL HITSS"),VLOOKUP(V13,ISS!A94:E95,5,0),VLOOKUP(V13&amp;N13,ISS!A:E,5,0)))),"Classificar")</f>
        <v/>
      </c>
      <c r="X13" s="349"/>
      <c r="Y13" s="356"/>
      <c r="Z13" s="356"/>
      <c r="AA13" s="356"/>
      <c r="AB13" s="356"/>
      <c r="AC13" s="353"/>
      <c r="AD13" s="349"/>
      <c r="AE13" s="349"/>
      <c r="AF13" s="349"/>
    </row>
    <row r="14" spans="1:37">
      <c r="A14" s="216"/>
      <c r="B14" s="216"/>
      <c r="C14" s="216"/>
      <c r="D14" s="216"/>
      <c r="E14" s="216"/>
      <c r="F14" s="216"/>
      <c r="G14" s="216"/>
      <c r="H14" s="219"/>
      <c r="I14" s="216"/>
      <c r="J14" s="217"/>
      <c r="K14" s="216"/>
      <c r="L14" s="218"/>
      <c r="M14" s="216"/>
      <c r="N14" s="219"/>
      <c r="O14" s="216"/>
      <c r="P14" s="218"/>
      <c r="Q14" s="218"/>
      <c r="R14" s="64"/>
      <c r="S14" s="216"/>
      <c r="T14" s="216"/>
      <c r="U14" s="216"/>
      <c r="V14" s="216"/>
      <c r="W14" s="216"/>
      <c r="X14" s="216"/>
      <c r="Y14" s="216"/>
      <c r="Z14" s="216"/>
      <c r="AA14" s="216"/>
      <c r="AB14" s="216"/>
      <c r="AC14" s="360"/>
      <c r="AD14" s="216"/>
      <c r="AE14" s="216"/>
      <c r="AF14" s="216"/>
      <c r="AK14" s="2"/>
    </row>
    <row r="15" spans="1:37" ht="18.600000000000001">
      <c r="A15" s="235" t="str">
        <f>A9</f>
        <v>Sistemas Empresarial</v>
      </c>
      <c r="B15" s="235" t="str">
        <f>B9</f>
        <v>CLARO</v>
      </c>
      <c r="C15" s="235" t="str">
        <f>C9</f>
        <v>Áreas Corporativas</v>
      </c>
      <c r="D15" s="235" t="s">
        <v>468</v>
      </c>
      <c r="E15" s="220"/>
      <c r="F15" s="220"/>
      <c r="G15" s="220"/>
      <c r="H15" s="237"/>
      <c r="I15" s="228">
        <f>SUM(I9:I14)</f>
        <v>156.06</v>
      </c>
      <c r="J15" s="222"/>
      <c r="K15" s="225">
        <f>SUM(K9:K14)</f>
        <v>9.8522727272727276E-2</v>
      </c>
      <c r="L15" s="223"/>
      <c r="M15" s="224"/>
      <c r="N15" s="240" t="str">
        <f>N9</f>
        <v>Opex</v>
      </c>
      <c r="O15" s="225">
        <f>SUM(O9:O14)</f>
        <v>172457.2242</v>
      </c>
      <c r="P15" s="231"/>
      <c r="Q15" s="231"/>
      <c r="R15" s="226"/>
      <c r="S15" s="227"/>
      <c r="T15" s="227"/>
      <c r="U15" s="227"/>
      <c r="V15" s="227"/>
      <c r="W15" s="227"/>
      <c r="X15" s="227"/>
      <c r="Y15" s="227"/>
      <c r="Z15" s="227"/>
      <c r="AA15" s="227"/>
      <c r="AB15" s="227"/>
      <c r="AC15" s="361"/>
      <c r="AD15" s="227"/>
      <c r="AE15" s="227"/>
      <c r="AF15" s="227"/>
      <c r="AK15" s="2"/>
    </row>
    <row r="16" spans="1:37" ht="14.45" customHeight="1">
      <c r="A16" s="441" t="s">
        <v>95</v>
      </c>
      <c r="B16" s="444" t="s">
        <v>20</v>
      </c>
      <c r="C16" s="444" t="s">
        <v>58</v>
      </c>
      <c r="D16" s="441" t="s">
        <v>472</v>
      </c>
      <c r="E16" s="447" t="s">
        <v>473</v>
      </c>
      <c r="F16" s="441" t="s">
        <v>96</v>
      </c>
      <c r="G16" s="450" t="s">
        <v>461</v>
      </c>
      <c r="H16" s="362" t="s">
        <v>474</v>
      </c>
      <c r="I16" s="344">
        <v>90.05</v>
      </c>
      <c r="J16" s="345">
        <v>714.8</v>
      </c>
      <c r="K16" s="346">
        <f>IFERROR((I16/176)/L16,0)</f>
        <v>5.684974747474747E-2</v>
      </c>
      <c r="L16" s="344">
        <v>9</v>
      </c>
      <c r="M16" s="347" t="s">
        <v>463</v>
      </c>
      <c r="N16" s="347" t="s">
        <v>402</v>
      </c>
      <c r="O16" s="348">
        <f>I16*J16</f>
        <v>64367.739999999991</v>
      </c>
      <c r="P16" s="452"/>
      <c r="Q16" s="452"/>
      <c r="R16" s="215"/>
      <c r="S16" s="350" t="s">
        <v>464</v>
      </c>
      <c r="T16" s="351" t="s">
        <v>465</v>
      </c>
      <c r="U16" s="352" t="s">
        <v>466</v>
      </c>
      <c r="V16" s="353" t="s">
        <v>467</v>
      </c>
      <c r="W16" s="353"/>
      <c r="X16" s="353" t="s">
        <v>37</v>
      </c>
      <c r="Y16" s="351"/>
      <c r="Z16" s="353"/>
      <c r="AA16" s="353"/>
      <c r="AB16" s="353"/>
      <c r="AC16" s="353" t="str">
        <f>H16&amp;": "&amp;TEXT(I16,"#.##0")&amp;"h *  R$ "&amp; TEXT(J16, "#.##0,00") &amp;"/h = R$ "&amp; TEXT(O16,"#.##0,00")</f>
        <v>ANÁLISE DE DESENVOLVIMENTO FRONT-END - SÊNIOR: 90h *  R$ 714,80/h = R$ 64.367,74</v>
      </c>
      <c r="AD16" s="353"/>
      <c r="AE16" s="353"/>
      <c r="AF16" s="353"/>
      <c r="AK16" s="2"/>
    </row>
    <row r="17" spans="1:37" ht="15">
      <c r="A17" s="442"/>
      <c r="B17" s="445"/>
      <c r="C17" s="445"/>
      <c r="D17" s="442"/>
      <c r="E17" s="448"/>
      <c r="F17" s="442"/>
      <c r="G17" s="451"/>
      <c r="H17" s="362"/>
      <c r="I17" s="344"/>
      <c r="J17" s="345"/>
      <c r="K17" s="346"/>
      <c r="L17" s="344"/>
      <c r="M17" s="347"/>
      <c r="N17" s="347"/>
      <c r="O17" s="348"/>
      <c r="P17" s="453"/>
      <c r="Q17" s="453"/>
      <c r="R17" s="215"/>
      <c r="S17" s="350"/>
      <c r="T17" s="350"/>
      <c r="U17" s="352"/>
      <c r="V17" s="354"/>
      <c r="W17" s="353"/>
      <c r="X17" s="353"/>
      <c r="Y17" s="349"/>
      <c r="Z17" s="349"/>
      <c r="AA17" s="349"/>
      <c r="AB17" s="349"/>
      <c r="AC17" s="353"/>
      <c r="AD17" s="353"/>
      <c r="AE17" s="349"/>
      <c r="AF17" s="349"/>
      <c r="AK17" s="2"/>
    </row>
    <row r="18" spans="1:37" ht="15">
      <c r="A18" s="442"/>
      <c r="B18" s="445"/>
      <c r="C18" s="445"/>
      <c r="D18" s="442"/>
      <c r="E18" s="448"/>
      <c r="F18" s="442"/>
      <c r="G18" s="451"/>
      <c r="H18" s="362"/>
      <c r="I18" s="344"/>
      <c r="J18" s="345"/>
      <c r="K18" s="346"/>
      <c r="L18" s="344"/>
      <c r="M18" s="347"/>
      <c r="N18" s="347"/>
      <c r="O18" s="348">
        <f t="shared" ref="O18:O20" si="4">I18*J18</f>
        <v>0</v>
      </c>
      <c r="P18" s="453"/>
      <c r="Q18" s="453"/>
      <c r="R18" s="215"/>
      <c r="S18" s="350"/>
      <c r="T18" s="350"/>
      <c r="U18" s="352"/>
      <c r="V18" s="354"/>
      <c r="W18" s="353"/>
      <c r="X18" s="353"/>
      <c r="Y18" s="349"/>
      <c r="Z18" s="349"/>
      <c r="AA18" s="349"/>
      <c r="AB18" s="349"/>
      <c r="AC18" s="353"/>
      <c r="AD18" s="353"/>
      <c r="AE18" s="349"/>
      <c r="AF18" s="349"/>
      <c r="AK18" s="2"/>
    </row>
    <row r="19" spans="1:37" ht="15">
      <c r="A19" s="442"/>
      <c r="B19" s="445"/>
      <c r="C19" s="445"/>
      <c r="D19" s="442"/>
      <c r="E19" s="448"/>
      <c r="F19" s="442"/>
      <c r="G19" s="451"/>
      <c r="H19" s="362"/>
      <c r="I19" s="344"/>
      <c r="J19" s="355"/>
      <c r="K19" s="346"/>
      <c r="L19" s="344"/>
      <c r="M19" s="347"/>
      <c r="N19" s="347"/>
      <c r="O19" s="348">
        <f t="shared" si="4"/>
        <v>0</v>
      </c>
      <c r="P19" s="453"/>
      <c r="Q19" s="453"/>
      <c r="R19" s="215"/>
      <c r="S19" s="350"/>
      <c r="T19" s="350"/>
      <c r="U19" s="352"/>
      <c r="V19" s="354"/>
      <c r="W19" s="353"/>
      <c r="X19" s="353"/>
      <c r="Y19" s="356"/>
      <c r="Z19" s="356"/>
      <c r="AA19" s="356"/>
      <c r="AB19" s="356"/>
      <c r="AC19" s="353"/>
      <c r="AD19" s="353"/>
      <c r="AE19" s="349"/>
      <c r="AF19" s="349"/>
      <c r="AK19" s="2"/>
    </row>
    <row r="20" spans="1:37" ht="15">
      <c r="A20" s="443"/>
      <c r="B20" s="446"/>
      <c r="C20" s="446"/>
      <c r="D20" s="443"/>
      <c r="E20" s="449"/>
      <c r="F20" s="443"/>
      <c r="G20" s="451"/>
      <c r="H20" s="362"/>
      <c r="I20" s="357"/>
      <c r="J20" s="355"/>
      <c r="K20" s="346">
        <f t="shared" ref="K20" si="5">IFERROR((I20/176)/L20,0)</f>
        <v>0</v>
      </c>
      <c r="L20" s="344"/>
      <c r="M20" s="347"/>
      <c r="N20" s="347"/>
      <c r="O20" s="348">
        <f t="shared" si="4"/>
        <v>0</v>
      </c>
      <c r="P20" s="454"/>
      <c r="Q20" s="454"/>
      <c r="R20" s="215"/>
      <c r="S20" s="358"/>
      <c r="T20" s="350"/>
      <c r="U20" s="352"/>
      <c r="V20" s="349"/>
      <c r="W20" s="353" t="str">
        <f>IFERROR(IF(V20="","",IF(N20="Fábrica",VLOOKUP(V20&amp;"CAPEX",ISS!A:E,5,0),IF(OR(G20="HITSS",G20="GLOBALHITSS",G20="HILDEBRANDO",G20="GLOBAL HITSS"),VLOOKUP(V20,ISS!A101:E102,5,0),VLOOKUP(V20&amp;N20,ISS!A:E,5,0)))),"Classificar")</f>
        <v/>
      </c>
      <c r="X20" s="349"/>
      <c r="Y20" s="356"/>
      <c r="Z20" s="356"/>
      <c r="AA20" s="356"/>
      <c r="AB20" s="356"/>
      <c r="AC20" s="353"/>
      <c r="AD20" s="349"/>
      <c r="AE20" s="349"/>
      <c r="AF20" s="349"/>
      <c r="AK20" s="2"/>
    </row>
    <row r="21" spans="1:37">
      <c r="A21" s="216"/>
      <c r="B21" s="216"/>
      <c r="C21" s="216"/>
      <c r="D21" s="216"/>
      <c r="E21" s="216"/>
      <c r="F21" s="216"/>
      <c r="G21" s="216"/>
      <c r="H21" s="219"/>
      <c r="I21" s="216"/>
      <c r="J21" s="217"/>
      <c r="K21" s="216"/>
      <c r="L21" s="218"/>
      <c r="M21" s="216"/>
      <c r="N21" s="219"/>
      <c r="O21" s="216"/>
      <c r="P21" s="218"/>
      <c r="Q21" s="218"/>
      <c r="R21" s="64"/>
      <c r="S21" s="216"/>
      <c r="T21" s="216"/>
      <c r="U21" s="216"/>
      <c r="V21" s="216"/>
      <c r="W21" s="216"/>
      <c r="X21" s="216"/>
      <c r="Y21" s="216"/>
      <c r="Z21" s="216"/>
      <c r="AA21" s="216"/>
      <c r="AB21" s="216"/>
      <c r="AC21" s="360"/>
      <c r="AD21" s="216"/>
      <c r="AE21" s="216"/>
      <c r="AF21" s="216"/>
      <c r="AK21" s="2"/>
    </row>
    <row r="22" spans="1:37" ht="18.600000000000001">
      <c r="A22" s="235" t="str">
        <f>A16</f>
        <v>Sistemas Empresarial</v>
      </c>
      <c r="B22" s="235" t="str">
        <f>B16</f>
        <v>CLARO</v>
      </c>
      <c r="C22" s="235" t="str">
        <f>C16</f>
        <v>Áreas Corporativas</v>
      </c>
      <c r="D22" s="235" t="s">
        <v>468</v>
      </c>
      <c r="E22" s="220"/>
      <c r="F22" s="220"/>
      <c r="G22" s="220"/>
      <c r="H22" s="237"/>
      <c r="I22" s="228">
        <f>SUM(I16:I21)</f>
        <v>90.05</v>
      </c>
      <c r="J22" s="222"/>
      <c r="K22" s="225">
        <f>SUM(K16:K21)</f>
        <v>5.684974747474747E-2</v>
      </c>
      <c r="L22" s="223"/>
      <c r="M22" s="224"/>
      <c r="N22" s="240" t="str">
        <f>N16</f>
        <v>Opex</v>
      </c>
      <c r="O22" s="225">
        <f>SUM(O16:O21)</f>
        <v>64367.739999999991</v>
      </c>
      <c r="P22" s="231"/>
      <c r="Q22" s="231"/>
      <c r="R22" s="226"/>
      <c r="S22" s="227"/>
      <c r="T22" s="227"/>
      <c r="U22" s="227"/>
      <c r="V22" s="227"/>
      <c r="W22" s="227"/>
      <c r="X22" s="227"/>
      <c r="Y22" s="227"/>
      <c r="Z22" s="227"/>
      <c r="AA22" s="227"/>
      <c r="AB22" s="227"/>
      <c r="AC22" s="361"/>
      <c r="AD22" s="227"/>
      <c r="AE22" s="227"/>
      <c r="AF22" s="227"/>
      <c r="AK22" s="2"/>
    </row>
    <row r="23" spans="1:37" ht="15">
      <c r="A23" s="441" t="s">
        <v>95</v>
      </c>
      <c r="B23" s="444" t="s">
        <v>20</v>
      </c>
      <c r="C23" s="444" t="s">
        <v>58</v>
      </c>
      <c r="D23" s="441" t="s">
        <v>475</v>
      </c>
      <c r="E23" s="447" t="s">
        <v>476</v>
      </c>
      <c r="F23" s="441" t="s">
        <v>96</v>
      </c>
      <c r="G23" s="450" t="s">
        <v>477</v>
      </c>
      <c r="H23" s="362" t="s">
        <v>478</v>
      </c>
      <c r="I23" s="344">
        <v>96.4</v>
      </c>
      <c r="J23" s="345">
        <v>176</v>
      </c>
      <c r="K23" s="346">
        <f>IFERROR((I23/176)/L23,0)</f>
        <v>6.0858585858585862E-2</v>
      </c>
      <c r="L23" s="344">
        <v>9</v>
      </c>
      <c r="M23" s="347" t="s">
        <v>463</v>
      </c>
      <c r="N23" s="347" t="s">
        <v>402</v>
      </c>
      <c r="O23" s="348">
        <f>I23*J23</f>
        <v>16966.400000000001</v>
      </c>
      <c r="P23" s="452"/>
      <c r="Q23" s="452"/>
      <c r="R23" s="215"/>
      <c r="S23" s="350" t="s">
        <v>464</v>
      </c>
      <c r="T23" s="351" t="s">
        <v>465</v>
      </c>
      <c r="U23" s="352" t="s">
        <v>466</v>
      </c>
      <c r="V23" s="353"/>
      <c r="W23" s="353" t="str">
        <f>IFERROR(IF(V23="","",IF(N23="Fábrica",VLOOKUP(V23&amp;"CAPEX",ISS!A:E,5,0),IF(OR(G23="HITSS",G23="GLOBALHITSS",G23="HILDEBRANDO",G23="GLOBAL HITSS"),VLOOKUP(V23,ISS!A104:E105,5,0),VLOOKUP(V23&amp;N23,ISS!A:E,5,0)))),"Classificar")</f>
        <v/>
      </c>
      <c r="X23" s="353" t="s">
        <v>37</v>
      </c>
      <c r="Y23" s="351"/>
      <c r="Z23" s="353"/>
      <c r="AA23" s="353"/>
      <c r="AB23" s="353"/>
      <c r="AC23" s="353" t="str">
        <f>H23&amp;": "&amp;TEXT(I23,"#.##0")&amp;"h *  R$ "&amp; TEXT(J23, "#.##0,00") &amp;"/h = R$ "&amp; TEXT(O23,"#.##0,00")</f>
        <v>Ambientes - Serviço Especializado de Ambiente: 96h *  R$ 176,00/h = R$ 16.966,40</v>
      </c>
      <c r="AD23" s="353"/>
      <c r="AE23" s="353"/>
      <c r="AF23" s="353"/>
      <c r="AK23" s="2"/>
    </row>
    <row r="24" spans="1:37" ht="15">
      <c r="A24" s="442"/>
      <c r="B24" s="445"/>
      <c r="C24" s="445"/>
      <c r="D24" s="442"/>
      <c r="E24" s="448"/>
      <c r="F24" s="442"/>
      <c r="G24" s="451"/>
      <c r="H24" s="362"/>
      <c r="I24" s="344"/>
      <c r="J24" s="345"/>
      <c r="K24" s="346">
        <f>IFERROR((I24/176)/L24,0)</f>
        <v>0</v>
      </c>
      <c r="L24" s="344"/>
      <c r="M24" s="347" t="s">
        <v>463</v>
      </c>
      <c r="N24" s="347" t="s">
        <v>402</v>
      </c>
      <c r="O24" s="348">
        <f>I24*J24</f>
        <v>0</v>
      </c>
      <c r="P24" s="453"/>
      <c r="Q24" s="453"/>
      <c r="R24" s="215"/>
      <c r="S24" s="350" t="s">
        <v>464</v>
      </c>
      <c r="T24" s="351" t="s">
        <v>465</v>
      </c>
      <c r="U24" s="352" t="s">
        <v>466</v>
      </c>
      <c r="V24" s="353"/>
      <c r="W24" s="353" t="str">
        <f>IFERROR(IF(V24="","",IF(N24="Fábrica",VLOOKUP(V24&amp;"CAPEX",ISS!A:E,5,0),IF(OR(G24="HITSS",G24="GLOBALHITSS",G24="HILDEBRANDO",G24="GLOBAL HITSS"),VLOOKUP(V24,ISS!A105:E106,5,0),VLOOKUP(V24&amp;N24,ISS!A:E,5,0)))),"Classificar")</f>
        <v/>
      </c>
      <c r="X24" s="353" t="s">
        <v>37</v>
      </c>
      <c r="Y24" s="349"/>
      <c r="Z24" s="349"/>
      <c r="AA24" s="349"/>
      <c r="AB24" s="349"/>
      <c r="AC24" s="353" t="str">
        <f>H24&amp;": "&amp;TEXT(I24,"#.##0")&amp;"h *  R$ "&amp; TEXT(J24, "#.##0,00") &amp;"/h = R$ "&amp; TEXT(O24,"#.##0,00")</f>
        <v>: 0h *  R$ 0,00/h = R$ 0,00</v>
      </c>
      <c r="AD24" s="353"/>
      <c r="AE24" s="349"/>
      <c r="AF24" s="349"/>
      <c r="AK24" s="2"/>
    </row>
    <row r="25" spans="1:37" ht="15">
      <c r="A25" s="442"/>
      <c r="B25" s="445"/>
      <c r="C25" s="445"/>
      <c r="D25" s="442"/>
      <c r="E25" s="448"/>
      <c r="F25" s="442"/>
      <c r="G25" s="451"/>
      <c r="H25" s="362"/>
      <c r="I25" s="344"/>
      <c r="J25" s="345"/>
      <c r="K25" s="346"/>
      <c r="L25" s="344"/>
      <c r="M25" s="347"/>
      <c r="N25" s="347"/>
      <c r="O25" s="348">
        <f t="shared" ref="O25:O27" si="6">I25*J25</f>
        <v>0</v>
      </c>
      <c r="P25" s="453"/>
      <c r="Q25" s="453"/>
      <c r="R25" s="215"/>
      <c r="S25" s="350"/>
      <c r="T25" s="350"/>
      <c r="U25" s="352"/>
      <c r="V25" s="354"/>
      <c r="W25" s="353"/>
      <c r="X25" s="353"/>
      <c r="Y25" s="349"/>
      <c r="Z25" s="349"/>
      <c r="AA25" s="349"/>
      <c r="AB25" s="349"/>
      <c r="AC25" s="353"/>
      <c r="AD25" s="353"/>
      <c r="AE25" s="349"/>
      <c r="AF25" s="349"/>
      <c r="AK25" s="2"/>
    </row>
    <row r="26" spans="1:37" ht="15">
      <c r="A26" s="442"/>
      <c r="B26" s="445"/>
      <c r="C26" s="445"/>
      <c r="D26" s="442"/>
      <c r="E26" s="448"/>
      <c r="F26" s="442"/>
      <c r="G26" s="451"/>
      <c r="H26" s="362"/>
      <c r="I26" s="344"/>
      <c r="J26" s="355"/>
      <c r="K26" s="346"/>
      <c r="L26" s="344"/>
      <c r="M26" s="347"/>
      <c r="N26" s="347"/>
      <c r="O26" s="348">
        <f t="shared" si="6"/>
        <v>0</v>
      </c>
      <c r="P26" s="453"/>
      <c r="Q26" s="453"/>
      <c r="R26" s="215"/>
      <c r="S26" s="350"/>
      <c r="T26" s="350"/>
      <c r="U26" s="352"/>
      <c r="V26" s="354"/>
      <c r="W26" s="353"/>
      <c r="X26" s="353"/>
      <c r="Y26" s="356"/>
      <c r="Z26" s="356"/>
      <c r="AA26" s="356"/>
      <c r="AB26" s="356"/>
      <c r="AC26" s="353"/>
      <c r="AD26" s="353"/>
      <c r="AE26" s="349"/>
      <c r="AF26" s="349"/>
      <c r="AK26" s="2"/>
    </row>
    <row r="27" spans="1:37" ht="15">
      <c r="A27" s="443"/>
      <c r="B27" s="446"/>
      <c r="C27" s="446"/>
      <c r="D27" s="443"/>
      <c r="E27" s="449"/>
      <c r="F27" s="443"/>
      <c r="G27" s="451"/>
      <c r="H27" s="362"/>
      <c r="I27" s="357"/>
      <c r="J27" s="355"/>
      <c r="K27" s="346">
        <f t="shared" ref="K27" si="7">IFERROR((I27/176)/L27,0)</f>
        <v>0</v>
      </c>
      <c r="L27" s="344"/>
      <c r="M27" s="347"/>
      <c r="N27" s="347"/>
      <c r="O27" s="348">
        <f t="shared" si="6"/>
        <v>0</v>
      </c>
      <c r="P27" s="454"/>
      <c r="Q27" s="454"/>
      <c r="R27" s="215"/>
      <c r="S27" s="358"/>
      <c r="T27" s="350"/>
      <c r="U27" s="352"/>
      <c r="V27" s="349"/>
      <c r="W27" s="353" t="str">
        <f>IFERROR(IF(V27="","",IF(N27="Fábrica",VLOOKUP(V27&amp;"CAPEX",ISS!A:E,5,0),IF(OR(G27="HITSS",G27="GLOBALHITSS",G27="HILDEBRANDO",G27="GLOBAL HITSS"),VLOOKUP(V27,ISS!A108:E109,5,0),VLOOKUP(V27&amp;N27,ISS!A:E,5,0)))),"Classificar")</f>
        <v/>
      </c>
      <c r="X27" s="349"/>
      <c r="Y27" s="356"/>
      <c r="Z27" s="356"/>
      <c r="AA27" s="356"/>
      <c r="AB27" s="356"/>
      <c r="AC27" s="353"/>
      <c r="AD27" s="349"/>
      <c r="AE27" s="349"/>
      <c r="AF27" s="349"/>
      <c r="AK27" s="2"/>
    </row>
    <row r="28" spans="1:37">
      <c r="A28" s="216"/>
      <c r="B28" s="216"/>
      <c r="C28" s="216"/>
      <c r="D28" s="216"/>
      <c r="E28" s="216"/>
      <c r="F28" s="216"/>
      <c r="G28" s="216"/>
      <c r="H28" s="219"/>
      <c r="I28" s="216"/>
      <c r="J28" s="217"/>
      <c r="K28" s="216"/>
      <c r="L28" s="218"/>
      <c r="M28" s="216"/>
      <c r="N28" s="219"/>
      <c r="O28" s="216"/>
      <c r="P28" s="218"/>
      <c r="Q28" s="218"/>
      <c r="R28" s="64"/>
      <c r="S28" s="216"/>
      <c r="T28" s="216"/>
      <c r="U28" s="216"/>
      <c r="V28" s="216"/>
      <c r="W28" s="216"/>
      <c r="X28" s="216"/>
      <c r="Y28" s="216"/>
      <c r="Z28" s="216"/>
      <c r="AA28" s="216"/>
      <c r="AB28" s="216"/>
      <c r="AC28" s="360"/>
      <c r="AD28" s="216"/>
      <c r="AE28" s="216"/>
      <c r="AF28" s="216"/>
      <c r="AK28" s="2"/>
    </row>
    <row r="29" spans="1:37" ht="18.600000000000001">
      <c r="A29" s="235" t="str">
        <f>A23</f>
        <v>Sistemas Empresarial</v>
      </c>
      <c r="B29" s="235" t="str">
        <f>B23</f>
        <v>CLARO</v>
      </c>
      <c r="C29" s="235" t="str">
        <f>C23</f>
        <v>Áreas Corporativas</v>
      </c>
      <c r="D29" s="235" t="s">
        <v>468</v>
      </c>
      <c r="E29" s="220"/>
      <c r="F29" s="220"/>
      <c r="G29" s="220"/>
      <c r="H29" s="237"/>
      <c r="I29" s="228">
        <f>SUM(I23:I28)</f>
        <v>96.4</v>
      </c>
      <c r="J29" s="222"/>
      <c r="K29" s="225">
        <f>SUM(K23:K28)</f>
        <v>6.0858585858585862E-2</v>
      </c>
      <c r="L29" s="223"/>
      <c r="M29" s="224"/>
      <c r="N29" s="240" t="str">
        <f>N23</f>
        <v>Opex</v>
      </c>
      <c r="O29" s="225">
        <f>SUM(O23:O28)</f>
        <v>16966.400000000001</v>
      </c>
      <c r="P29" s="231"/>
      <c r="Q29" s="231"/>
      <c r="R29" s="226"/>
      <c r="S29" s="227"/>
      <c r="T29" s="227"/>
      <c r="U29" s="227"/>
      <c r="V29" s="227"/>
      <c r="W29" s="227"/>
      <c r="X29" s="227"/>
      <c r="Y29" s="227"/>
      <c r="Z29" s="227"/>
      <c r="AA29" s="227"/>
      <c r="AB29" s="227"/>
      <c r="AC29" s="361"/>
      <c r="AD29" s="227"/>
      <c r="AE29" s="227"/>
      <c r="AF29" s="227"/>
      <c r="AK29" s="2"/>
    </row>
    <row r="30" spans="1:37" ht="15">
      <c r="A30" s="441" t="s">
        <v>95</v>
      </c>
      <c r="B30" s="444" t="s">
        <v>20</v>
      </c>
      <c r="C30" s="444" t="s">
        <v>58</v>
      </c>
      <c r="D30" s="441" t="s">
        <v>475</v>
      </c>
      <c r="E30" s="447" t="s">
        <v>479</v>
      </c>
      <c r="F30" s="441" t="s">
        <v>96</v>
      </c>
      <c r="G30" s="450" t="s">
        <v>480</v>
      </c>
      <c r="H30" s="362" t="s">
        <v>479</v>
      </c>
      <c r="I30" s="344">
        <v>132.63</v>
      </c>
      <c r="J30" s="345">
        <v>352</v>
      </c>
      <c r="K30" s="346">
        <f>IFERROR((I30/176)/L30,0)</f>
        <v>8.3731060606060601E-2</v>
      </c>
      <c r="L30" s="344">
        <v>9</v>
      </c>
      <c r="M30" s="347" t="s">
        <v>463</v>
      </c>
      <c r="N30" s="347" t="s">
        <v>402</v>
      </c>
      <c r="O30" s="348">
        <f>I30*J30</f>
        <v>46685.759999999995</v>
      </c>
      <c r="P30" s="452"/>
      <c r="Q30" s="452"/>
      <c r="R30" s="215"/>
      <c r="S30" s="350" t="s">
        <v>481</v>
      </c>
      <c r="T30" s="351" t="s">
        <v>465</v>
      </c>
      <c r="U30" s="352" t="s">
        <v>466</v>
      </c>
      <c r="V30" s="353" t="s">
        <v>467</v>
      </c>
      <c r="W30" s="353"/>
      <c r="X30" s="353" t="s">
        <v>37</v>
      </c>
      <c r="Y30" s="351"/>
      <c r="Z30" s="353"/>
      <c r="AA30" s="353"/>
      <c r="AB30" s="353"/>
      <c r="AC30" s="353" t="str">
        <f>H30&amp;": "&amp;TEXT(I30,"#.##0")&amp;"h *  R$ "&amp; TEXT(J30, "#.##0,00") &amp;"/h = R$ "&amp; TEXT(O30,"#.##0,00")</f>
        <v>AUTOMATIZAÇÃO E PERFORMANCE DE TESTES: 133h *  R$ 352,00/h = R$ 46.685,76</v>
      </c>
      <c r="AD30" s="353"/>
      <c r="AE30" s="353"/>
      <c r="AF30" s="353"/>
      <c r="AK30" s="2"/>
    </row>
    <row r="31" spans="1:37" ht="15">
      <c r="A31" s="442"/>
      <c r="B31" s="445"/>
      <c r="C31" s="445"/>
      <c r="D31" s="442"/>
      <c r="E31" s="448"/>
      <c r="F31" s="442"/>
      <c r="G31" s="451"/>
      <c r="H31" s="362"/>
      <c r="I31" s="344"/>
      <c r="J31" s="345"/>
      <c r="K31" s="346"/>
      <c r="L31" s="344"/>
      <c r="M31" s="347"/>
      <c r="N31" s="347"/>
      <c r="O31" s="348"/>
      <c r="P31" s="453"/>
      <c r="Q31" s="453"/>
      <c r="R31" s="215"/>
      <c r="S31" s="350"/>
      <c r="T31" s="350"/>
      <c r="U31" s="352"/>
      <c r="V31" s="354"/>
      <c r="W31" s="353"/>
      <c r="X31" s="353"/>
      <c r="Y31" s="349"/>
      <c r="Z31" s="349"/>
      <c r="AA31" s="349"/>
      <c r="AB31" s="349"/>
      <c r="AC31" s="353"/>
      <c r="AD31" s="353"/>
      <c r="AE31" s="349"/>
      <c r="AF31" s="349"/>
      <c r="AK31" s="2"/>
    </row>
    <row r="32" spans="1:37" ht="15">
      <c r="A32" s="442"/>
      <c r="B32" s="445"/>
      <c r="C32" s="445"/>
      <c r="D32" s="442"/>
      <c r="E32" s="448"/>
      <c r="F32" s="442"/>
      <c r="G32" s="451"/>
      <c r="H32" s="362"/>
      <c r="I32" s="344"/>
      <c r="J32" s="345"/>
      <c r="K32" s="346"/>
      <c r="L32" s="344"/>
      <c r="M32" s="347"/>
      <c r="N32" s="347"/>
      <c r="O32" s="348">
        <f t="shared" ref="O32:O34" si="8">I32*J32</f>
        <v>0</v>
      </c>
      <c r="P32" s="453"/>
      <c r="Q32" s="453"/>
      <c r="R32" s="215"/>
      <c r="S32" s="350"/>
      <c r="T32" s="350"/>
      <c r="U32" s="352"/>
      <c r="V32" s="354"/>
      <c r="W32" s="353"/>
      <c r="X32" s="353"/>
      <c r="Y32" s="349"/>
      <c r="Z32" s="349"/>
      <c r="AA32" s="349"/>
      <c r="AB32" s="349"/>
      <c r="AC32" s="353"/>
      <c r="AD32" s="353"/>
      <c r="AE32" s="349"/>
      <c r="AF32" s="349"/>
      <c r="AK32" s="2"/>
    </row>
    <row r="33" spans="1:37" ht="15">
      <c r="A33" s="442"/>
      <c r="B33" s="445"/>
      <c r="C33" s="445"/>
      <c r="D33" s="442"/>
      <c r="E33" s="448"/>
      <c r="F33" s="442"/>
      <c r="G33" s="451"/>
      <c r="H33" s="362"/>
      <c r="I33" s="344"/>
      <c r="J33" s="355"/>
      <c r="K33" s="346"/>
      <c r="L33" s="344"/>
      <c r="M33" s="347"/>
      <c r="N33" s="347"/>
      <c r="O33" s="348">
        <f t="shared" si="8"/>
        <v>0</v>
      </c>
      <c r="P33" s="453"/>
      <c r="Q33" s="453"/>
      <c r="R33" s="215"/>
      <c r="S33" s="350"/>
      <c r="T33" s="350"/>
      <c r="U33" s="352"/>
      <c r="V33" s="354"/>
      <c r="W33" s="353"/>
      <c r="X33" s="353"/>
      <c r="Y33" s="356"/>
      <c r="Z33" s="356"/>
      <c r="AA33" s="356"/>
      <c r="AB33" s="356"/>
      <c r="AC33" s="353"/>
      <c r="AD33" s="353"/>
      <c r="AE33" s="349"/>
      <c r="AF33" s="349"/>
      <c r="AK33" s="2"/>
    </row>
    <row r="34" spans="1:37" ht="15">
      <c r="A34" s="443"/>
      <c r="B34" s="446"/>
      <c r="C34" s="446"/>
      <c r="D34" s="443"/>
      <c r="E34" s="449"/>
      <c r="F34" s="443"/>
      <c r="G34" s="451"/>
      <c r="H34" s="362"/>
      <c r="I34" s="357"/>
      <c r="J34" s="355"/>
      <c r="K34" s="346">
        <f t="shared" ref="K34" si="9">IFERROR((I34/176)/L34,0)</f>
        <v>0</v>
      </c>
      <c r="L34" s="344"/>
      <c r="M34" s="347"/>
      <c r="N34" s="347"/>
      <c r="O34" s="348">
        <f t="shared" si="8"/>
        <v>0</v>
      </c>
      <c r="P34" s="454"/>
      <c r="Q34" s="454"/>
      <c r="R34" s="215"/>
      <c r="S34" s="358"/>
      <c r="T34" s="350"/>
      <c r="U34" s="352"/>
      <c r="V34" s="349"/>
      <c r="W34" s="353" t="str">
        <f>IFERROR(IF(V34="","",IF(N34="Fábrica",VLOOKUP(V34&amp;"CAPEX",ISS!A:E,5,0),IF(OR(G34="HITSS",G34="GLOBALHITSS",G34="HILDEBRANDO",G34="GLOBAL HITSS"),VLOOKUP(V34,ISS!A115:E116,5,0),VLOOKUP(V34&amp;N34,ISS!A:E,5,0)))),"Classificar")</f>
        <v/>
      </c>
      <c r="X34" s="349"/>
      <c r="Y34" s="356"/>
      <c r="Z34" s="356"/>
      <c r="AA34" s="356"/>
      <c r="AB34" s="356"/>
      <c r="AC34" s="353"/>
      <c r="AD34" s="349"/>
      <c r="AE34" s="349"/>
      <c r="AF34" s="349"/>
      <c r="AK34" s="2"/>
    </row>
    <row r="35" spans="1:37">
      <c r="A35" s="216"/>
      <c r="B35" s="216"/>
      <c r="C35" s="216"/>
      <c r="D35" s="216"/>
      <c r="E35" s="216"/>
      <c r="F35" s="216"/>
      <c r="G35" s="216"/>
      <c r="H35" s="219"/>
      <c r="I35" s="216"/>
      <c r="J35" s="217"/>
      <c r="K35" s="216"/>
      <c r="L35" s="218"/>
      <c r="M35" s="216"/>
      <c r="N35" s="219"/>
      <c r="O35" s="216"/>
      <c r="P35" s="218"/>
      <c r="Q35" s="218"/>
      <c r="R35" s="64"/>
      <c r="S35" s="216"/>
      <c r="T35" s="216"/>
      <c r="U35" s="216"/>
      <c r="V35" s="216"/>
      <c r="W35" s="216"/>
      <c r="X35" s="216"/>
      <c r="Y35" s="216"/>
      <c r="Z35" s="216"/>
      <c r="AA35" s="216"/>
      <c r="AB35" s="216"/>
      <c r="AC35" s="360"/>
      <c r="AD35" s="216"/>
      <c r="AE35" s="216"/>
      <c r="AF35" s="216"/>
      <c r="AK35" s="2"/>
    </row>
    <row r="36" spans="1:37" ht="18.75">
      <c r="A36" s="235" t="str">
        <f>A30</f>
        <v>Sistemas Empresarial</v>
      </c>
      <c r="B36" s="235" t="str">
        <f>B30</f>
        <v>CLARO</v>
      </c>
      <c r="C36" s="235" t="str">
        <f>C30</f>
        <v>Áreas Corporativas</v>
      </c>
      <c r="D36" s="235" t="s">
        <v>468</v>
      </c>
      <c r="E36" s="220"/>
      <c r="F36" s="220"/>
      <c r="G36" s="220"/>
      <c r="H36" s="237"/>
      <c r="I36" s="228">
        <f>SUM(I30:I35)</f>
        <v>132.63</v>
      </c>
      <c r="J36" s="222"/>
      <c r="K36" s="225">
        <f>SUM(K30:K35)</f>
        <v>8.3731060606060601E-2</v>
      </c>
      <c r="L36" s="223"/>
      <c r="M36" s="224"/>
      <c r="N36" s="240" t="str">
        <f>N30</f>
        <v>Opex</v>
      </c>
      <c r="O36" s="225">
        <f>SUM(O30:O35)</f>
        <v>46685.759999999995</v>
      </c>
      <c r="P36" s="231"/>
      <c r="Q36" s="231"/>
      <c r="R36" s="226"/>
      <c r="S36" s="227"/>
      <c r="T36" s="227"/>
      <c r="U36" s="227"/>
      <c r="V36" s="227"/>
      <c r="W36" s="227"/>
      <c r="X36" s="227"/>
      <c r="Y36" s="227"/>
      <c r="Z36" s="227"/>
      <c r="AA36" s="227"/>
      <c r="AB36" s="227"/>
      <c r="AC36" s="361"/>
      <c r="AD36" s="227"/>
      <c r="AE36" s="227"/>
      <c r="AF36" s="227"/>
      <c r="AK36" s="2"/>
    </row>
    <row r="37" spans="1:37" ht="15">
      <c r="A37" s="441" t="s">
        <v>95</v>
      </c>
      <c r="B37" s="444" t="s">
        <v>20</v>
      </c>
      <c r="C37" s="444" t="s">
        <v>58</v>
      </c>
      <c r="D37" s="441" t="s">
        <v>475</v>
      </c>
      <c r="E37" s="447" t="s">
        <v>482</v>
      </c>
      <c r="F37" s="441" t="s">
        <v>96</v>
      </c>
      <c r="G37" s="450" t="s">
        <v>480</v>
      </c>
      <c r="H37" s="362" t="s">
        <v>483</v>
      </c>
      <c r="I37" s="344">
        <v>103.4</v>
      </c>
      <c r="J37" s="345">
        <v>1369</v>
      </c>
      <c r="K37" s="346">
        <f>IFERROR((I37/176)/L37,0)</f>
        <v>6.5277777777777782E-2</v>
      </c>
      <c r="L37" s="344">
        <v>9</v>
      </c>
      <c r="M37" s="347" t="s">
        <v>463</v>
      </c>
      <c r="N37" s="347" t="s">
        <v>402</v>
      </c>
      <c r="O37" s="348">
        <f>I37*J37</f>
        <v>141554.6</v>
      </c>
      <c r="P37" s="452"/>
      <c r="Q37" s="452"/>
      <c r="R37" s="215"/>
      <c r="S37" s="350" t="s">
        <v>464</v>
      </c>
      <c r="T37" s="351" t="s">
        <v>465</v>
      </c>
      <c r="U37" s="352" t="s">
        <v>466</v>
      </c>
      <c r="V37" s="353" t="s">
        <v>467</v>
      </c>
      <c r="W37" s="353"/>
      <c r="X37" s="353" t="s">
        <v>37</v>
      </c>
      <c r="Y37" s="351"/>
      <c r="Z37" s="353"/>
      <c r="AA37" s="353"/>
      <c r="AB37" s="353"/>
      <c r="AC37" s="353" t="str">
        <f>H37&amp;": "&amp;TEXT(I37,"#.##0")&amp;"h *  R$ "&amp; TEXT(J37, "#.##0,00") &amp;"/h = R$ "&amp; TEXT(O37,"#.##0,00")</f>
        <v>Análise - Sênior: 103h *  R$ 1.369,00/h = R$ 141.554,60</v>
      </c>
      <c r="AD37" s="353"/>
      <c r="AE37" s="353"/>
      <c r="AF37" s="353"/>
      <c r="AK37" s="2"/>
    </row>
    <row r="38" spans="1:37" ht="15">
      <c r="A38" s="442"/>
      <c r="B38" s="445"/>
      <c r="C38" s="445"/>
      <c r="D38" s="442"/>
      <c r="E38" s="448"/>
      <c r="F38" s="442"/>
      <c r="G38" s="451"/>
      <c r="H38" s="362" t="s">
        <v>479</v>
      </c>
      <c r="I38" s="344">
        <v>132.63</v>
      </c>
      <c r="J38" s="345">
        <v>450</v>
      </c>
      <c r="K38" s="346">
        <f t="shared" ref="K38:K40" si="10">IFERROR((I38/176)/L38,0)</f>
        <v>8.3731060606060601E-2</v>
      </c>
      <c r="L38" s="344">
        <v>9</v>
      </c>
      <c r="M38" s="347" t="s">
        <v>463</v>
      </c>
      <c r="N38" s="347" t="s">
        <v>402</v>
      </c>
      <c r="O38" s="348">
        <f t="shared" ref="O38:O40" si="11">I38*J38</f>
        <v>59683.5</v>
      </c>
      <c r="P38" s="453"/>
      <c r="Q38" s="453"/>
      <c r="R38" s="215"/>
      <c r="S38" s="350" t="s">
        <v>464</v>
      </c>
      <c r="T38" s="351" t="s">
        <v>465</v>
      </c>
      <c r="U38" s="352" t="s">
        <v>466</v>
      </c>
      <c r="V38" s="353" t="s">
        <v>467</v>
      </c>
      <c r="W38" s="353"/>
      <c r="X38" s="353" t="s">
        <v>37</v>
      </c>
      <c r="Y38" s="351"/>
      <c r="Z38" s="353"/>
      <c r="AA38" s="353"/>
      <c r="AB38" s="353"/>
      <c r="AC38" s="353" t="str">
        <f t="shared" ref="AC38:AC40" si="12">H38&amp;": "&amp;TEXT(I38,"#.##0")&amp;"h *  R$ "&amp; TEXT(J38, "#.##0,00") &amp;"/h = R$ "&amp; TEXT(O38,"#.##0,00")</f>
        <v>AUTOMATIZAÇÃO E PERFORMANCE DE TESTES: 133h *  R$ 450,00/h = R$ 59.683,50</v>
      </c>
      <c r="AD38" s="353"/>
      <c r="AE38" s="353"/>
      <c r="AF38" s="353"/>
      <c r="AK38" s="2"/>
    </row>
    <row r="39" spans="1:37" ht="15">
      <c r="A39" s="442"/>
      <c r="B39" s="445"/>
      <c r="C39" s="445"/>
      <c r="D39" s="442"/>
      <c r="E39" s="448"/>
      <c r="F39" s="442"/>
      <c r="G39" s="451"/>
      <c r="H39" s="362"/>
      <c r="I39" s="344"/>
      <c r="J39" s="345"/>
      <c r="K39" s="346"/>
      <c r="L39" s="344"/>
      <c r="M39" s="347"/>
      <c r="N39" s="347"/>
      <c r="O39" s="348"/>
      <c r="P39" s="453"/>
      <c r="Q39" s="453"/>
      <c r="R39" s="215"/>
      <c r="S39" s="350"/>
      <c r="T39" s="351"/>
      <c r="U39" s="352"/>
      <c r="V39" s="353"/>
      <c r="W39" s="353"/>
      <c r="X39" s="353"/>
      <c r="Y39" s="351"/>
      <c r="Z39" s="353"/>
      <c r="AA39" s="353"/>
      <c r="AB39" s="353"/>
      <c r="AC39" s="353" t="str">
        <f t="shared" si="12"/>
        <v>: 0h *  R$ 0,00/h = R$ 0,00</v>
      </c>
      <c r="AD39" s="353"/>
      <c r="AE39" s="353"/>
      <c r="AF39" s="353"/>
      <c r="AK39" s="2"/>
    </row>
    <row r="40" spans="1:37" ht="15">
      <c r="A40" s="442"/>
      <c r="B40" s="445"/>
      <c r="C40" s="445"/>
      <c r="D40" s="442"/>
      <c r="E40" s="448"/>
      <c r="F40" s="442"/>
      <c r="G40" s="451"/>
      <c r="H40" s="362"/>
      <c r="I40" s="344"/>
      <c r="J40" s="345"/>
      <c r="K40" s="346"/>
      <c r="L40" s="344"/>
      <c r="M40" s="347"/>
      <c r="N40" s="347"/>
      <c r="O40" s="348"/>
      <c r="P40" s="453"/>
      <c r="Q40" s="453"/>
      <c r="R40" s="215"/>
      <c r="S40" s="350"/>
      <c r="T40" s="351"/>
      <c r="U40" s="352"/>
      <c r="V40" s="353"/>
      <c r="W40" s="353"/>
      <c r="X40" s="353"/>
      <c r="Y40" s="351"/>
      <c r="Z40" s="353"/>
      <c r="AA40" s="353"/>
      <c r="AB40" s="353"/>
      <c r="AC40" s="353" t="str">
        <f t="shared" si="12"/>
        <v>: 0h *  R$ 0,00/h = R$ 0,00</v>
      </c>
      <c r="AD40" s="353"/>
      <c r="AE40" s="353"/>
      <c r="AF40" s="353"/>
      <c r="AK40" s="2"/>
    </row>
    <row r="41" spans="1:37" ht="15">
      <c r="A41" s="443"/>
      <c r="B41" s="446"/>
      <c r="C41" s="446"/>
      <c r="D41" s="443"/>
      <c r="E41" s="449"/>
      <c r="F41" s="443"/>
      <c r="G41" s="451"/>
      <c r="H41" s="362"/>
      <c r="I41" s="357"/>
      <c r="J41" s="355"/>
      <c r="K41" s="346">
        <f t="shared" ref="K41" si="13">IFERROR((I41/176)/L41,0)</f>
        <v>0</v>
      </c>
      <c r="L41" s="344"/>
      <c r="M41" s="347"/>
      <c r="N41" s="347"/>
      <c r="O41" s="348">
        <f t="shared" ref="O41" si="14">I41*J41</f>
        <v>0</v>
      </c>
      <c r="P41" s="454"/>
      <c r="Q41" s="454"/>
      <c r="R41" s="215"/>
      <c r="S41" s="358"/>
      <c r="T41" s="350"/>
      <c r="U41" s="352"/>
      <c r="V41" s="349"/>
      <c r="W41" s="353" t="str">
        <f>IFERROR(IF(V41="","",IF(N41="Fábrica",VLOOKUP(V41&amp;"CAPEX",ISS!A:E,5,0),IF(OR(G41="HITSS",G41="GLOBALHITSS",G41="HILDEBRANDO",G41="GLOBAL HITSS"),VLOOKUP(V41,ISS!A129:E130,5,0),VLOOKUP(V41&amp;N41,ISS!A:E,5,0)))),"Classificar")</f>
        <v/>
      </c>
      <c r="X41" s="349"/>
      <c r="Y41" s="356"/>
      <c r="Z41" s="356"/>
      <c r="AA41" s="356"/>
      <c r="AB41" s="356"/>
      <c r="AC41" s="353"/>
      <c r="AD41" s="349"/>
      <c r="AE41" s="349"/>
      <c r="AF41" s="349"/>
      <c r="AK41" s="2"/>
    </row>
    <row r="42" spans="1:37">
      <c r="A42" s="216"/>
      <c r="B42" s="216"/>
      <c r="C42" s="216"/>
      <c r="D42" s="216"/>
      <c r="E42" s="216"/>
      <c r="F42" s="216"/>
      <c r="G42" s="216"/>
      <c r="H42" s="219"/>
      <c r="I42" s="216"/>
      <c r="J42" s="217"/>
      <c r="K42" s="216"/>
      <c r="L42" s="218"/>
      <c r="M42" s="216"/>
      <c r="N42" s="219"/>
      <c r="O42" s="216"/>
      <c r="P42" s="218"/>
      <c r="Q42" s="218"/>
      <c r="R42" s="64"/>
      <c r="S42" s="216"/>
      <c r="T42" s="216"/>
      <c r="U42" s="216"/>
      <c r="V42" s="216"/>
      <c r="W42" s="216"/>
      <c r="X42" s="216"/>
      <c r="Y42" s="216"/>
      <c r="Z42" s="216"/>
      <c r="AA42" s="216"/>
      <c r="AB42" s="216"/>
      <c r="AC42" s="360"/>
      <c r="AD42" s="216"/>
      <c r="AE42" s="216"/>
      <c r="AF42" s="216"/>
      <c r="AK42" s="2"/>
    </row>
    <row r="43" spans="1:37" ht="18.75">
      <c r="A43" s="235" t="str">
        <f>A37</f>
        <v>Sistemas Empresarial</v>
      </c>
      <c r="B43" s="235" t="str">
        <f>B37</f>
        <v>CLARO</v>
      </c>
      <c r="C43" s="235" t="str">
        <f>C37</f>
        <v>Áreas Corporativas</v>
      </c>
      <c r="D43" s="235" t="s">
        <v>468</v>
      </c>
      <c r="E43" s="220"/>
      <c r="F43" s="220"/>
      <c r="G43" s="220"/>
      <c r="H43" s="384"/>
      <c r="I43" s="385">
        <f>SUM(I37:I42)</f>
        <v>236.03</v>
      </c>
      <c r="J43" s="386"/>
      <c r="K43" s="387">
        <f>SUM(K37:K42)</f>
        <v>0.14900883838383838</v>
      </c>
      <c r="L43" s="388"/>
      <c r="M43" s="389"/>
      <c r="N43" s="390" t="str">
        <f>N37</f>
        <v>Opex</v>
      </c>
      <c r="O43" s="387">
        <f>SUM(O37:O42)</f>
        <v>201238.1</v>
      </c>
      <c r="P43" s="231"/>
      <c r="Q43" s="231"/>
      <c r="R43" s="226"/>
      <c r="S43" s="227"/>
      <c r="T43" s="227"/>
      <c r="U43" s="227"/>
      <c r="V43" s="227"/>
      <c r="W43" s="227"/>
      <c r="X43" s="227"/>
      <c r="Y43" s="227"/>
      <c r="Z43" s="227"/>
      <c r="AA43" s="227"/>
      <c r="AB43" s="227"/>
      <c r="AC43" s="361"/>
      <c r="AD43" s="227"/>
      <c r="AE43" s="227"/>
      <c r="AF43" s="227"/>
      <c r="AK43" s="2"/>
    </row>
    <row r="44" spans="1:37" ht="14.45" customHeight="1">
      <c r="A44" s="441" t="s">
        <v>95</v>
      </c>
      <c r="B44" s="444" t="s">
        <v>20</v>
      </c>
      <c r="C44" s="444" t="s">
        <v>58</v>
      </c>
      <c r="D44" s="441" t="s">
        <v>475</v>
      </c>
      <c r="E44" s="447" t="s">
        <v>484</v>
      </c>
      <c r="F44" s="441" t="s">
        <v>96</v>
      </c>
      <c r="G44" s="450" t="s">
        <v>480</v>
      </c>
      <c r="H44" s="391" t="s">
        <v>483</v>
      </c>
      <c r="I44" s="392">
        <v>103.4</v>
      </c>
      <c r="J44" s="393">
        <v>1153</v>
      </c>
      <c r="K44" s="394">
        <f>IFERROR((I44/176)/L44,0)</f>
        <v>6.5277777777777782E-2</v>
      </c>
      <c r="L44" s="392">
        <v>9</v>
      </c>
      <c r="M44" s="395" t="s">
        <v>463</v>
      </c>
      <c r="N44" s="395" t="s">
        <v>402</v>
      </c>
      <c r="O44" s="396">
        <f>I44*J44</f>
        <v>119220.20000000001</v>
      </c>
      <c r="P44" s="452"/>
      <c r="Q44" s="452"/>
      <c r="R44" s="215"/>
      <c r="S44" s="350" t="s">
        <v>464</v>
      </c>
      <c r="T44" s="351" t="s">
        <v>465</v>
      </c>
      <c r="U44" s="352" t="s">
        <v>466</v>
      </c>
      <c r="V44" s="353" t="s">
        <v>467</v>
      </c>
      <c r="W44" s="353"/>
      <c r="X44" s="353" t="s">
        <v>37</v>
      </c>
      <c r="Y44" s="351"/>
      <c r="Z44" s="353"/>
      <c r="AA44" s="353"/>
      <c r="AB44" s="353"/>
      <c r="AC44" s="353" t="str">
        <f>H44&amp;": "&amp;TEXT(I44,"#.##0")&amp;"h *  R$ "&amp; TEXT(J44, "#.##0,00") &amp;"/h = R$ "&amp; TEXT(O44,"#.##0,00")</f>
        <v>Análise - Sênior: 103h *  R$ 1.153,00/h = R$ 119.220,20</v>
      </c>
      <c r="AD44" s="353"/>
      <c r="AE44" s="353"/>
      <c r="AF44" s="353"/>
      <c r="AK44" s="2"/>
    </row>
    <row r="45" spans="1:37" ht="15">
      <c r="A45" s="442"/>
      <c r="B45" s="445"/>
      <c r="C45" s="445"/>
      <c r="D45" s="442"/>
      <c r="E45" s="448"/>
      <c r="F45" s="442"/>
      <c r="G45" s="451"/>
      <c r="H45" s="391" t="s">
        <v>479</v>
      </c>
      <c r="I45" s="392">
        <v>132.63</v>
      </c>
      <c r="J45" s="393">
        <v>95</v>
      </c>
      <c r="K45" s="394">
        <f t="shared" ref="K45:K47" si="15">IFERROR((I45/176)/L45,0)</f>
        <v>8.3731060606060601E-2</v>
      </c>
      <c r="L45" s="392">
        <v>9</v>
      </c>
      <c r="M45" s="395" t="s">
        <v>463</v>
      </c>
      <c r="N45" s="395" t="s">
        <v>402</v>
      </c>
      <c r="O45" s="396">
        <f t="shared" ref="O45:O47" si="16">I45*J45</f>
        <v>12599.85</v>
      </c>
      <c r="P45" s="453"/>
      <c r="Q45" s="453"/>
      <c r="R45" s="215"/>
      <c r="S45" s="350" t="s">
        <v>464</v>
      </c>
      <c r="T45" s="351" t="s">
        <v>465</v>
      </c>
      <c r="U45" s="352" t="s">
        <v>466</v>
      </c>
      <c r="V45" s="353" t="s">
        <v>467</v>
      </c>
      <c r="W45" s="353"/>
      <c r="X45" s="353" t="s">
        <v>37</v>
      </c>
      <c r="Y45" s="351"/>
      <c r="Z45" s="353"/>
      <c r="AA45" s="353"/>
      <c r="AB45" s="353"/>
      <c r="AC45" s="353" t="str">
        <f t="shared" ref="AC45:AC47" si="17">H45&amp;": "&amp;TEXT(I45,"#.##0")&amp;"h *  R$ "&amp; TEXT(J45, "#.##0,00") &amp;"/h = R$ "&amp; TEXT(O45,"#.##0,00")</f>
        <v>AUTOMATIZAÇÃO E PERFORMANCE DE TESTES: 133h *  R$ 95,00/h = R$ 12.599,85</v>
      </c>
      <c r="AD45" s="353"/>
      <c r="AE45" s="353"/>
      <c r="AF45" s="353"/>
      <c r="AK45" s="2"/>
    </row>
    <row r="46" spans="1:37" ht="15">
      <c r="A46" s="442"/>
      <c r="B46" s="445"/>
      <c r="C46" s="445"/>
      <c r="D46" s="442"/>
      <c r="E46" s="448"/>
      <c r="F46" s="442"/>
      <c r="G46" s="451"/>
      <c r="H46" s="362"/>
      <c r="I46" s="344"/>
      <c r="J46" s="345"/>
      <c r="K46" s="346"/>
      <c r="L46" s="344"/>
      <c r="M46" s="347"/>
      <c r="N46" s="347"/>
      <c r="O46" s="348"/>
      <c r="P46" s="453"/>
      <c r="Q46" s="453"/>
      <c r="R46" s="215"/>
      <c r="S46" s="350"/>
      <c r="T46" s="351"/>
      <c r="U46" s="352"/>
      <c r="V46" s="353"/>
      <c r="W46" s="353"/>
      <c r="X46" s="353"/>
      <c r="Y46" s="351"/>
      <c r="Z46" s="353"/>
      <c r="AA46" s="353"/>
      <c r="AB46" s="353"/>
      <c r="AC46" s="353" t="str">
        <f t="shared" si="17"/>
        <v>: 0h *  R$ 0,00/h = R$ 0,00</v>
      </c>
      <c r="AD46" s="353"/>
      <c r="AE46" s="353"/>
      <c r="AF46" s="353"/>
      <c r="AK46" s="2"/>
    </row>
    <row r="47" spans="1:37" ht="15">
      <c r="A47" s="442"/>
      <c r="B47" s="445"/>
      <c r="C47" s="445"/>
      <c r="D47" s="442"/>
      <c r="E47" s="448"/>
      <c r="F47" s="442"/>
      <c r="G47" s="451"/>
      <c r="H47" s="362"/>
      <c r="I47" s="344"/>
      <c r="J47" s="345"/>
      <c r="K47" s="346"/>
      <c r="L47" s="344"/>
      <c r="M47" s="347"/>
      <c r="N47" s="347"/>
      <c r="O47" s="348"/>
      <c r="P47" s="453"/>
      <c r="Q47" s="453"/>
      <c r="R47" s="215"/>
      <c r="S47" s="350"/>
      <c r="T47" s="351"/>
      <c r="U47" s="352"/>
      <c r="V47" s="353"/>
      <c r="W47" s="353"/>
      <c r="X47" s="353"/>
      <c r="Y47" s="351"/>
      <c r="Z47" s="353"/>
      <c r="AA47" s="353"/>
      <c r="AB47" s="353"/>
      <c r="AC47" s="353" t="str">
        <f t="shared" si="17"/>
        <v>: 0h *  R$ 0,00/h = R$ 0,00</v>
      </c>
      <c r="AD47" s="353"/>
      <c r="AE47" s="353"/>
      <c r="AF47" s="353"/>
      <c r="AK47" s="2"/>
    </row>
    <row r="48" spans="1:37" ht="15">
      <c r="A48" s="443"/>
      <c r="B48" s="446"/>
      <c r="C48" s="446"/>
      <c r="D48" s="443"/>
      <c r="E48" s="449"/>
      <c r="F48" s="443"/>
      <c r="G48" s="451"/>
      <c r="H48" s="362"/>
      <c r="I48" s="357"/>
      <c r="J48" s="355"/>
      <c r="K48" s="346">
        <f t="shared" ref="K48" si="18">IFERROR((I48/176)/L48,0)</f>
        <v>0</v>
      </c>
      <c r="L48" s="344"/>
      <c r="M48" s="347"/>
      <c r="N48" s="347"/>
      <c r="O48" s="348">
        <f t="shared" ref="O48" si="19">I48*J48</f>
        <v>0</v>
      </c>
      <c r="P48" s="454"/>
      <c r="Q48" s="454"/>
      <c r="R48" s="215"/>
      <c r="S48" s="358"/>
      <c r="T48" s="350"/>
      <c r="U48" s="352"/>
      <c r="V48" s="349"/>
      <c r="W48" s="353" t="str">
        <f>IFERROR(IF(V48="","",IF(N48="Fábrica",VLOOKUP(V48&amp;"CAPEX",ISS!A:E,5,0),IF(OR(G48="HITSS",G48="GLOBALHITSS",G48="HILDEBRANDO",G48="GLOBAL HITSS"),VLOOKUP(V48,ISS!A136:E137,5,0),VLOOKUP(V48&amp;N48,ISS!A:E,5,0)))),"Classificar")</f>
        <v/>
      </c>
      <c r="X48" s="349"/>
      <c r="Y48" s="356"/>
      <c r="Z48" s="356"/>
      <c r="AA48" s="356"/>
      <c r="AB48" s="356"/>
      <c r="AC48" s="353"/>
      <c r="AD48" s="349"/>
      <c r="AE48" s="349"/>
      <c r="AF48" s="349"/>
      <c r="AK48" s="2"/>
    </row>
    <row r="49" spans="1:37" ht="15">
      <c r="A49" s="216"/>
      <c r="B49" s="216"/>
      <c r="C49" s="216"/>
      <c r="D49" s="216"/>
      <c r="E49" s="216"/>
      <c r="F49" s="216"/>
      <c r="G49" s="216"/>
      <c r="H49" s="219"/>
      <c r="I49" s="216"/>
      <c r="J49" s="217"/>
      <c r="K49" s="216"/>
      <c r="L49" s="218"/>
      <c r="M49" s="216"/>
      <c r="N49" s="219"/>
      <c r="O49" s="216"/>
      <c r="P49" s="218"/>
      <c r="Q49" s="218"/>
      <c r="R49" s="64"/>
      <c r="S49" s="216"/>
      <c r="T49" s="216"/>
      <c r="U49" s="216"/>
      <c r="V49" s="216"/>
      <c r="W49" s="216"/>
      <c r="X49" s="216"/>
      <c r="Y49" s="216"/>
      <c r="Z49" s="216"/>
      <c r="AA49" s="216"/>
      <c r="AB49" s="216"/>
      <c r="AC49" s="360"/>
      <c r="AD49" s="216"/>
      <c r="AE49" s="216"/>
      <c r="AF49" s="216"/>
      <c r="AK49" s="2"/>
    </row>
    <row r="50" spans="1:37" ht="18.600000000000001">
      <c r="A50" s="235" t="str">
        <f>A44</f>
        <v>Sistemas Empresarial</v>
      </c>
      <c r="B50" s="235" t="str">
        <f>B44</f>
        <v>CLARO</v>
      </c>
      <c r="C50" s="235" t="str">
        <f>C44</f>
        <v>Áreas Corporativas</v>
      </c>
      <c r="D50" s="235" t="s">
        <v>468</v>
      </c>
      <c r="E50" s="220"/>
      <c r="F50" s="220"/>
      <c r="G50" s="220"/>
      <c r="H50" s="237"/>
      <c r="I50" s="228">
        <f>SUM(I44:I49)</f>
        <v>236.03</v>
      </c>
      <c r="J50" s="222"/>
      <c r="K50" s="225">
        <f>SUM(K44:K49)</f>
        <v>0.14900883838383838</v>
      </c>
      <c r="L50" s="223"/>
      <c r="M50" s="224"/>
      <c r="N50" s="240" t="str">
        <f>N44</f>
        <v>Opex</v>
      </c>
      <c r="O50" s="225">
        <f>SUM(O44:O49)</f>
        <v>131820.05000000002</v>
      </c>
      <c r="P50" s="231"/>
      <c r="Q50" s="231"/>
      <c r="R50" s="226"/>
      <c r="S50" s="227"/>
      <c r="T50" s="227"/>
      <c r="U50" s="227"/>
      <c r="V50" s="227"/>
      <c r="W50" s="227"/>
      <c r="X50" s="227"/>
      <c r="Y50" s="227"/>
      <c r="Z50" s="227"/>
      <c r="AA50" s="227"/>
      <c r="AB50" s="227"/>
      <c r="AC50" s="361"/>
      <c r="AD50" s="227"/>
      <c r="AE50" s="227"/>
      <c r="AF50" s="227"/>
      <c r="AK50" s="2"/>
    </row>
    <row r="51" spans="1:37" ht="14.45" customHeight="1">
      <c r="A51" s="441" t="s">
        <v>95</v>
      </c>
      <c r="B51" s="444" t="s">
        <v>20</v>
      </c>
      <c r="C51" s="444" t="s">
        <v>58</v>
      </c>
      <c r="D51" s="441" t="s">
        <v>485</v>
      </c>
      <c r="E51" s="467" t="s">
        <v>486</v>
      </c>
      <c r="F51" s="441" t="s">
        <v>96</v>
      </c>
      <c r="G51" s="450" t="s">
        <v>487</v>
      </c>
      <c r="H51" s="362" t="s">
        <v>488</v>
      </c>
      <c r="I51" s="344">
        <v>86.42</v>
      </c>
      <c r="J51" s="345">
        <v>135.19999999999999</v>
      </c>
      <c r="K51" s="346">
        <f>IFERROR((I51/176)/L51,0)</f>
        <v>5.4558080808080806E-2</v>
      </c>
      <c r="L51" s="344">
        <v>9</v>
      </c>
      <c r="M51" s="347" t="s">
        <v>463</v>
      </c>
      <c r="N51" s="347" t="s">
        <v>402</v>
      </c>
      <c r="O51" s="348">
        <f>I51*J51</f>
        <v>11683.983999999999</v>
      </c>
      <c r="P51" s="444"/>
      <c r="Q51" s="444"/>
      <c r="R51" s="215"/>
      <c r="S51" s="350" t="s">
        <v>464</v>
      </c>
      <c r="T51" s="351" t="s">
        <v>465</v>
      </c>
      <c r="U51" s="352" t="s">
        <v>466</v>
      </c>
      <c r="V51" s="353" t="s">
        <v>467</v>
      </c>
      <c r="W51" s="353"/>
      <c r="X51" s="353" t="s">
        <v>37</v>
      </c>
      <c r="Y51" s="351"/>
      <c r="Z51" s="353"/>
      <c r="AA51" s="353"/>
      <c r="AB51" s="353"/>
      <c r="AC51" s="353" t="str">
        <f>H51&amp;": "&amp;TEXT(I51,"#.##0")&amp;"h *  R$ "&amp; TEXT(J51, "#.##0,00") &amp;"/h = R$ "&amp; TEXT(O51,"#.##0,00")</f>
        <v>METODOLOGIA AGIL - AGILE MASTER - PLENO: 86h *  R$ 135,20/h = R$ 11.683,98</v>
      </c>
      <c r="AD51" s="353"/>
      <c r="AE51" s="353"/>
      <c r="AF51" s="353"/>
      <c r="AK51" s="2"/>
    </row>
    <row r="52" spans="1:37" ht="24.75">
      <c r="A52" s="442"/>
      <c r="B52" s="445"/>
      <c r="C52" s="445"/>
      <c r="D52" s="442"/>
      <c r="E52" s="448"/>
      <c r="F52" s="442"/>
      <c r="G52" s="451"/>
      <c r="H52" s="362" t="s">
        <v>489</v>
      </c>
      <c r="I52" s="344">
        <v>100.09</v>
      </c>
      <c r="J52" s="345">
        <v>118.44</v>
      </c>
      <c r="K52" s="346">
        <f>IFERROR((I52/176)/L52,0)</f>
        <v>6.3188131313131321E-2</v>
      </c>
      <c r="L52" s="344">
        <v>9</v>
      </c>
      <c r="M52" s="347" t="s">
        <v>463</v>
      </c>
      <c r="N52" s="347"/>
      <c r="O52" s="348">
        <f>I52*J52</f>
        <v>11854.659600000001</v>
      </c>
      <c r="P52" s="445"/>
      <c r="Q52" s="445"/>
      <c r="R52" s="215"/>
      <c r="S52" s="350"/>
      <c r="T52" s="350"/>
      <c r="U52" s="352"/>
      <c r="V52" s="354"/>
      <c r="W52" s="353"/>
      <c r="X52" s="353"/>
      <c r="Y52" s="349"/>
      <c r="Z52" s="349"/>
      <c r="AA52" s="349"/>
      <c r="AB52" s="349"/>
      <c r="AC52" s="353"/>
      <c r="AD52" s="353"/>
      <c r="AE52" s="349"/>
      <c r="AF52" s="349"/>
      <c r="AK52" s="2"/>
    </row>
    <row r="53" spans="1:37" ht="15">
      <c r="A53" s="442"/>
      <c r="B53" s="445"/>
      <c r="C53" s="445"/>
      <c r="D53" s="442"/>
      <c r="E53" s="448"/>
      <c r="F53" s="442"/>
      <c r="G53" s="451"/>
      <c r="H53" s="362" t="s">
        <v>490</v>
      </c>
      <c r="I53" s="344">
        <v>213.18</v>
      </c>
      <c r="J53" s="345">
        <v>118.44</v>
      </c>
      <c r="K53" s="346">
        <f>IFERROR((I53/176)/L53,0)</f>
        <v>0.13458333333333333</v>
      </c>
      <c r="L53" s="344">
        <v>9</v>
      </c>
      <c r="M53" s="347" t="s">
        <v>463</v>
      </c>
      <c r="N53" s="347"/>
      <c r="O53" s="348">
        <f>I53*J53</f>
        <v>25249.039199999999</v>
      </c>
      <c r="P53" s="445"/>
      <c r="Q53" s="445"/>
      <c r="R53" s="215"/>
      <c r="S53" s="350"/>
      <c r="T53" s="350"/>
      <c r="U53" s="352"/>
      <c r="V53" s="354"/>
      <c r="W53" s="353"/>
      <c r="X53" s="353"/>
      <c r="Y53" s="349"/>
      <c r="Z53" s="349"/>
      <c r="AA53" s="349"/>
      <c r="AB53" s="349"/>
      <c r="AC53" s="353"/>
      <c r="AD53" s="353"/>
      <c r="AE53" s="349"/>
      <c r="AF53" s="349"/>
      <c r="AK53" s="2"/>
    </row>
    <row r="54" spans="1:37" ht="15">
      <c r="A54" s="442"/>
      <c r="B54" s="445"/>
      <c r="C54" s="445"/>
      <c r="D54" s="442"/>
      <c r="E54" s="448"/>
      <c r="F54" s="442"/>
      <c r="G54" s="451"/>
      <c r="H54" s="362"/>
      <c r="I54" s="344"/>
      <c r="J54" s="355"/>
      <c r="K54" s="346"/>
      <c r="L54" s="344"/>
      <c r="M54" s="347"/>
      <c r="N54" s="347"/>
      <c r="O54" s="348">
        <f t="shared" ref="O53:O55" si="20">I54*J54</f>
        <v>0</v>
      </c>
      <c r="P54" s="445"/>
      <c r="Q54" s="445"/>
      <c r="R54" s="215"/>
      <c r="S54" s="350"/>
      <c r="T54" s="350"/>
      <c r="U54" s="352"/>
      <c r="V54" s="354"/>
      <c r="W54" s="353"/>
      <c r="X54" s="353"/>
      <c r="Y54" s="356"/>
      <c r="Z54" s="356"/>
      <c r="AA54" s="356"/>
      <c r="AB54" s="356"/>
      <c r="AC54" s="353"/>
      <c r="AD54" s="353"/>
      <c r="AE54" s="349"/>
      <c r="AF54" s="349"/>
      <c r="AK54" s="2"/>
    </row>
    <row r="55" spans="1:37" ht="15">
      <c r="A55" s="443"/>
      <c r="B55" s="446"/>
      <c r="C55" s="446"/>
      <c r="D55" s="443"/>
      <c r="E55" s="449"/>
      <c r="F55" s="443"/>
      <c r="G55" s="451"/>
      <c r="H55" s="362"/>
      <c r="I55" s="357"/>
      <c r="J55" s="355"/>
      <c r="K55" s="346">
        <f t="shared" ref="K55" si="21">IFERROR((I55/176)/L55,0)</f>
        <v>0</v>
      </c>
      <c r="L55" s="344"/>
      <c r="M55" s="347"/>
      <c r="N55" s="347"/>
      <c r="O55" s="348">
        <f t="shared" si="20"/>
        <v>0</v>
      </c>
      <c r="P55" s="446"/>
      <c r="Q55" s="446"/>
      <c r="R55" s="215"/>
      <c r="S55" s="358"/>
      <c r="T55" s="350"/>
      <c r="U55" s="352"/>
      <c r="V55" s="349"/>
      <c r="W55" s="353" t="str">
        <f>IFERROR(IF(V55="","",IF(N55="Fábrica",VLOOKUP(V55&amp;"CAPEX",ISS!A:E,5,0),IF(OR(G55="HITSS",G55="GLOBALHITSS",G55="HILDEBRANDO",G55="GLOBAL HITSS"),VLOOKUP(V55,ISS!A143:E144,5,0),VLOOKUP(V55&amp;N55,ISS!A:E,5,0)))),"Classificar")</f>
        <v/>
      </c>
      <c r="X55" s="349"/>
      <c r="Y55" s="356"/>
      <c r="Z55" s="356"/>
      <c r="AA55" s="356"/>
      <c r="AB55" s="356"/>
      <c r="AC55" s="353"/>
      <c r="AD55" s="349"/>
      <c r="AE55" s="349"/>
      <c r="AF55" s="349"/>
      <c r="AK55" s="2"/>
    </row>
    <row r="56" spans="1:37">
      <c r="A56" s="216"/>
      <c r="B56" s="216"/>
      <c r="C56" s="216"/>
      <c r="D56" s="216"/>
      <c r="E56" s="216"/>
      <c r="F56" s="216"/>
      <c r="G56" s="216"/>
      <c r="H56" s="219"/>
      <c r="I56" s="216"/>
      <c r="J56" s="217"/>
      <c r="K56" s="216"/>
      <c r="L56" s="218"/>
      <c r="M56" s="216"/>
      <c r="N56" s="219"/>
      <c r="O56" s="216"/>
      <c r="P56" s="218"/>
      <c r="Q56" s="218"/>
      <c r="R56" s="64"/>
      <c r="S56" s="216"/>
      <c r="T56" s="216"/>
      <c r="U56" s="216"/>
      <c r="V56" s="216"/>
      <c r="W56" s="216"/>
      <c r="X56" s="216"/>
      <c r="Y56" s="216"/>
      <c r="Z56" s="216"/>
      <c r="AA56" s="216"/>
      <c r="AB56" s="216"/>
      <c r="AC56" s="360"/>
      <c r="AD56" s="216"/>
      <c r="AE56" s="216"/>
      <c r="AF56" s="216"/>
      <c r="AK56" s="2"/>
    </row>
    <row r="57" spans="1:37" ht="18.75">
      <c r="A57" s="235" t="str">
        <f>A51</f>
        <v>Sistemas Empresarial</v>
      </c>
      <c r="B57" s="235" t="str">
        <f>B51</f>
        <v>CLARO</v>
      </c>
      <c r="C57" s="235" t="str">
        <f>C51</f>
        <v>Áreas Corporativas</v>
      </c>
      <c r="D57" s="235" t="s">
        <v>468</v>
      </c>
      <c r="E57" s="220"/>
      <c r="F57" s="220"/>
      <c r="G57" s="220"/>
      <c r="H57" s="237"/>
      <c r="I57" s="228">
        <f>SUM(I51:I56)</f>
        <v>399.69</v>
      </c>
      <c r="J57" s="222"/>
      <c r="K57" s="225">
        <f>SUM(K51:K56)</f>
        <v>0.25232954545454545</v>
      </c>
      <c r="L57" s="223"/>
      <c r="M57" s="224"/>
      <c r="N57" s="240" t="str">
        <f>N51</f>
        <v>Opex</v>
      </c>
      <c r="O57" s="225">
        <f>SUM(O51:O56)</f>
        <v>48787.682799999995</v>
      </c>
      <c r="P57" s="231"/>
      <c r="Q57" s="231"/>
      <c r="R57" s="226"/>
      <c r="S57" s="227"/>
      <c r="T57" s="227"/>
      <c r="U57" s="227"/>
      <c r="V57" s="227"/>
      <c r="W57" s="227"/>
      <c r="X57" s="227"/>
      <c r="Y57" s="227"/>
      <c r="Z57" s="227"/>
      <c r="AA57" s="227"/>
      <c r="AB57" s="227"/>
      <c r="AC57" s="361"/>
      <c r="AD57" s="227"/>
      <c r="AE57" s="227"/>
      <c r="AF57" s="227"/>
      <c r="AK57" s="2"/>
    </row>
    <row r="58" spans="1:37" ht="29.1" customHeight="1">
      <c r="A58" s="441" t="s">
        <v>95</v>
      </c>
      <c r="B58" s="444" t="s">
        <v>20</v>
      </c>
      <c r="C58" s="444" t="s">
        <v>58</v>
      </c>
      <c r="D58" s="441" t="s">
        <v>475</v>
      </c>
      <c r="E58" s="447" t="s">
        <v>491</v>
      </c>
      <c r="F58" s="441" t="s">
        <v>96</v>
      </c>
      <c r="G58" s="450" t="s">
        <v>487</v>
      </c>
      <c r="H58" s="363" t="s">
        <v>483</v>
      </c>
      <c r="I58" s="344">
        <v>97.35</v>
      </c>
      <c r="J58" s="345">
        <v>176</v>
      </c>
      <c r="K58" s="346">
        <f>IFERROR((I58/176)/L58,0)</f>
        <v>6.145833333333333E-2</v>
      </c>
      <c r="L58" s="344">
        <v>9</v>
      </c>
      <c r="M58" s="347" t="s">
        <v>463</v>
      </c>
      <c r="N58" s="347" t="s">
        <v>402</v>
      </c>
      <c r="O58" s="348">
        <f>I58*J58</f>
        <v>17133.599999999999</v>
      </c>
      <c r="P58" s="444"/>
      <c r="Q58" s="444"/>
      <c r="R58" s="215"/>
      <c r="S58" s="350" t="s">
        <v>464</v>
      </c>
      <c r="T58" s="351" t="s">
        <v>465</v>
      </c>
      <c r="U58" s="352" t="s">
        <v>466</v>
      </c>
      <c r="V58" s="353" t="s">
        <v>467</v>
      </c>
      <c r="W58" s="353"/>
      <c r="X58" s="353" t="s">
        <v>37</v>
      </c>
      <c r="Y58" s="351"/>
      <c r="Z58" s="353"/>
      <c r="AA58" s="353"/>
      <c r="AB58" s="353"/>
      <c r="AC58" s="364" t="str">
        <f>H58&amp;": "&amp;TEXT(I58,"#.##0")&amp;"h *  R$ "&amp; TEXT(J58, "#.##0,00") &amp;"/h = R$ "&amp; TEXT(O58,"#.##0,00")</f>
        <v>Análise - Sênior: 97h *  R$ 176,00/h = R$ 17.133,60</v>
      </c>
      <c r="AD58" s="353"/>
      <c r="AE58" s="353"/>
      <c r="AF58" s="353"/>
      <c r="AK58" s="2"/>
    </row>
    <row r="59" spans="1:37" ht="15">
      <c r="A59" s="442"/>
      <c r="B59" s="445"/>
      <c r="C59" s="445"/>
      <c r="D59" s="442"/>
      <c r="E59" s="448"/>
      <c r="F59" s="442"/>
      <c r="G59" s="451"/>
      <c r="H59" s="362"/>
      <c r="I59" s="344"/>
      <c r="J59" s="345"/>
      <c r="K59" s="346"/>
      <c r="L59" s="344"/>
      <c r="M59" s="347"/>
      <c r="N59" s="347"/>
      <c r="O59" s="348"/>
      <c r="P59" s="445"/>
      <c r="Q59" s="445"/>
      <c r="R59" s="215"/>
      <c r="S59" s="350"/>
      <c r="T59" s="350"/>
      <c r="U59" s="352"/>
      <c r="V59" s="354"/>
      <c r="W59" s="353"/>
      <c r="X59" s="353"/>
      <c r="Y59" s="349"/>
      <c r="Z59" s="349"/>
      <c r="AA59" s="349"/>
      <c r="AB59" s="349"/>
      <c r="AC59" s="353"/>
      <c r="AD59" s="353"/>
      <c r="AE59" s="349"/>
      <c r="AF59" s="349"/>
      <c r="AK59" s="2"/>
    </row>
    <row r="60" spans="1:37" ht="15">
      <c r="A60" s="442"/>
      <c r="B60" s="445"/>
      <c r="C60" s="445"/>
      <c r="D60" s="442"/>
      <c r="E60" s="448"/>
      <c r="F60" s="442"/>
      <c r="G60" s="451"/>
      <c r="H60" s="362"/>
      <c r="I60" s="344"/>
      <c r="J60" s="345"/>
      <c r="K60" s="346"/>
      <c r="L60" s="344"/>
      <c r="M60" s="347"/>
      <c r="N60" s="347"/>
      <c r="O60" s="348">
        <f t="shared" ref="O60:O62" si="22">I60*J60</f>
        <v>0</v>
      </c>
      <c r="P60" s="445"/>
      <c r="Q60" s="445"/>
      <c r="R60" s="215"/>
      <c r="S60" s="350"/>
      <c r="T60" s="350"/>
      <c r="U60" s="352"/>
      <c r="V60" s="354"/>
      <c r="W60" s="353"/>
      <c r="X60" s="353"/>
      <c r="Y60" s="349"/>
      <c r="Z60" s="349"/>
      <c r="AA60" s="349"/>
      <c r="AB60" s="349"/>
      <c r="AC60" s="353"/>
      <c r="AD60" s="353"/>
      <c r="AE60" s="349"/>
      <c r="AF60" s="349"/>
      <c r="AK60" s="2"/>
    </row>
    <row r="61" spans="1:37" ht="15">
      <c r="A61" s="442"/>
      <c r="B61" s="445"/>
      <c r="C61" s="445"/>
      <c r="D61" s="442"/>
      <c r="E61" s="448"/>
      <c r="F61" s="442"/>
      <c r="G61" s="451"/>
      <c r="H61" s="362"/>
      <c r="I61" s="344"/>
      <c r="J61" s="355"/>
      <c r="K61" s="346"/>
      <c r="L61" s="344"/>
      <c r="M61" s="347"/>
      <c r="N61" s="347"/>
      <c r="O61" s="348">
        <f t="shared" si="22"/>
        <v>0</v>
      </c>
      <c r="P61" s="445"/>
      <c r="Q61" s="445"/>
      <c r="R61" s="215"/>
      <c r="S61" s="350"/>
      <c r="T61" s="350"/>
      <c r="U61" s="352"/>
      <c r="V61" s="354"/>
      <c r="W61" s="353"/>
      <c r="X61" s="353"/>
      <c r="Y61" s="356"/>
      <c r="Z61" s="356"/>
      <c r="AA61" s="356"/>
      <c r="AB61" s="356"/>
      <c r="AC61" s="353"/>
      <c r="AD61" s="353"/>
      <c r="AE61" s="349"/>
      <c r="AF61" s="349"/>
      <c r="AK61" s="2"/>
    </row>
    <row r="62" spans="1:37" ht="15">
      <c r="A62" s="443"/>
      <c r="B62" s="446"/>
      <c r="C62" s="446"/>
      <c r="D62" s="443"/>
      <c r="E62" s="449"/>
      <c r="F62" s="443"/>
      <c r="G62" s="451"/>
      <c r="H62" s="362"/>
      <c r="I62" s="357"/>
      <c r="J62" s="355"/>
      <c r="K62" s="346"/>
      <c r="L62" s="344"/>
      <c r="M62" s="347"/>
      <c r="N62" s="347"/>
      <c r="O62" s="348">
        <f t="shared" si="22"/>
        <v>0</v>
      </c>
      <c r="P62" s="446"/>
      <c r="Q62" s="446"/>
      <c r="R62" s="215"/>
      <c r="S62" s="358"/>
      <c r="T62" s="350"/>
      <c r="U62" s="352"/>
      <c r="V62" s="349"/>
      <c r="W62" s="353"/>
      <c r="X62" s="349"/>
      <c r="Y62" s="356"/>
      <c r="Z62" s="356"/>
      <c r="AA62" s="356"/>
      <c r="AB62" s="356"/>
      <c r="AC62" s="353"/>
      <c r="AD62" s="349"/>
      <c r="AE62" s="349"/>
      <c r="AF62" s="349"/>
      <c r="AK62" s="2"/>
    </row>
    <row r="63" spans="1:37" ht="15">
      <c r="A63" s="216"/>
      <c r="B63" s="216"/>
      <c r="C63" s="216"/>
      <c r="D63" s="216"/>
      <c r="E63" s="216"/>
      <c r="F63" s="216"/>
      <c r="G63" s="216"/>
      <c r="H63" s="219"/>
      <c r="I63" s="216"/>
      <c r="J63" s="217"/>
      <c r="K63" s="216"/>
      <c r="L63" s="218"/>
      <c r="M63" s="216"/>
      <c r="N63" s="219"/>
      <c r="O63" s="216"/>
      <c r="P63" s="218"/>
      <c r="Q63" s="218"/>
      <c r="R63" s="64"/>
      <c r="S63" s="216"/>
      <c r="T63" s="216"/>
      <c r="U63" s="216"/>
      <c r="V63" s="216"/>
      <c r="W63" s="216"/>
      <c r="X63" s="216"/>
      <c r="Y63" s="216"/>
      <c r="Z63" s="216"/>
      <c r="AA63" s="216"/>
      <c r="AB63" s="216"/>
      <c r="AC63" s="360"/>
      <c r="AD63" s="216"/>
      <c r="AE63" s="216"/>
      <c r="AF63" s="216"/>
      <c r="AK63" s="2"/>
    </row>
    <row r="64" spans="1:37" ht="18.75">
      <c r="A64" s="235"/>
      <c r="B64" s="235"/>
      <c r="C64" s="235"/>
      <c r="D64" s="235"/>
      <c r="E64" s="220"/>
      <c r="F64" s="220"/>
      <c r="G64" s="220"/>
      <c r="H64" s="237"/>
      <c r="I64" s="228"/>
      <c r="J64" s="222"/>
      <c r="K64" s="225"/>
      <c r="L64" s="223"/>
      <c r="M64" s="224"/>
      <c r="N64" s="240"/>
      <c r="O64" s="225">
        <f>SUM(O58:O63)</f>
        <v>17133.599999999999</v>
      </c>
      <c r="P64" s="231"/>
      <c r="Q64" s="231"/>
      <c r="R64" s="226"/>
      <c r="S64" s="227"/>
      <c r="T64" s="227"/>
      <c r="U64" s="227"/>
      <c r="V64" s="227"/>
      <c r="W64" s="227"/>
      <c r="X64" s="227"/>
      <c r="Y64" s="227"/>
      <c r="Z64" s="227"/>
      <c r="AA64" s="227"/>
      <c r="AB64" s="227"/>
      <c r="AC64" s="361"/>
      <c r="AD64" s="227"/>
      <c r="AE64" s="227"/>
      <c r="AF64" s="227"/>
      <c r="AK64" s="2"/>
    </row>
    <row r="65" spans="1:37" ht="29.45" customHeight="1">
      <c r="A65" s="456" t="s">
        <v>95</v>
      </c>
      <c r="B65" s="464" t="s">
        <v>20</v>
      </c>
      <c r="C65" s="464" t="s">
        <v>58</v>
      </c>
      <c r="D65" s="456" t="s">
        <v>492</v>
      </c>
      <c r="E65" s="459" t="s">
        <v>492</v>
      </c>
      <c r="F65" s="456" t="s">
        <v>96</v>
      </c>
      <c r="G65" s="462" t="s">
        <v>480</v>
      </c>
      <c r="H65" s="365" t="s">
        <v>493</v>
      </c>
      <c r="I65" s="366">
        <v>620.04999999999995</v>
      </c>
      <c r="J65" s="367">
        <v>173.16</v>
      </c>
      <c r="K65" s="368">
        <f>IFERROR((I65/176)/L65,0)</f>
        <v>0.39144570707070708</v>
      </c>
      <c r="L65" s="366">
        <v>9</v>
      </c>
      <c r="M65" s="369" t="s">
        <v>463</v>
      </c>
      <c r="N65" s="369" t="s">
        <v>402</v>
      </c>
      <c r="O65" s="370">
        <f>I65*J65</f>
        <v>107367.85799999999</v>
      </c>
      <c r="P65" s="464"/>
      <c r="Q65" s="464"/>
      <c r="R65" s="371"/>
      <c r="S65" s="372" t="s">
        <v>464</v>
      </c>
      <c r="T65" s="373" t="s">
        <v>465</v>
      </c>
      <c r="U65" s="374" t="s">
        <v>466</v>
      </c>
      <c r="V65" s="375" t="s">
        <v>467</v>
      </c>
      <c r="W65" s="375"/>
      <c r="X65" s="375"/>
      <c r="Y65" s="373"/>
      <c r="Z65" s="375"/>
      <c r="AA65" s="375"/>
      <c r="AB65" s="375"/>
      <c r="AC65" s="376" t="str">
        <f>H65&amp;": "&amp;TEXT(I65,"#.##0")&amp;"h *  R$ "&amp; TEXT(J65, "#.##0,00") &amp;"/h = R$ "&amp; TEXT(O65,"#.##0,00")</f>
        <v>TECNOLOGIAS CORE - Gerenciamento de Delivery : 620h *  R$ 173,16/h = R$ 107.367,86</v>
      </c>
      <c r="AD65" s="375"/>
      <c r="AE65" s="375"/>
      <c r="AF65" s="375"/>
      <c r="AG65"/>
      <c r="AH65"/>
      <c r="AI65"/>
      <c r="AJ65"/>
    </row>
    <row r="66" spans="1:37" ht="25.5" customHeight="1">
      <c r="A66" s="457"/>
      <c r="B66" s="465"/>
      <c r="C66" s="465"/>
      <c r="D66" s="457"/>
      <c r="E66" s="460"/>
      <c r="F66" s="457"/>
      <c r="G66" s="463"/>
      <c r="H66" s="365" t="s">
        <v>494</v>
      </c>
      <c r="I66" s="366">
        <v>528</v>
      </c>
      <c r="J66" s="367">
        <v>115</v>
      </c>
      <c r="K66" s="368">
        <f>IFERROR((I66/176)/L66,0)</f>
        <v>0.33333333333333331</v>
      </c>
      <c r="L66" s="366">
        <v>9</v>
      </c>
      <c r="M66" s="369" t="s">
        <v>463</v>
      </c>
      <c r="N66" s="369" t="s">
        <v>402</v>
      </c>
      <c r="O66" s="370">
        <f>I66*J66</f>
        <v>60720</v>
      </c>
      <c r="P66" s="465"/>
      <c r="Q66" s="465"/>
      <c r="R66" s="371"/>
      <c r="S66" s="372"/>
      <c r="T66" s="373"/>
      <c r="U66" s="374"/>
      <c r="V66" s="375"/>
      <c r="W66" s="375"/>
      <c r="X66" s="375"/>
      <c r="Y66" s="373"/>
      <c r="Z66" s="375"/>
      <c r="AA66" s="375"/>
      <c r="AB66" s="375"/>
      <c r="AC66" s="376" t="str">
        <f>H66&amp;": "&amp;TEXT(I66,"#.##0")&amp;"h *  R$ "&amp; TEXT(J66, "#.##0,00") &amp;"/h = R$ "&amp; TEXT(O66,"#.##0,00")</f>
        <v>TECNOLOGIAS CORE - ANÁLISE DE DESENVOLVIMENTO - SÊNIOR : 528h *  R$ 115,00/h = R$ 60.720,00</v>
      </c>
      <c r="AD66" s="375"/>
      <c r="AE66" s="375"/>
      <c r="AF66" s="375"/>
      <c r="AG66"/>
      <c r="AH66"/>
      <c r="AI66"/>
      <c r="AJ66"/>
    </row>
    <row r="67" spans="1:37" ht="24.75">
      <c r="A67" s="457"/>
      <c r="B67" s="465"/>
      <c r="C67" s="465"/>
      <c r="D67" s="457"/>
      <c r="E67" s="460"/>
      <c r="F67" s="457"/>
      <c r="G67" s="463"/>
      <c r="H67" s="377" t="s">
        <v>495</v>
      </c>
      <c r="I67" s="366">
        <v>2574</v>
      </c>
      <c r="J67" s="367">
        <v>168.9</v>
      </c>
      <c r="K67" s="368">
        <f>IFERROR((I67/176)/L67,0)</f>
        <v>1.625</v>
      </c>
      <c r="L67" s="366">
        <v>9</v>
      </c>
      <c r="M67" s="369" t="s">
        <v>463</v>
      </c>
      <c r="N67" s="369" t="s">
        <v>402</v>
      </c>
      <c r="O67" s="370">
        <f t="shared" ref="O67:O69" si="23">I67*J67</f>
        <v>434748.60000000003</v>
      </c>
      <c r="P67" s="465"/>
      <c r="Q67" s="465"/>
      <c r="R67" s="371"/>
      <c r="S67" s="372"/>
      <c r="T67" s="372"/>
      <c r="U67" s="374"/>
      <c r="V67" s="378"/>
      <c r="W67" s="375"/>
      <c r="X67" s="375"/>
      <c r="Y67" s="379"/>
      <c r="Z67" s="379"/>
      <c r="AA67" s="379"/>
      <c r="AB67" s="379"/>
      <c r="AC67" s="375"/>
      <c r="AD67" s="375"/>
      <c r="AE67" s="379"/>
      <c r="AF67" s="379"/>
      <c r="AG67"/>
      <c r="AH67"/>
      <c r="AI67"/>
      <c r="AJ67"/>
    </row>
    <row r="68" spans="1:37" ht="24.75">
      <c r="A68" s="457"/>
      <c r="B68" s="465"/>
      <c r="C68" s="465"/>
      <c r="D68" s="457"/>
      <c r="E68" s="460"/>
      <c r="F68" s="457"/>
      <c r="G68" s="463"/>
      <c r="H68" s="377" t="s">
        <v>496</v>
      </c>
      <c r="I68" s="366">
        <v>1298</v>
      </c>
      <c r="J68" s="380">
        <v>53.06</v>
      </c>
      <c r="K68" s="368">
        <f>IFERROR((I68/176)/L68,0)</f>
        <v>0.81944444444444442</v>
      </c>
      <c r="L68" s="366">
        <v>9</v>
      </c>
      <c r="M68" s="369" t="s">
        <v>463</v>
      </c>
      <c r="N68" s="369" t="s">
        <v>402</v>
      </c>
      <c r="O68" s="370">
        <f t="shared" si="23"/>
        <v>68871.88</v>
      </c>
      <c r="P68" s="465"/>
      <c r="Q68" s="465"/>
      <c r="R68" s="371"/>
      <c r="S68" s="372"/>
      <c r="T68" s="372"/>
      <c r="U68" s="374"/>
      <c r="V68" s="378"/>
      <c r="W68" s="375"/>
      <c r="X68" s="375"/>
      <c r="Y68" s="381"/>
      <c r="Z68" s="381"/>
      <c r="AA68" s="381"/>
      <c r="AB68" s="381"/>
      <c r="AC68" s="375"/>
      <c r="AD68" s="375"/>
      <c r="AE68" s="379"/>
      <c r="AF68" s="379"/>
      <c r="AG68"/>
      <c r="AH68"/>
      <c r="AI68"/>
      <c r="AJ68"/>
    </row>
    <row r="69" spans="1:37" ht="15">
      <c r="A69" s="458"/>
      <c r="B69" s="466"/>
      <c r="C69" s="466"/>
      <c r="D69" s="458"/>
      <c r="E69" s="461"/>
      <c r="F69" s="458"/>
      <c r="G69" s="463"/>
      <c r="H69" s="377"/>
      <c r="I69" s="382"/>
      <c r="J69" s="380"/>
      <c r="K69" s="368"/>
      <c r="L69" s="366"/>
      <c r="M69" s="369"/>
      <c r="N69" s="369"/>
      <c r="O69" s="370">
        <f t="shared" si="23"/>
        <v>0</v>
      </c>
      <c r="P69" s="466"/>
      <c r="Q69" s="466"/>
      <c r="R69" s="371"/>
      <c r="S69" s="383"/>
      <c r="T69" s="372"/>
      <c r="U69" s="374"/>
      <c r="V69" s="379"/>
      <c r="W69" s="375"/>
      <c r="X69" s="379"/>
      <c r="Y69" s="381"/>
      <c r="Z69" s="381"/>
      <c r="AA69" s="381"/>
      <c r="AB69" s="381"/>
      <c r="AC69" s="375"/>
      <c r="AD69" s="379"/>
      <c r="AE69" s="379"/>
      <c r="AF69" s="379"/>
      <c r="AG69"/>
      <c r="AH69"/>
      <c r="AI69"/>
      <c r="AJ69"/>
    </row>
    <row r="70" spans="1:37" ht="15">
      <c r="A70" s="216"/>
      <c r="B70" s="216"/>
      <c r="C70" s="216"/>
      <c r="D70" s="216"/>
      <c r="E70" s="216"/>
      <c r="F70" s="216"/>
      <c r="G70" s="216"/>
      <c r="H70" s="238"/>
      <c r="I70" s="216"/>
      <c r="J70" s="217"/>
      <c r="K70" s="216"/>
      <c r="L70" s="218"/>
      <c r="M70" s="216"/>
      <c r="N70" s="219"/>
      <c r="O70" s="216"/>
      <c r="P70" s="218"/>
      <c r="Q70" s="218"/>
      <c r="R70" s="64"/>
      <c r="S70" s="216"/>
      <c r="T70" s="216"/>
      <c r="U70" s="216"/>
      <c r="V70" s="216"/>
      <c r="W70" s="216"/>
      <c r="X70" s="216"/>
      <c r="Y70" s="216"/>
      <c r="Z70" s="216"/>
      <c r="AA70" s="216"/>
      <c r="AB70" s="216"/>
      <c r="AC70" s="360"/>
      <c r="AD70" s="216"/>
      <c r="AE70" s="216"/>
      <c r="AF70" s="216"/>
      <c r="AK70" s="2"/>
    </row>
    <row r="71" spans="1:37" ht="18.75">
      <c r="A71" s="235"/>
      <c r="B71" s="235"/>
      <c r="C71" s="235"/>
      <c r="D71" s="235"/>
      <c r="E71" s="220"/>
      <c r="F71" s="220"/>
      <c r="G71" s="220"/>
      <c r="H71" s="239"/>
      <c r="I71" s="228"/>
      <c r="J71" s="222"/>
      <c r="K71" s="228"/>
      <c r="L71" s="223"/>
      <c r="M71" s="224"/>
      <c r="N71" s="240"/>
      <c r="O71" s="343">
        <f>SUM(O65:O70)</f>
        <v>671708.33800000011</v>
      </c>
      <c r="P71" s="231"/>
      <c r="Q71" s="231"/>
      <c r="R71" s="226"/>
      <c r="S71" s="227"/>
      <c r="T71" s="227"/>
      <c r="U71" s="227"/>
      <c r="V71" s="227"/>
      <c r="W71" s="227"/>
      <c r="X71" s="227"/>
      <c r="Y71" s="227"/>
      <c r="Z71" s="227"/>
      <c r="AA71" s="227"/>
      <c r="AB71" s="227"/>
      <c r="AC71" s="361"/>
      <c r="AD71" s="227"/>
      <c r="AE71" s="227"/>
      <c r="AF71" s="227"/>
      <c r="AK71" s="2"/>
    </row>
    <row r="72" spans="1:37" s="2" customFormat="1" ht="14.45" customHeight="1">
      <c r="A72" s="441" t="s">
        <v>95</v>
      </c>
      <c r="B72" s="444" t="s">
        <v>20</v>
      </c>
      <c r="C72" s="444" t="s">
        <v>58</v>
      </c>
      <c r="D72" s="441" t="s">
        <v>497</v>
      </c>
      <c r="E72" s="447" t="s">
        <v>498</v>
      </c>
      <c r="F72" s="441" t="s">
        <v>96</v>
      </c>
      <c r="G72" s="450" t="s">
        <v>499</v>
      </c>
      <c r="H72" s="362" t="s">
        <v>500</v>
      </c>
      <c r="I72" s="344">
        <v>462</v>
      </c>
      <c r="J72" s="345">
        <v>137.1</v>
      </c>
      <c r="K72" s="346">
        <f>IFERROR((I72/176)/L72,0)</f>
        <v>0.29166666666666669</v>
      </c>
      <c r="L72" s="344">
        <v>9</v>
      </c>
      <c r="M72" s="347" t="s">
        <v>463</v>
      </c>
      <c r="N72" s="347"/>
      <c r="O72" s="348">
        <f>I72*J72</f>
        <v>63340.2</v>
      </c>
      <c r="P72" s="444"/>
      <c r="Q72" s="444"/>
      <c r="R72" s="215"/>
      <c r="S72" s="350" t="s">
        <v>464</v>
      </c>
      <c r="T72" s="351" t="s">
        <v>465</v>
      </c>
      <c r="U72" s="352" t="s">
        <v>466</v>
      </c>
      <c r="V72" s="353" t="s">
        <v>467</v>
      </c>
      <c r="W72" s="353" t="str">
        <f>IFERROR(IF(V72="","",IF(N72="Fábrica",VLOOKUP(V72&amp;"CAPEX",ISS!A:E,5,0),IF(OR(G72="HITSS",G72="GLOBALHITSS",G72="HILDEBRANDO",G72="GLOBAL HITSS"),VLOOKUP(V72,ISS!A164:E165,5,0),VLOOKUP(V72&amp;N72,ISS!A:E,5,0)))),"Classificar")</f>
        <v>9011319</v>
      </c>
      <c r="X72" s="353" t="s">
        <v>37</v>
      </c>
      <c r="Y72" s="351"/>
      <c r="Z72" s="353"/>
      <c r="AA72" s="353"/>
      <c r="AB72" s="353" t="s">
        <v>501</v>
      </c>
      <c r="AC72" s="353" t="str">
        <f>H72&amp;": "&amp;TEXT(I72,"#.##0")&amp;"h *  R$ "&amp; TEXT(J72, "#.##0,00") &amp;"/h = R$ "&amp; TEXT(O72,"#.##0,00")</f>
        <v>CORE - SERVIÇO ESPECIALIZADO DE SISTEMAS: 462h *  R$ 137,10/h = R$ 63.340,20</v>
      </c>
      <c r="AD72" s="353"/>
      <c r="AE72" s="353"/>
      <c r="AF72" s="353"/>
    </row>
    <row r="73" spans="1:37" s="2" customFormat="1" ht="15">
      <c r="A73" s="442"/>
      <c r="B73" s="445"/>
      <c r="C73" s="445"/>
      <c r="D73" s="442"/>
      <c r="E73" s="448"/>
      <c r="F73" s="442"/>
      <c r="G73" s="451"/>
      <c r="H73" s="362"/>
      <c r="I73" s="344"/>
      <c r="J73" s="345"/>
      <c r="K73" s="346"/>
      <c r="L73" s="344"/>
      <c r="M73" s="347"/>
      <c r="N73" s="347"/>
      <c r="O73" s="348">
        <f>I73*J73</f>
        <v>0</v>
      </c>
      <c r="P73" s="445"/>
      <c r="Q73" s="445"/>
      <c r="R73" s="215"/>
      <c r="S73" s="350"/>
      <c r="T73" s="351"/>
      <c r="U73" s="352"/>
      <c r="V73" s="353"/>
      <c r="W73" s="353"/>
      <c r="X73" s="353"/>
      <c r="Y73" s="351"/>
      <c r="Z73" s="353"/>
      <c r="AA73" s="353"/>
      <c r="AB73" s="353" t="s">
        <v>501</v>
      </c>
      <c r="AC73" s="353" t="str">
        <f>H73&amp;": "&amp;TEXT(I73,"#.##0")&amp;"h *  R$ "&amp; TEXT(J73, "#.##0,00") &amp;"/h = R$ "&amp; TEXT(O73,"#.##0,00")</f>
        <v>: 0h *  R$ 0,00/h = R$ 0,00</v>
      </c>
      <c r="AD73" s="353"/>
      <c r="AE73" s="353"/>
      <c r="AF73" s="353"/>
    </row>
    <row r="74" spans="1:37" s="2" customFormat="1" ht="15">
      <c r="A74" s="442"/>
      <c r="B74" s="445"/>
      <c r="C74" s="445"/>
      <c r="D74" s="442"/>
      <c r="E74" s="448"/>
      <c r="F74" s="442"/>
      <c r="G74" s="451"/>
      <c r="H74" s="362"/>
      <c r="I74" s="344"/>
      <c r="J74" s="345"/>
      <c r="K74" s="346"/>
      <c r="L74" s="344"/>
      <c r="M74" s="347"/>
      <c r="N74" s="347"/>
      <c r="O74" s="348">
        <f t="shared" ref="O74:O76" si="24">I74*J74</f>
        <v>0</v>
      </c>
      <c r="P74" s="445"/>
      <c r="Q74" s="445"/>
      <c r="R74" s="215"/>
      <c r="S74" s="350"/>
      <c r="T74" s="350"/>
      <c r="U74" s="352"/>
      <c r="V74" s="354"/>
      <c r="W74" s="353"/>
      <c r="X74" s="353"/>
      <c r="Y74" s="349"/>
      <c r="Z74" s="349"/>
      <c r="AA74" s="349"/>
      <c r="AB74" s="349"/>
      <c r="AC74" s="353"/>
      <c r="AD74" s="353"/>
      <c r="AE74" s="349"/>
      <c r="AF74" s="349"/>
    </row>
    <row r="75" spans="1:37" s="2" customFormat="1" ht="15">
      <c r="A75" s="442"/>
      <c r="B75" s="445"/>
      <c r="C75" s="445"/>
      <c r="D75" s="442"/>
      <c r="E75" s="448"/>
      <c r="F75" s="442"/>
      <c r="G75" s="451"/>
      <c r="H75" s="362"/>
      <c r="I75" s="344"/>
      <c r="J75" s="355"/>
      <c r="K75" s="346"/>
      <c r="L75" s="344"/>
      <c r="M75" s="347"/>
      <c r="N75" s="347"/>
      <c r="O75" s="348">
        <f t="shared" si="24"/>
        <v>0</v>
      </c>
      <c r="P75" s="445"/>
      <c r="Q75" s="445"/>
      <c r="R75" s="215"/>
      <c r="S75" s="350"/>
      <c r="T75" s="350"/>
      <c r="U75" s="352"/>
      <c r="V75" s="354"/>
      <c r="W75" s="353"/>
      <c r="X75" s="353"/>
      <c r="Y75" s="356"/>
      <c r="Z75" s="356"/>
      <c r="AA75" s="356"/>
      <c r="AB75" s="356"/>
      <c r="AC75" s="353"/>
      <c r="AD75" s="353"/>
      <c r="AE75" s="349"/>
      <c r="AF75" s="349"/>
    </row>
    <row r="76" spans="1:37" s="2" customFormat="1" ht="15">
      <c r="A76" s="443"/>
      <c r="B76" s="446"/>
      <c r="C76" s="446"/>
      <c r="D76" s="443"/>
      <c r="E76" s="449"/>
      <c r="F76" s="443"/>
      <c r="G76" s="451"/>
      <c r="H76" s="362"/>
      <c r="I76" s="357"/>
      <c r="J76" s="355"/>
      <c r="K76" s="346"/>
      <c r="L76" s="344"/>
      <c r="M76" s="347"/>
      <c r="N76" s="347"/>
      <c r="O76" s="348">
        <f t="shared" si="24"/>
        <v>0</v>
      </c>
      <c r="P76" s="446"/>
      <c r="Q76" s="446"/>
      <c r="R76" s="215"/>
      <c r="S76" s="358"/>
      <c r="T76" s="350"/>
      <c r="U76" s="352"/>
      <c r="V76" s="349"/>
      <c r="W76" s="353" t="str">
        <f>IFERROR(IF(V76="","",IF(N76="Fábrica",VLOOKUP(V76&amp;"CAPEX",ISS!A:E,5,0),IF(OR(G76="HITSS",G76="GLOBALHITSS",G76="HILDEBRANDO",G76="GLOBAL HITSS"),VLOOKUP(V76,ISS!A168:E169,5,0),VLOOKUP(V76&amp;N76,ISS!A:E,5,0)))),"Classificar")</f>
        <v/>
      </c>
      <c r="X76" s="349"/>
      <c r="Y76" s="356"/>
      <c r="Z76" s="356"/>
      <c r="AA76" s="356"/>
      <c r="AB76" s="356"/>
      <c r="AC76" s="353"/>
      <c r="AD76" s="349"/>
      <c r="AE76" s="349"/>
      <c r="AF76" s="349"/>
    </row>
    <row r="77" spans="1:37" ht="15">
      <c r="A77" s="216"/>
      <c r="B77" s="216"/>
      <c r="C77" s="216"/>
      <c r="D77" s="216"/>
      <c r="E77" s="216"/>
      <c r="F77" s="216"/>
      <c r="G77" s="216"/>
      <c r="H77" s="238"/>
      <c r="I77" s="216"/>
      <c r="J77" s="217"/>
      <c r="K77" s="216"/>
      <c r="L77" s="218"/>
      <c r="M77" s="216"/>
      <c r="N77" s="219"/>
      <c r="O77" s="216"/>
      <c r="P77" s="218"/>
      <c r="Q77" s="218"/>
      <c r="R77" s="64"/>
      <c r="S77" s="216"/>
      <c r="T77" s="216"/>
      <c r="U77" s="216"/>
      <c r="V77" s="216"/>
      <c r="W77" s="216"/>
      <c r="X77" s="216"/>
      <c r="Y77" s="216"/>
      <c r="Z77" s="216"/>
      <c r="AA77" s="216"/>
      <c r="AB77" s="216"/>
      <c r="AC77" s="360"/>
      <c r="AD77" s="216"/>
      <c r="AE77" s="216"/>
      <c r="AF77" s="216"/>
      <c r="AK77" s="2"/>
    </row>
    <row r="78" spans="1:37" ht="18.75">
      <c r="A78" s="235"/>
      <c r="B78" s="235"/>
      <c r="C78" s="235"/>
      <c r="D78" s="235"/>
      <c r="E78" s="220"/>
      <c r="F78" s="220"/>
      <c r="G78" s="220"/>
      <c r="H78" s="239"/>
      <c r="I78" s="228"/>
      <c r="J78" s="222"/>
      <c r="K78" s="228"/>
      <c r="L78" s="223"/>
      <c r="M78" s="224"/>
      <c r="N78" s="240"/>
      <c r="O78" s="343">
        <f>SUM(O72:O77)</f>
        <v>63340.2</v>
      </c>
      <c r="P78" s="231"/>
      <c r="Q78" s="231"/>
      <c r="R78" s="226"/>
      <c r="S78" s="227"/>
      <c r="T78" s="227"/>
      <c r="U78" s="227"/>
      <c r="V78" s="227"/>
      <c r="W78" s="227"/>
      <c r="X78" s="227"/>
      <c r="Y78" s="227"/>
      <c r="Z78" s="227"/>
      <c r="AA78" s="227"/>
      <c r="AB78" s="227"/>
      <c r="AC78" s="361"/>
      <c r="AD78" s="227"/>
      <c r="AE78" s="227"/>
      <c r="AF78" s="227"/>
      <c r="AK78" s="2"/>
    </row>
    <row r="79" spans="1:37" s="2" customFormat="1" ht="15">
      <c r="A79" s="441" t="s">
        <v>95</v>
      </c>
      <c r="B79" s="444" t="s">
        <v>20</v>
      </c>
      <c r="C79" s="444" t="s">
        <v>58</v>
      </c>
      <c r="D79" s="441" t="s">
        <v>502</v>
      </c>
      <c r="E79" s="447" t="s">
        <v>503</v>
      </c>
      <c r="F79" s="441" t="s">
        <v>96</v>
      </c>
      <c r="G79" s="450" t="s">
        <v>461</v>
      </c>
      <c r="H79" s="362" t="s">
        <v>462</v>
      </c>
      <c r="I79" s="344">
        <v>176.46</v>
      </c>
      <c r="J79" s="345">
        <v>346.18</v>
      </c>
      <c r="K79" s="346">
        <f>IFERROR((I79/176)/L79,0)</f>
        <v>0.11140151515151515</v>
      </c>
      <c r="L79" s="344">
        <v>9</v>
      </c>
      <c r="M79" s="347" t="s">
        <v>463</v>
      </c>
      <c r="N79" s="347"/>
      <c r="O79" s="348">
        <f>I79*J79</f>
        <v>61086.922800000008</v>
      </c>
      <c r="P79" s="444"/>
      <c r="Q79" s="444"/>
      <c r="R79" s="215"/>
      <c r="S79" s="350" t="s">
        <v>464</v>
      </c>
      <c r="T79" s="351" t="s">
        <v>465</v>
      </c>
      <c r="U79" s="352" t="s">
        <v>466</v>
      </c>
      <c r="V79" s="353" t="s">
        <v>504</v>
      </c>
      <c r="W79" s="353" t="str">
        <f>IFERROR(IF(V79="","",IF(N79="Fábrica",VLOOKUP(V79&amp;"CAPEX",ISS!A:E,5,0),IF(OR(G79="HITSS",G79="GLOBALHITSS",G79="HILDEBRANDO",G79="GLOBAL HITSS"),VLOOKUP(V79,ISS!A171:E172,5,0),VLOOKUP(V79&amp;N79,ISS!A:E,5,0)))),"Classificar")</f>
        <v>Classificar</v>
      </c>
      <c r="X79" s="353" t="s">
        <v>37</v>
      </c>
      <c r="Y79" s="351"/>
      <c r="Z79" s="353"/>
      <c r="AA79" s="353"/>
      <c r="AB79" s="353" t="s">
        <v>501</v>
      </c>
      <c r="AC79" s="353" t="str">
        <f>H79&amp;": "&amp;TEXT(I79,"#.##0")&amp;"h *  R$ "&amp; TEXT(J79, "#.##0,00") &amp;"/h = R$ "&amp; TEXT(O79,"#.##0,00")</f>
        <v>ANÁLISE DE DESENVOLVIMENTO FULL STACK: 176h *  R$ 346,18/h = R$ 61.086,92</v>
      </c>
      <c r="AD79" s="353"/>
      <c r="AE79" s="353"/>
      <c r="AF79" s="353"/>
    </row>
    <row r="80" spans="1:37" s="2" customFormat="1" ht="15">
      <c r="A80" s="442"/>
      <c r="B80" s="445"/>
      <c r="C80" s="445"/>
      <c r="D80" s="442"/>
      <c r="E80" s="448"/>
      <c r="F80" s="442"/>
      <c r="G80" s="451"/>
      <c r="H80" s="362"/>
      <c r="I80" s="344"/>
      <c r="J80" s="345"/>
      <c r="K80" s="346"/>
      <c r="L80" s="344"/>
      <c r="M80" s="347"/>
      <c r="N80" s="347"/>
      <c r="O80" s="348">
        <f>I80*J80</f>
        <v>0</v>
      </c>
      <c r="P80" s="445"/>
      <c r="Q80" s="445"/>
      <c r="R80" s="215"/>
      <c r="S80" s="350"/>
      <c r="T80" s="351"/>
      <c r="U80" s="352"/>
      <c r="V80" s="353"/>
      <c r="W80" s="353"/>
      <c r="X80" s="353"/>
      <c r="Y80" s="351"/>
      <c r="Z80" s="353"/>
      <c r="AA80" s="353"/>
      <c r="AB80" s="353" t="s">
        <v>501</v>
      </c>
      <c r="AC80" s="353" t="str">
        <f>H80&amp;": "&amp;TEXT(I80,"#.##0")&amp;"h *  R$ "&amp; TEXT(J80, "#.##0,00") &amp;"/h = R$ "&amp; TEXT(O80,"#.##0,00")</f>
        <v>: 0h *  R$ 0,00/h = R$ 0,00</v>
      </c>
      <c r="AD80" s="353"/>
      <c r="AE80" s="353"/>
      <c r="AF80" s="353"/>
    </row>
    <row r="81" spans="1:37" s="2" customFormat="1" ht="15">
      <c r="A81" s="442"/>
      <c r="B81" s="445"/>
      <c r="C81" s="445"/>
      <c r="D81" s="442"/>
      <c r="E81" s="448"/>
      <c r="F81" s="442"/>
      <c r="G81" s="451"/>
      <c r="H81" s="362"/>
      <c r="I81" s="344"/>
      <c r="J81" s="345"/>
      <c r="K81" s="346"/>
      <c r="L81" s="344"/>
      <c r="M81" s="347"/>
      <c r="N81" s="347"/>
      <c r="O81" s="348">
        <f>I81*J81</f>
        <v>0</v>
      </c>
      <c r="P81" s="445"/>
      <c r="Q81" s="445"/>
      <c r="R81" s="215"/>
      <c r="S81" s="350"/>
      <c r="T81" s="351"/>
      <c r="U81" s="352"/>
      <c r="V81" s="353"/>
      <c r="W81" s="353"/>
      <c r="X81" s="353"/>
      <c r="Y81" s="351"/>
      <c r="Z81" s="353"/>
      <c r="AA81" s="353"/>
      <c r="AB81" s="353" t="s">
        <v>501</v>
      </c>
      <c r="AC81" s="353" t="str">
        <f>H81&amp;": "&amp;TEXT(I81,"#.##0")&amp;"h *  R$ "&amp; TEXT(J81, "#.##0,00") &amp;"/h = R$ "&amp; TEXT(O81,"#.##0,00")</f>
        <v>: 0h *  R$ 0,00/h = R$ 0,00</v>
      </c>
      <c r="AD81" s="353"/>
      <c r="AE81" s="353"/>
      <c r="AF81" s="353"/>
    </row>
    <row r="82" spans="1:37" s="2" customFormat="1" ht="15">
      <c r="A82" s="442"/>
      <c r="B82" s="445"/>
      <c r="C82" s="445"/>
      <c r="D82" s="442"/>
      <c r="E82" s="448"/>
      <c r="F82" s="442"/>
      <c r="G82" s="451"/>
      <c r="H82" s="362"/>
      <c r="I82" s="344"/>
      <c r="J82" s="355"/>
      <c r="K82" s="346"/>
      <c r="L82" s="344"/>
      <c r="M82" s="347"/>
      <c r="N82" s="347"/>
      <c r="O82" s="348">
        <f t="shared" ref="O82:O83" si="25">I82*J82</f>
        <v>0</v>
      </c>
      <c r="P82" s="445"/>
      <c r="Q82" s="445"/>
      <c r="R82" s="215"/>
      <c r="S82" s="350"/>
      <c r="T82" s="350"/>
      <c r="U82" s="352"/>
      <c r="V82" s="354"/>
      <c r="W82" s="353"/>
      <c r="X82" s="353"/>
      <c r="Y82" s="356"/>
      <c r="Z82" s="356"/>
      <c r="AA82" s="356"/>
      <c r="AB82" s="356"/>
      <c r="AC82" s="353"/>
      <c r="AD82" s="353"/>
      <c r="AE82" s="349"/>
      <c r="AF82" s="349"/>
    </row>
    <row r="83" spans="1:37" s="2" customFormat="1" ht="15">
      <c r="A83" s="443"/>
      <c r="B83" s="446"/>
      <c r="C83" s="446"/>
      <c r="D83" s="443"/>
      <c r="E83" s="449"/>
      <c r="F83" s="443"/>
      <c r="G83" s="451"/>
      <c r="H83" s="362"/>
      <c r="I83" s="357"/>
      <c r="J83" s="355"/>
      <c r="K83" s="346"/>
      <c r="L83" s="344"/>
      <c r="M83" s="347"/>
      <c r="N83" s="347"/>
      <c r="O83" s="348">
        <f t="shared" si="25"/>
        <v>0</v>
      </c>
      <c r="P83" s="446"/>
      <c r="Q83" s="446"/>
      <c r="R83" s="215"/>
      <c r="S83" s="358"/>
      <c r="T83" s="350"/>
      <c r="U83" s="352"/>
      <c r="V83" s="349"/>
      <c r="W83" s="353" t="str">
        <f>IFERROR(IF(V83="","",IF(N83="Fábrica",VLOOKUP(V83&amp;"CAPEX",ISS!A:E,5,0),IF(OR(G83="HITSS",G83="GLOBALHITSS",G83="HILDEBRANDO",G83="GLOBAL HITSS"),VLOOKUP(V83,ISS!A175:E176,5,0),VLOOKUP(V83&amp;N83,ISS!A:E,5,0)))),"Classificar")</f>
        <v/>
      </c>
      <c r="X83" s="349"/>
      <c r="Y83" s="356"/>
      <c r="Z83" s="356"/>
      <c r="AA83" s="356"/>
      <c r="AB83" s="356"/>
      <c r="AC83" s="353"/>
      <c r="AD83" s="349"/>
      <c r="AE83" s="349"/>
      <c r="AF83" s="349"/>
    </row>
    <row r="84" spans="1:37" ht="15">
      <c r="A84" s="216"/>
      <c r="B84" s="216"/>
      <c r="C84" s="216"/>
      <c r="D84" s="216"/>
      <c r="E84" s="216"/>
      <c r="F84" s="216"/>
      <c r="G84" s="216"/>
      <c r="H84" s="238"/>
      <c r="I84" s="216"/>
      <c r="J84" s="217"/>
      <c r="K84" s="216"/>
      <c r="L84" s="218"/>
      <c r="M84" s="216"/>
      <c r="N84" s="219"/>
      <c r="O84" s="216"/>
      <c r="P84" s="218"/>
      <c r="Q84" s="218"/>
      <c r="R84" s="64"/>
      <c r="S84" s="216"/>
      <c r="T84" s="216"/>
      <c r="U84" s="216"/>
      <c r="V84" s="216"/>
      <c r="W84" s="216"/>
      <c r="X84" s="216"/>
      <c r="Y84" s="216"/>
      <c r="Z84" s="216"/>
      <c r="AA84" s="216"/>
      <c r="AB84" s="216"/>
      <c r="AC84" s="360"/>
      <c r="AD84" s="216"/>
      <c r="AE84" s="216"/>
      <c r="AF84" s="216"/>
      <c r="AK84" s="2"/>
    </row>
    <row r="85" spans="1:37" ht="18.75">
      <c r="A85" s="235"/>
      <c r="B85" s="235"/>
      <c r="C85" s="235"/>
      <c r="D85" s="235"/>
      <c r="E85" s="220"/>
      <c r="F85" s="220"/>
      <c r="G85" s="220"/>
      <c r="H85" s="239"/>
      <c r="I85" s="228"/>
      <c r="J85" s="222"/>
      <c r="K85" s="228"/>
      <c r="L85" s="223"/>
      <c r="M85" s="224"/>
      <c r="N85" s="240"/>
      <c r="O85" s="343">
        <f>SUM(O79:O84)</f>
        <v>61086.922800000008</v>
      </c>
      <c r="P85" s="231"/>
      <c r="Q85" s="231"/>
      <c r="R85" s="226"/>
      <c r="S85" s="227"/>
      <c r="T85" s="227"/>
      <c r="U85" s="227"/>
      <c r="V85" s="227"/>
      <c r="W85" s="227"/>
      <c r="X85" s="227"/>
      <c r="Y85" s="227"/>
      <c r="Z85" s="227"/>
      <c r="AA85" s="227"/>
      <c r="AB85" s="227"/>
      <c r="AC85" s="361"/>
      <c r="AD85" s="227"/>
      <c r="AE85" s="227"/>
      <c r="AF85" s="227"/>
      <c r="AK85" s="2"/>
    </row>
    <row r="86" spans="1:37" ht="24.75">
      <c r="A86" s="441" t="s">
        <v>95</v>
      </c>
      <c r="B86" s="444" t="s">
        <v>20</v>
      </c>
      <c r="C86" s="444" t="s">
        <v>58</v>
      </c>
      <c r="D86" s="441" t="s">
        <v>502</v>
      </c>
      <c r="E86" s="447" t="s">
        <v>503</v>
      </c>
      <c r="F86" s="441" t="s">
        <v>96</v>
      </c>
      <c r="G86" s="450" t="s">
        <v>505</v>
      </c>
      <c r="H86" s="362" t="s">
        <v>506</v>
      </c>
      <c r="I86" s="344">
        <v>128.69</v>
      </c>
      <c r="J86" s="345">
        <v>610</v>
      </c>
      <c r="K86" s="346">
        <f>IFERROR((I86/176)/L86,0)</f>
        <v>8.1243686868686868E-2</v>
      </c>
      <c r="L86" s="344">
        <v>9</v>
      </c>
      <c r="M86" s="347" t="s">
        <v>463</v>
      </c>
      <c r="N86" s="347"/>
      <c r="O86" s="348">
        <f>I86*J86</f>
        <v>78500.899999999994</v>
      </c>
      <c r="P86" s="444"/>
      <c r="Q86" s="444"/>
      <c r="R86" s="215"/>
      <c r="S86" s="350" t="s">
        <v>464</v>
      </c>
      <c r="T86" s="351" t="s">
        <v>465</v>
      </c>
      <c r="U86" s="352" t="s">
        <v>466</v>
      </c>
      <c r="V86" s="353" t="s">
        <v>504</v>
      </c>
      <c r="W86" s="353" t="str">
        <f>IFERROR(IF(V86="","",IF(N86="Fábrica",VLOOKUP(V86&amp;"CAPEX",ISS!A:E,5,0),IF(OR(G86="HITSS",G86="GLOBALHITSS",G86="HILDEBRANDO",G86="GLOBAL HITSS"),VLOOKUP(V86,ISS!A178:E179,5,0),VLOOKUP(V86&amp;N86,ISS!A:E,5,0)))),"Classificar")</f>
        <v>Classificar</v>
      </c>
      <c r="X86" s="353" t="s">
        <v>37</v>
      </c>
      <c r="Y86" s="351"/>
      <c r="Z86" s="353"/>
      <c r="AA86" s="353"/>
      <c r="AB86" s="353" t="s">
        <v>501</v>
      </c>
      <c r="AC86" s="353" t="str">
        <f>H86&amp;": "&amp;TEXT(I86,"#.##0")&amp;"h *  R$ "&amp; TEXT(J86, "#.##0,00") &amp;"/h = R$ "&amp; TEXT(O86,"#.##0,00")</f>
        <v>SERVIÇO ESPECIALIZADO DE DESENVOLVIMENTO DE PLATAFORMA DE API MANAGEMENT: 129h *  R$ 610,00/h = R$ 78.500,90</v>
      </c>
      <c r="AD86" s="353"/>
      <c r="AE86" s="353"/>
      <c r="AF86" s="353"/>
      <c r="AK86" s="2"/>
    </row>
    <row r="87" spans="1:37" ht="15">
      <c r="A87" s="442"/>
      <c r="B87" s="445"/>
      <c r="C87" s="445"/>
      <c r="D87" s="442"/>
      <c r="E87" s="448"/>
      <c r="F87" s="442"/>
      <c r="G87" s="451"/>
      <c r="H87" s="362"/>
      <c r="I87" s="344"/>
      <c r="J87" s="345"/>
      <c r="K87" s="346"/>
      <c r="L87" s="344"/>
      <c r="M87" s="347"/>
      <c r="N87" s="347"/>
      <c r="O87" s="348">
        <f>I87*J87</f>
        <v>0</v>
      </c>
      <c r="P87" s="445"/>
      <c r="Q87" s="445"/>
      <c r="R87" s="215"/>
      <c r="S87" s="350"/>
      <c r="T87" s="351"/>
      <c r="U87" s="352"/>
      <c r="V87" s="353"/>
      <c r="W87" s="353"/>
      <c r="X87" s="353"/>
      <c r="Y87" s="351"/>
      <c r="Z87" s="353"/>
      <c r="AA87" s="353"/>
      <c r="AB87" s="353" t="s">
        <v>501</v>
      </c>
      <c r="AC87" s="353" t="str">
        <f>H87&amp;": "&amp;TEXT(I87,"#.##0")&amp;"h *  R$ "&amp; TEXT(J87, "#.##0,00") &amp;"/h = R$ "&amp; TEXT(O87,"#.##0,00")</f>
        <v>: 0h *  R$ 0,00/h = R$ 0,00</v>
      </c>
      <c r="AD87" s="353"/>
      <c r="AE87" s="353"/>
      <c r="AF87" s="353"/>
      <c r="AK87" s="2"/>
    </row>
    <row r="88" spans="1:37" ht="15" customHeight="1">
      <c r="A88" s="442"/>
      <c r="B88" s="445"/>
      <c r="C88" s="445"/>
      <c r="D88" s="442"/>
      <c r="E88" s="448"/>
      <c r="F88" s="442"/>
      <c r="G88" s="451"/>
      <c r="H88" s="362"/>
      <c r="I88" s="344"/>
      <c r="J88" s="345"/>
      <c r="K88" s="346"/>
      <c r="L88" s="344"/>
      <c r="M88" s="347"/>
      <c r="N88" s="347"/>
      <c r="O88" s="348">
        <f>I88*J88</f>
        <v>0</v>
      </c>
      <c r="P88" s="445"/>
      <c r="Q88" s="445"/>
      <c r="R88" s="215"/>
      <c r="S88" s="350"/>
      <c r="T88" s="351"/>
      <c r="U88" s="352"/>
      <c r="V88" s="353"/>
      <c r="W88" s="353"/>
      <c r="X88" s="353"/>
      <c r="Y88" s="351"/>
      <c r="Z88" s="353"/>
      <c r="AA88" s="353"/>
      <c r="AB88" s="353" t="s">
        <v>501</v>
      </c>
      <c r="AC88" s="353" t="str">
        <f>H88&amp;": "&amp;TEXT(I88,"#.##0")&amp;"h *  R$ "&amp; TEXT(J88, "#.##0,00") &amp;"/h = R$ "&amp; TEXT(O88,"#.##0,00")</f>
        <v>: 0h *  R$ 0,00/h = R$ 0,00</v>
      </c>
      <c r="AD88" s="353"/>
      <c r="AE88" s="353"/>
      <c r="AF88" s="353"/>
      <c r="AK88" s="2"/>
    </row>
    <row r="89" spans="1:37" ht="15">
      <c r="A89" s="442"/>
      <c r="B89" s="445"/>
      <c r="C89" s="445"/>
      <c r="D89" s="442"/>
      <c r="E89" s="448"/>
      <c r="F89" s="442"/>
      <c r="G89" s="451"/>
      <c r="H89" s="362"/>
      <c r="I89" s="344"/>
      <c r="J89" s="355"/>
      <c r="K89" s="346"/>
      <c r="L89" s="344"/>
      <c r="M89" s="347"/>
      <c r="N89" s="347"/>
      <c r="O89" s="348">
        <f t="shared" ref="O89:O90" si="26">I89*J89</f>
        <v>0</v>
      </c>
      <c r="P89" s="445"/>
      <c r="Q89" s="445"/>
      <c r="R89" s="215"/>
      <c r="S89" s="350"/>
      <c r="T89" s="350"/>
      <c r="U89" s="352"/>
      <c r="V89" s="354"/>
      <c r="W89" s="353"/>
      <c r="X89" s="353"/>
      <c r="Y89" s="356"/>
      <c r="Z89" s="356"/>
      <c r="AA89" s="356"/>
      <c r="AB89" s="356"/>
      <c r="AC89" s="353"/>
      <c r="AD89" s="353"/>
      <c r="AE89" s="349"/>
      <c r="AF89" s="349"/>
      <c r="AK89" s="2"/>
    </row>
    <row r="90" spans="1:37" ht="15">
      <c r="A90" s="443"/>
      <c r="B90" s="446"/>
      <c r="C90" s="446"/>
      <c r="D90" s="443"/>
      <c r="E90" s="449"/>
      <c r="F90" s="443"/>
      <c r="G90" s="451"/>
      <c r="H90" s="362"/>
      <c r="I90" s="357"/>
      <c r="J90" s="355"/>
      <c r="K90" s="346"/>
      <c r="L90" s="344"/>
      <c r="M90" s="347"/>
      <c r="N90" s="347"/>
      <c r="O90" s="348">
        <f t="shared" si="26"/>
        <v>0</v>
      </c>
      <c r="P90" s="446"/>
      <c r="Q90" s="446"/>
      <c r="R90" s="215"/>
      <c r="S90" s="358"/>
      <c r="T90" s="350"/>
      <c r="U90" s="352"/>
      <c r="V90" s="349"/>
      <c r="W90" s="353" t="str">
        <f>IFERROR(IF(V90="","",IF(N90="Fábrica",VLOOKUP(V90&amp;"CAPEX",ISS!A:E,5,0),IF(OR(G90="HITSS",G90="GLOBALHITSS",G90="HILDEBRANDO",G90="GLOBAL HITSS"),VLOOKUP(V90,ISS!A182:E183,5,0),VLOOKUP(V90&amp;N90,ISS!A:E,5,0)))),"Classificar")</f>
        <v/>
      </c>
      <c r="X90" s="349"/>
      <c r="Y90" s="356"/>
      <c r="Z90" s="356"/>
      <c r="AA90" s="356"/>
      <c r="AB90" s="356"/>
      <c r="AC90" s="353"/>
      <c r="AD90" s="349"/>
      <c r="AE90" s="349"/>
      <c r="AF90" s="349"/>
      <c r="AK90" s="2"/>
    </row>
    <row r="91" spans="1:37" ht="15">
      <c r="A91" s="216"/>
      <c r="B91" s="216"/>
      <c r="C91" s="216"/>
      <c r="D91" s="216"/>
      <c r="E91" s="216"/>
      <c r="F91" s="216"/>
      <c r="G91" s="216"/>
      <c r="H91" s="238"/>
      <c r="I91" s="216"/>
      <c r="J91" s="217"/>
      <c r="K91" s="216"/>
      <c r="L91" s="218"/>
      <c r="M91" s="216"/>
      <c r="N91" s="219"/>
      <c r="O91" s="216"/>
      <c r="P91" s="218"/>
      <c r="Q91" s="218"/>
      <c r="R91" s="64"/>
      <c r="S91" s="216"/>
      <c r="T91" s="216"/>
      <c r="U91" s="216"/>
      <c r="V91" s="216"/>
      <c r="W91" s="216"/>
      <c r="X91" s="216"/>
      <c r="Y91" s="216"/>
      <c r="Z91" s="216"/>
      <c r="AA91" s="216"/>
      <c r="AB91" s="216"/>
      <c r="AC91" s="360"/>
      <c r="AD91" s="216"/>
      <c r="AE91" s="216"/>
      <c r="AF91" s="216"/>
      <c r="AK91" s="2"/>
    </row>
    <row r="92" spans="1:37" ht="18.75">
      <c r="A92" s="235"/>
      <c r="B92" s="235"/>
      <c r="C92" s="235"/>
      <c r="D92" s="235"/>
      <c r="E92" s="220"/>
      <c r="F92" s="220"/>
      <c r="G92" s="220"/>
      <c r="H92" s="239"/>
      <c r="I92" s="228"/>
      <c r="J92" s="222"/>
      <c r="K92" s="228"/>
      <c r="L92" s="223"/>
      <c r="M92" s="224"/>
      <c r="N92" s="240"/>
      <c r="O92" s="343">
        <f>SUM(O86:O91)</f>
        <v>78500.899999999994</v>
      </c>
      <c r="P92" s="231"/>
      <c r="Q92" s="231"/>
      <c r="R92" s="226"/>
      <c r="S92" s="227"/>
      <c r="T92" s="227"/>
      <c r="U92" s="227"/>
      <c r="V92" s="227"/>
      <c r="W92" s="227"/>
      <c r="X92" s="227"/>
      <c r="Y92" s="227"/>
      <c r="Z92" s="227"/>
      <c r="AA92" s="227"/>
      <c r="AB92" s="227"/>
      <c r="AC92" s="361"/>
      <c r="AD92" s="227"/>
      <c r="AE92" s="227"/>
      <c r="AF92" s="227"/>
      <c r="AK92" s="2"/>
    </row>
    <row r="93" spans="1:37" ht="32.25" customHeight="1">
      <c r="A93" s="441" t="s">
        <v>95</v>
      </c>
      <c r="B93" s="444" t="s">
        <v>20</v>
      </c>
      <c r="C93" s="444" t="s">
        <v>58</v>
      </c>
      <c r="D93" s="441" t="s">
        <v>502</v>
      </c>
      <c r="E93" s="447" t="s">
        <v>503</v>
      </c>
      <c r="F93" s="441" t="s">
        <v>96</v>
      </c>
      <c r="G93" s="450" t="s">
        <v>505</v>
      </c>
      <c r="H93" s="362" t="s">
        <v>507</v>
      </c>
      <c r="I93" s="344">
        <v>53</v>
      </c>
      <c r="J93" s="345">
        <v>437</v>
      </c>
      <c r="K93" s="346">
        <f>IFERROR((I93/176)/L93,0)</f>
        <v>3.345959595959596E-2</v>
      </c>
      <c r="L93" s="344">
        <v>9</v>
      </c>
      <c r="M93" s="347" t="s">
        <v>463</v>
      </c>
      <c r="N93" s="347"/>
      <c r="O93" s="348">
        <f>I93*J93</f>
        <v>23161</v>
      </c>
      <c r="P93" s="444"/>
      <c r="Q93" s="444"/>
      <c r="R93" s="215"/>
      <c r="S93" s="350" t="s">
        <v>464</v>
      </c>
      <c r="T93" s="351" t="s">
        <v>465</v>
      </c>
      <c r="U93" s="352" t="s">
        <v>466</v>
      </c>
      <c r="V93" s="353" t="s">
        <v>504</v>
      </c>
      <c r="W93" s="353" t="str">
        <f>IFERROR(IF(V93="","",IF(N93="Fábrica",VLOOKUP(V93&amp;"CAPEX",ISS!A:E,5,0),IF(OR(G93="HITSS",G93="GLOBALHITSS",G93="HILDEBRANDO",G93="GLOBAL HITSS"),VLOOKUP(V93,ISS!A185:E186,5,0),VLOOKUP(V93&amp;N93,ISS!A:E,5,0)))),"Classificar")</f>
        <v>Classificar</v>
      </c>
      <c r="X93" s="353" t="s">
        <v>37</v>
      </c>
      <c r="Y93" s="351"/>
      <c r="Z93" s="353"/>
      <c r="AA93" s="353"/>
      <c r="AB93" s="353" t="s">
        <v>501</v>
      </c>
      <c r="AC93" s="353" t="str">
        <f>H93&amp;": "&amp;TEXT(I93,"#.##0")&amp;"h *  R$ "&amp; TEXT(J93, "#.##0,00") &amp;"/h = R$ "&amp; TEXT(O93,"#.##0,00")</f>
        <v>SERVIÇO ESPECIALIZADO DE INTEGRAÇÃO SERVICE DESIGN: 53h *  R$ 437,00/h = R$ 23.161,00</v>
      </c>
      <c r="AD93" s="353"/>
      <c r="AE93" s="353"/>
      <c r="AF93" s="353"/>
      <c r="AK93" s="2"/>
    </row>
    <row r="94" spans="1:37" ht="15">
      <c r="A94" s="442"/>
      <c r="B94" s="445"/>
      <c r="C94" s="445"/>
      <c r="D94" s="442"/>
      <c r="E94" s="448"/>
      <c r="F94" s="442"/>
      <c r="G94" s="451"/>
      <c r="H94" s="362"/>
      <c r="I94" s="344"/>
      <c r="J94" s="345"/>
      <c r="K94" s="346"/>
      <c r="L94" s="344"/>
      <c r="M94" s="347"/>
      <c r="N94" s="347"/>
      <c r="O94" s="348">
        <f>I94*J94</f>
        <v>0</v>
      </c>
      <c r="P94" s="445"/>
      <c r="Q94" s="445"/>
      <c r="R94" s="215"/>
      <c r="S94" s="350"/>
      <c r="T94" s="351"/>
      <c r="U94" s="352"/>
      <c r="V94" s="353"/>
      <c r="W94" s="353"/>
      <c r="X94" s="353"/>
      <c r="Y94" s="351"/>
      <c r="Z94" s="353"/>
      <c r="AA94" s="353"/>
      <c r="AB94" s="353"/>
      <c r="AC94" s="353"/>
      <c r="AD94" s="353"/>
      <c r="AE94" s="353"/>
      <c r="AF94" s="353"/>
      <c r="AK94" s="2"/>
    </row>
    <row r="95" spans="1:37" ht="15">
      <c r="A95" s="442"/>
      <c r="B95" s="445"/>
      <c r="C95" s="445"/>
      <c r="D95" s="442"/>
      <c r="E95" s="448"/>
      <c r="F95" s="442"/>
      <c r="G95" s="451"/>
      <c r="H95" s="362"/>
      <c r="I95" s="344"/>
      <c r="J95" s="345"/>
      <c r="K95" s="346"/>
      <c r="L95" s="344"/>
      <c r="M95" s="347"/>
      <c r="N95" s="347"/>
      <c r="O95" s="348">
        <f>I95*J95</f>
        <v>0</v>
      </c>
      <c r="P95" s="445"/>
      <c r="Q95" s="445"/>
      <c r="R95" s="215"/>
      <c r="S95" s="350"/>
      <c r="T95" s="351"/>
      <c r="U95" s="352"/>
      <c r="V95" s="353"/>
      <c r="W95" s="353"/>
      <c r="X95" s="353"/>
      <c r="Y95" s="351"/>
      <c r="Z95" s="353"/>
      <c r="AA95" s="353"/>
      <c r="AB95" s="353"/>
      <c r="AC95" s="353"/>
      <c r="AD95" s="353"/>
      <c r="AE95" s="353"/>
      <c r="AF95" s="353"/>
      <c r="AK95" s="2"/>
    </row>
    <row r="96" spans="1:37" ht="15">
      <c r="A96" s="442"/>
      <c r="B96" s="445"/>
      <c r="C96" s="445"/>
      <c r="D96" s="442"/>
      <c r="E96" s="448"/>
      <c r="F96" s="442"/>
      <c r="G96" s="451"/>
      <c r="H96" s="362"/>
      <c r="I96" s="344"/>
      <c r="J96" s="355"/>
      <c r="K96" s="346"/>
      <c r="L96" s="344"/>
      <c r="M96" s="347"/>
      <c r="N96" s="347"/>
      <c r="O96" s="348">
        <f t="shared" ref="O96:O97" si="27">I96*J96</f>
        <v>0</v>
      </c>
      <c r="P96" s="445"/>
      <c r="Q96" s="445"/>
      <c r="R96" s="215"/>
      <c r="S96" s="350"/>
      <c r="T96" s="350"/>
      <c r="U96" s="352"/>
      <c r="V96" s="354"/>
      <c r="W96" s="353"/>
      <c r="X96" s="353"/>
      <c r="Y96" s="356"/>
      <c r="Z96" s="356"/>
      <c r="AA96" s="356"/>
      <c r="AB96" s="356"/>
      <c r="AC96" s="353"/>
      <c r="AD96" s="353"/>
      <c r="AE96" s="349"/>
      <c r="AF96" s="349"/>
      <c r="AK96" s="2"/>
    </row>
    <row r="97" spans="1:37" ht="15">
      <c r="A97" s="443"/>
      <c r="B97" s="446"/>
      <c r="C97" s="446"/>
      <c r="D97" s="443"/>
      <c r="E97" s="449"/>
      <c r="F97" s="443"/>
      <c r="G97" s="451"/>
      <c r="H97" s="362"/>
      <c r="I97" s="357"/>
      <c r="J97" s="355"/>
      <c r="K97" s="346"/>
      <c r="L97" s="344"/>
      <c r="M97" s="347"/>
      <c r="N97" s="347"/>
      <c r="O97" s="348">
        <f t="shared" si="27"/>
        <v>0</v>
      </c>
      <c r="P97" s="446"/>
      <c r="Q97" s="446"/>
      <c r="R97" s="215"/>
      <c r="S97" s="358"/>
      <c r="T97" s="350"/>
      <c r="U97" s="352"/>
      <c r="V97" s="349"/>
      <c r="W97" s="353" t="str">
        <f>IFERROR(IF(V97="","",IF(N97="Fábrica",VLOOKUP(V97&amp;"CAPEX",ISS!A:E,5,0),IF(OR(G97="HITSS",G97="GLOBALHITSS",G97="HILDEBRANDO",G97="GLOBAL HITSS"),VLOOKUP(V97,ISS!A189:E190,5,0),VLOOKUP(V97&amp;N97,ISS!A:E,5,0)))),"Classificar")</f>
        <v/>
      </c>
      <c r="X97" s="349"/>
      <c r="Y97" s="356"/>
      <c r="Z97" s="356"/>
      <c r="AA97" s="356"/>
      <c r="AB97" s="356"/>
      <c r="AC97" s="353"/>
      <c r="AD97" s="349"/>
      <c r="AE97" s="349"/>
      <c r="AF97" s="349"/>
      <c r="AK97" s="2"/>
    </row>
    <row r="98" spans="1:37" ht="15">
      <c r="A98" s="216"/>
      <c r="B98" s="216"/>
      <c r="C98" s="216"/>
      <c r="D98" s="216"/>
      <c r="E98" s="216"/>
      <c r="F98" s="216"/>
      <c r="G98" s="216"/>
      <c r="H98" s="238"/>
      <c r="I98" s="216"/>
      <c r="J98" s="217"/>
      <c r="K98" s="216"/>
      <c r="L98" s="218"/>
      <c r="M98" s="216"/>
      <c r="N98" s="219"/>
      <c r="O98" s="216"/>
      <c r="P98" s="218"/>
      <c r="Q98" s="218"/>
      <c r="R98" s="64"/>
      <c r="S98" s="216"/>
      <c r="T98" s="216"/>
      <c r="U98" s="216"/>
      <c r="V98" s="216"/>
      <c r="W98" s="216"/>
      <c r="X98" s="216"/>
      <c r="Y98" s="216"/>
      <c r="Z98" s="216"/>
      <c r="AA98" s="216"/>
      <c r="AB98" s="216"/>
      <c r="AC98" s="360"/>
      <c r="AD98" s="216"/>
      <c r="AE98" s="216"/>
      <c r="AF98" s="216"/>
      <c r="AK98" s="2"/>
    </row>
    <row r="99" spans="1:37" ht="18.75">
      <c r="A99" s="235"/>
      <c r="B99" s="235"/>
      <c r="C99" s="235"/>
      <c r="D99" s="235"/>
      <c r="E99" s="220"/>
      <c r="F99" s="220"/>
      <c r="G99" s="220"/>
      <c r="H99" s="239"/>
      <c r="I99" s="228"/>
      <c r="J99" s="222"/>
      <c r="K99" s="228"/>
      <c r="L99" s="223"/>
      <c r="M99" s="224"/>
      <c r="N99" s="240"/>
      <c r="O99" s="343">
        <f>SUM(O93:O98)</f>
        <v>23161</v>
      </c>
      <c r="P99" s="231"/>
      <c r="Q99" s="231"/>
      <c r="R99" s="226"/>
      <c r="S99" s="227"/>
      <c r="T99" s="227"/>
      <c r="U99" s="227"/>
      <c r="V99" s="227"/>
      <c r="W99" s="227"/>
      <c r="X99" s="227"/>
      <c r="Y99" s="227"/>
      <c r="Z99" s="227"/>
      <c r="AA99" s="227"/>
      <c r="AB99" s="227"/>
      <c r="AC99" s="361"/>
      <c r="AD99" s="227"/>
      <c r="AE99" s="227"/>
      <c r="AF99" s="227"/>
      <c r="AK99" s="2"/>
    </row>
    <row r="100" spans="1:37" ht="15">
      <c r="A100" s="441" t="s">
        <v>95</v>
      </c>
      <c r="B100" s="444" t="s">
        <v>20</v>
      </c>
      <c r="C100" s="444" t="s">
        <v>58</v>
      </c>
      <c r="D100" s="441" t="s">
        <v>475</v>
      </c>
      <c r="E100" s="447" t="s">
        <v>484</v>
      </c>
      <c r="F100" s="441" t="s">
        <v>96</v>
      </c>
      <c r="G100" s="450" t="s">
        <v>508</v>
      </c>
      <c r="H100" s="362" t="s">
        <v>483</v>
      </c>
      <c r="I100" s="344">
        <v>97.35</v>
      </c>
      <c r="J100" s="345">
        <v>176</v>
      </c>
      <c r="K100" s="346">
        <f>IFERROR((I100/176)/L100,0)</f>
        <v>6.145833333333333E-2</v>
      </c>
      <c r="L100" s="344">
        <v>9</v>
      </c>
      <c r="M100" s="347" t="s">
        <v>463</v>
      </c>
      <c r="N100" s="347" t="s">
        <v>402</v>
      </c>
      <c r="O100" s="348">
        <f>I100*J100</f>
        <v>17133.599999999999</v>
      </c>
      <c r="P100" s="452"/>
      <c r="Q100" s="452"/>
      <c r="R100" s="215"/>
      <c r="S100" s="350" t="s">
        <v>464</v>
      </c>
      <c r="T100" s="351" t="s">
        <v>465</v>
      </c>
      <c r="U100" s="352" t="s">
        <v>466</v>
      </c>
      <c r="V100" s="353" t="s">
        <v>467</v>
      </c>
      <c r="W100" s="353"/>
      <c r="X100" s="353" t="s">
        <v>37</v>
      </c>
      <c r="Y100" s="351"/>
      <c r="Z100" s="353"/>
      <c r="AA100" s="353"/>
      <c r="AB100" s="353"/>
      <c r="AC100" s="353" t="str">
        <f>H100&amp;": "&amp;TEXT(I100,"#.##0")&amp;"h *  R$ "&amp; TEXT(J100, "#.##0,00") &amp;"/h = R$ "&amp; TEXT(O100,"#.##0,00")</f>
        <v>Análise - Sênior: 97h *  R$ 176,00/h = R$ 17.133,60</v>
      </c>
      <c r="AD100" s="353"/>
      <c r="AE100" s="353"/>
      <c r="AF100" s="353"/>
      <c r="AK100" s="2"/>
    </row>
    <row r="101" spans="1:37" ht="15">
      <c r="A101" s="442"/>
      <c r="B101" s="445"/>
      <c r="C101" s="445"/>
      <c r="D101" s="442"/>
      <c r="E101" s="448"/>
      <c r="F101" s="442"/>
      <c r="G101" s="451"/>
      <c r="H101" s="362"/>
      <c r="I101" s="344"/>
      <c r="J101" s="345"/>
      <c r="K101" s="346"/>
      <c r="L101" s="344"/>
      <c r="M101" s="347"/>
      <c r="N101" s="347"/>
      <c r="O101" s="348"/>
      <c r="P101" s="453"/>
      <c r="Q101" s="453"/>
      <c r="R101" s="215"/>
      <c r="S101" s="350"/>
      <c r="T101" s="351"/>
      <c r="U101" s="352"/>
      <c r="V101" s="353"/>
      <c r="W101" s="353"/>
      <c r="X101" s="353"/>
      <c r="Y101" s="351"/>
      <c r="Z101" s="353"/>
      <c r="AA101" s="353"/>
      <c r="AB101" s="353"/>
      <c r="AC101" s="353" t="str">
        <f t="shared" ref="AC101:AC103" si="28">H101&amp;": "&amp;TEXT(I101,"#.##0")&amp;"h *  R$ "&amp; TEXT(J101, "#.##0,00") &amp;"/h = R$ "&amp; TEXT(O101,"#.##0,00")</f>
        <v>: 0h *  R$ 0,00/h = R$ 0,00</v>
      </c>
      <c r="AD101" s="353"/>
      <c r="AE101" s="353"/>
      <c r="AF101" s="353"/>
      <c r="AK101" s="2"/>
    </row>
    <row r="102" spans="1:37" ht="15">
      <c r="A102" s="442"/>
      <c r="B102" s="445"/>
      <c r="C102" s="445"/>
      <c r="D102" s="442"/>
      <c r="E102" s="448"/>
      <c r="F102" s="442"/>
      <c r="G102" s="451"/>
      <c r="H102" s="362"/>
      <c r="I102" s="344"/>
      <c r="J102" s="345"/>
      <c r="K102" s="346"/>
      <c r="L102" s="344"/>
      <c r="M102" s="347"/>
      <c r="N102" s="347"/>
      <c r="O102" s="348"/>
      <c r="P102" s="453"/>
      <c r="Q102" s="453"/>
      <c r="R102" s="215"/>
      <c r="S102" s="350"/>
      <c r="T102" s="351"/>
      <c r="U102" s="352"/>
      <c r="V102" s="353"/>
      <c r="W102" s="353"/>
      <c r="X102" s="353"/>
      <c r="Y102" s="351"/>
      <c r="Z102" s="353"/>
      <c r="AA102" s="353"/>
      <c r="AB102" s="353"/>
      <c r="AC102" s="353" t="str">
        <f t="shared" si="28"/>
        <v>: 0h *  R$ 0,00/h = R$ 0,00</v>
      </c>
      <c r="AD102" s="353"/>
      <c r="AE102" s="353"/>
      <c r="AF102" s="353"/>
      <c r="AK102" s="2"/>
    </row>
    <row r="103" spans="1:37" ht="15">
      <c r="A103" s="442"/>
      <c r="B103" s="445"/>
      <c r="C103" s="445"/>
      <c r="D103" s="442"/>
      <c r="E103" s="448"/>
      <c r="F103" s="442"/>
      <c r="G103" s="451"/>
      <c r="H103" s="362"/>
      <c r="I103" s="344"/>
      <c r="J103" s="345"/>
      <c r="K103" s="346"/>
      <c r="L103" s="344"/>
      <c r="M103" s="347"/>
      <c r="N103" s="347"/>
      <c r="O103" s="348"/>
      <c r="P103" s="453"/>
      <c r="Q103" s="453"/>
      <c r="R103" s="215"/>
      <c r="S103" s="350"/>
      <c r="T103" s="351"/>
      <c r="U103" s="352"/>
      <c r="V103" s="353"/>
      <c r="W103" s="353"/>
      <c r="X103" s="353"/>
      <c r="Y103" s="351"/>
      <c r="Z103" s="353"/>
      <c r="AA103" s="353"/>
      <c r="AB103" s="353"/>
      <c r="AC103" s="353" t="str">
        <f t="shared" si="28"/>
        <v>: 0h *  R$ 0,00/h = R$ 0,00</v>
      </c>
      <c r="AD103" s="353"/>
      <c r="AE103" s="353"/>
      <c r="AF103" s="353"/>
      <c r="AK103" s="2"/>
    </row>
    <row r="104" spans="1:37" ht="15">
      <c r="A104" s="443"/>
      <c r="B104" s="446"/>
      <c r="C104" s="446"/>
      <c r="D104" s="443"/>
      <c r="E104" s="449"/>
      <c r="F104" s="443"/>
      <c r="G104" s="451"/>
      <c r="H104" s="362"/>
      <c r="I104" s="357"/>
      <c r="J104" s="355"/>
      <c r="K104" s="346">
        <f t="shared" ref="K104" si="29">IFERROR((I104/176)/L104,0)</f>
        <v>0</v>
      </c>
      <c r="L104" s="344"/>
      <c r="M104" s="347"/>
      <c r="N104" s="347"/>
      <c r="O104" s="348">
        <f t="shared" ref="O104" si="30">I104*J104</f>
        <v>0</v>
      </c>
      <c r="P104" s="454"/>
      <c r="Q104" s="454"/>
      <c r="R104" s="215"/>
      <c r="S104" s="358"/>
      <c r="T104" s="350"/>
      <c r="U104" s="352"/>
      <c r="V104" s="349"/>
      <c r="W104" s="353" t="str">
        <f>IFERROR(IF(V104="","",IF(N104="Fábrica",VLOOKUP(V104&amp;"CAPEX",ISS!A:E,5,0),IF(OR(G104="HITSS",G104="GLOBALHITSS",G104="HILDEBRANDO",G104="GLOBAL HITSS"),VLOOKUP(V104,ISS!A206:E207,5,0),VLOOKUP(V104&amp;N104,ISS!A:E,5,0)))),"Classificar")</f>
        <v/>
      </c>
      <c r="X104" s="349"/>
      <c r="Y104" s="356"/>
      <c r="Z104" s="356"/>
      <c r="AA104" s="356"/>
      <c r="AB104" s="356"/>
      <c r="AC104" s="353"/>
      <c r="AD104" s="349"/>
      <c r="AE104" s="349"/>
      <c r="AF104" s="349"/>
      <c r="AK104" s="2"/>
    </row>
    <row r="105" spans="1:37" ht="15">
      <c r="A105" s="216"/>
      <c r="B105" s="216"/>
      <c r="C105" s="216"/>
      <c r="D105" s="216"/>
      <c r="E105" s="216"/>
      <c r="F105" s="216"/>
      <c r="G105" s="216"/>
      <c r="H105" s="219"/>
      <c r="I105" s="216"/>
      <c r="J105" s="217"/>
      <c r="K105" s="216"/>
      <c r="L105" s="218"/>
      <c r="M105" s="216"/>
      <c r="N105" s="219"/>
      <c r="O105" s="216"/>
      <c r="P105" s="218"/>
      <c r="Q105" s="218"/>
      <c r="R105" s="64"/>
      <c r="S105" s="216"/>
      <c r="T105" s="216"/>
      <c r="U105" s="216"/>
      <c r="V105" s="216"/>
      <c r="W105" s="216"/>
      <c r="X105" s="216"/>
      <c r="Y105" s="216"/>
      <c r="Z105" s="216"/>
      <c r="AA105" s="216"/>
      <c r="AB105" s="216"/>
      <c r="AC105" s="360"/>
      <c r="AD105" s="216"/>
      <c r="AE105" s="216"/>
      <c r="AF105" s="216"/>
      <c r="AK105" s="2"/>
    </row>
    <row r="106" spans="1:37" ht="18.75">
      <c r="A106" s="235" t="str">
        <f>A100</f>
        <v>Sistemas Empresarial</v>
      </c>
      <c r="B106" s="235" t="str">
        <f>B100</f>
        <v>CLARO</v>
      </c>
      <c r="C106" s="235" t="str">
        <f>C100</f>
        <v>Áreas Corporativas</v>
      </c>
      <c r="D106" s="235" t="s">
        <v>468</v>
      </c>
      <c r="E106" s="220"/>
      <c r="F106" s="220"/>
      <c r="G106" s="220"/>
      <c r="H106" s="237"/>
      <c r="I106" s="228">
        <f>SUM(I100:I105)</f>
        <v>97.35</v>
      </c>
      <c r="J106" s="222"/>
      <c r="K106" s="225">
        <f>SUM(K100:K105)</f>
        <v>6.145833333333333E-2</v>
      </c>
      <c r="L106" s="223"/>
      <c r="M106" s="224"/>
      <c r="N106" s="240" t="str">
        <f>N100</f>
        <v>Opex</v>
      </c>
      <c r="O106" s="225">
        <f>SUM(O100:O105)</f>
        <v>17133.599999999999</v>
      </c>
      <c r="P106" s="231"/>
      <c r="Q106" s="231"/>
      <c r="R106" s="226"/>
      <c r="S106" s="227"/>
      <c r="T106" s="227"/>
      <c r="U106" s="227"/>
      <c r="V106" s="227"/>
      <c r="W106" s="227"/>
      <c r="X106" s="227"/>
      <c r="Y106" s="227"/>
      <c r="Z106" s="227"/>
      <c r="AA106" s="227"/>
      <c r="AB106" s="227"/>
      <c r="AC106" s="361"/>
      <c r="AD106" s="227"/>
      <c r="AE106" s="227"/>
      <c r="AF106" s="227"/>
      <c r="AK106" s="2"/>
    </row>
    <row r="107" spans="1:37" ht="15">
      <c r="A107" s="441" t="s">
        <v>95</v>
      </c>
      <c r="B107" s="444" t="s">
        <v>20</v>
      </c>
      <c r="C107" s="444" t="s">
        <v>58</v>
      </c>
      <c r="D107" s="441" t="s">
        <v>509</v>
      </c>
      <c r="E107" s="447" t="s">
        <v>510</v>
      </c>
      <c r="F107" s="441" t="s">
        <v>96</v>
      </c>
      <c r="G107" s="450" t="s">
        <v>511</v>
      </c>
      <c r="H107" s="362" t="s">
        <v>512</v>
      </c>
      <c r="I107" s="344">
        <v>1086</v>
      </c>
      <c r="J107" s="345">
        <v>152.74</v>
      </c>
      <c r="K107" s="346">
        <f>IFERROR((I107/176)/L107,0)</f>
        <v>0.68560606060606066</v>
      </c>
      <c r="L107" s="344">
        <v>9</v>
      </c>
      <c r="M107" s="347" t="s">
        <v>463</v>
      </c>
      <c r="N107" s="347" t="s">
        <v>402</v>
      </c>
      <c r="O107" s="348">
        <f>I107*J107</f>
        <v>165875.64000000001</v>
      </c>
      <c r="P107" s="452"/>
      <c r="Q107" s="452"/>
      <c r="R107" s="215"/>
      <c r="S107" s="350" t="s">
        <v>513</v>
      </c>
      <c r="T107" s="351" t="s">
        <v>465</v>
      </c>
      <c r="U107" s="352" t="s">
        <v>466</v>
      </c>
      <c r="V107" s="353" t="s">
        <v>467</v>
      </c>
      <c r="W107" s="353"/>
      <c r="X107" s="353" t="s">
        <v>37</v>
      </c>
      <c r="Y107" s="351"/>
      <c r="Z107" s="353"/>
      <c r="AA107" s="353"/>
      <c r="AB107" s="353"/>
      <c r="AC107" s="353" t="str">
        <f>H107&amp;": "&amp;TEXT(I107,"#.##0")&amp;"h *  R$ "&amp; TEXT(J107, "#.##0,00") &amp;"/h = R$ "&amp; TEXT(O107,"#.##0,00")</f>
        <v xml:space="preserve"> ANÁLISE DE SEGURANÇA PENTESTER - SÊNIOR : 1.086h *  R$ 152,74/h = R$ 165.875,64</v>
      </c>
      <c r="AD107" s="353"/>
      <c r="AE107" s="353"/>
      <c r="AF107" s="353"/>
      <c r="AK107" s="2"/>
    </row>
    <row r="108" spans="1:37" ht="15">
      <c r="A108" s="442"/>
      <c r="B108" s="445"/>
      <c r="C108" s="445"/>
      <c r="D108" s="442"/>
      <c r="E108" s="448"/>
      <c r="F108" s="442"/>
      <c r="G108" s="451"/>
      <c r="H108" s="362"/>
      <c r="I108" s="344"/>
      <c r="J108" s="345"/>
      <c r="K108" s="346"/>
      <c r="L108" s="344"/>
      <c r="M108" s="347"/>
      <c r="N108" s="347"/>
      <c r="O108" s="348"/>
      <c r="P108" s="453"/>
      <c r="Q108" s="453"/>
      <c r="R108" s="215"/>
      <c r="S108" s="350"/>
      <c r="T108" s="351"/>
      <c r="U108" s="352"/>
      <c r="V108" s="353"/>
      <c r="W108" s="353"/>
      <c r="X108" s="353"/>
      <c r="Y108" s="351"/>
      <c r="Z108" s="353"/>
      <c r="AA108" s="353"/>
      <c r="AB108" s="353"/>
      <c r="AC108" s="353" t="str">
        <f t="shared" ref="AC108:AC110" si="31">H108&amp;": "&amp;TEXT(I108,"#.##0")&amp;"h *  R$ "&amp; TEXT(J108, "#.##0,00") &amp;"/h = R$ "&amp; TEXT(O108,"#.##0,00")</f>
        <v>: 0h *  R$ 0,00/h = R$ 0,00</v>
      </c>
      <c r="AD108" s="353"/>
      <c r="AE108" s="353"/>
      <c r="AF108" s="353"/>
      <c r="AK108" s="2"/>
    </row>
    <row r="109" spans="1:37" ht="15">
      <c r="A109" s="442"/>
      <c r="B109" s="445"/>
      <c r="C109" s="445"/>
      <c r="D109" s="442"/>
      <c r="E109" s="448"/>
      <c r="F109" s="442"/>
      <c r="G109" s="451"/>
      <c r="H109" s="362"/>
      <c r="I109" s="344"/>
      <c r="J109" s="345"/>
      <c r="K109" s="346"/>
      <c r="L109" s="344"/>
      <c r="M109" s="347"/>
      <c r="N109" s="347"/>
      <c r="O109" s="348"/>
      <c r="P109" s="453"/>
      <c r="Q109" s="453"/>
      <c r="R109" s="215"/>
      <c r="S109" s="350"/>
      <c r="T109" s="351"/>
      <c r="U109" s="352"/>
      <c r="V109" s="353"/>
      <c r="W109" s="353"/>
      <c r="X109" s="353"/>
      <c r="Y109" s="351"/>
      <c r="Z109" s="353"/>
      <c r="AA109" s="353"/>
      <c r="AB109" s="353"/>
      <c r="AC109" s="353" t="str">
        <f t="shared" si="31"/>
        <v>: 0h *  R$ 0,00/h = R$ 0,00</v>
      </c>
      <c r="AD109" s="353"/>
      <c r="AE109" s="353"/>
      <c r="AF109" s="353"/>
      <c r="AK109" s="2"/>
    </row>
    <row r="110" spans="1:37" ht="15">
      <c r="A110" s="442"/>
      <c r="B110" s="445"/>
      <c r="C110" s="445"/>
      <c r="D110" s="442"/>
      <c r="E110" s="448"/>
      <c r="F110" s="442"/>
      <c r="G110" s="451"/>
      <c r="H110" s="362"/>
      <c r="I110" s="344"/>
      <c r="J110" s="345"/>
      <c r="K110" s="346"/>
      <c r="L110" s="344"/>
      <c r="M110" s="347"/>
      <c r="N110" s="347"/>
      <c r="O110" s="348"/>
      <c r="P110" s="453"/>
      <c r="Q110" s="453"/>
      <c r="R110" s="215"/>
      <c r="S110" s="350"/>
      <c r="T110" s="351"/>
      <c r="U110" s="352"/>
      <c r="V110" s="353"/>
      <c r="W110" s="353"/>
      <c r="X110" s="353"/>
      <c r="Y110" s="351"/>
      <c r="Z110" s="353"/>
      <c r="AA110" s="353"/>
      <c r="AB110" s="353"/>
      <c r="AC110" s="353" t="str">
        <f t="shared" si="31"/>
        <v>: 0h *  R$ 0,00/h = R$ 0,00</v>
      </c>
      <c r="AD110" s="353"/>
      <c r="AE110" s="353"/>
      <c r="AF110" s="353"/>
      <c r="AK110" s="2"/>
    </row>
    <row r="111" spans="1:37" ht="15">
      <c r="A111" s="443"/>
      <c r="B111" s="446"/>
      <c r="C111" s="446"/>
      <c r="D111" s="443"/>
      <c r="E111" s="449"/>
      <c r="F111" s="443"/>
      <c r="G111" s="451"/>
      <c r="H111" s="362"/>
      <c r="I111" s="357"/>
      <c r="J111" s="355"/>
      <c r="K111" s="346">
        <f t="shared" ref="K111" si="32">IFERROR((I111/176)/L111,0)</f>
        <v>0</v>
      </c>
      <c r="L111" s="344"/>
      <c r="M111" s="347"/>
      <c r="N111" s="347"/>
      <c r="O111" s="348">
        <f t="shared" ref="O111" si="33">I111*J111</f>
        <v>0</v>
      </c>
      <c r="P111" s="454"/>
      <c r="Q111" s="454"/>
      <c r="R111" s="215"/>
      <c r="S111" s="358"/>
      <c r="T111" s="350"/>
      <c r="U111" s="352"/>
      <c r="V111" s="349"/>
      <c r="W111" s="353" t="str">
        <f>IFERROR(IF(V111="","",IF(N111="Fábrica",VLOOKUP(V111&amp;"CAPEX",ISS!A:E,5,0),IF(OR(G111="HITSS",G111="GLOBALHITSS",G111="HILDEBRANDO",G111="GLOBAL HITSS"),VLOOKUP(V111,ISS!A213:E214,5,0),VLOOKUP(V111&amp;N111,ISS!A:E,5,0)))),"Classificar")</f>
        <v/>
      </c>
      <c r="X111" s="349"/>
      <c r="Y111" s="356"/>
      <c r="Z111" s="356"/>
      <c r="AA111" s="356"/>
      <c r="AB111" s="356"/>
      <c r="AC111" s="353"/>
      <c r="AD111" s="349"/>
      <c r="AE111" s="349"/>
      <c r="AF111" s="349"/>
      <c r="AK111" s="2"/>
    </row>
    <row r="112" spans="1:37" ht="15">
      <c r="A112" s="216"/>
      <c r="B112" s="216"/>
      <c r="C112" s="216"/>
      <c r="D112" s="216"/>
      <c r="E112" s="216"/>
      <c r="F112" s="216"/>
      <c r="G112" s="216"/>
      <c r="H112" s="219"/>
      <c r="I112" s="216"/>
      <c r="J112" s="217"/>
      <c r="K112" s="216"/>
      <c r="L112" s="218"/>
      <c r="M112" s="216"/>
      <c r="N112" s="219"/>
      <c r="O112" s="216"/>
      <c r="P112" s="218"/>
      <c r="Q112" s="218"/>
      <c r="R112" s="64"/>
      <c r="S112" s="216"/>
      <c r="T112" s="216"/>
      <c r="U112" s="216"/>
      <c r="V112" s="216"/>
      <c r="W112" s="216"/>
      <c r="X112" s="216"/>
      <c r="Y112" s="216"/>
      <c r="Z112" s="216"/>
      <c r="AA112" s="216"/>
      <c r="AB112" s="216"/>
      <c r="AC112" s="360"/>
      <c r="AD112" s="216"/>
      <c r="AE112" s="216"/>
      <c r="AF112" s="216"/>
      <c r="AK112" s="2"/>
    </row>
    <row r="113" spans="1:37" ht="18.75">
      <c r="A113" s="235" t="str">
        <f>A107</f>
        <v>Sistemas Empresarial</v>
      </c>
      <c r="B113" s="235" t="str">
        <f>B107</f>
        <v>CLARO</v>
      </c>
      <c r="C113" s="235" t="str">
        <f>C107</f>
        <v>Áreas Corporativas</v>
      </c>
      <c r="D113" s="235" t="s">
        <v>468</v>
      </c>
      <c r="E113" s="220"/>
      <c r="F113" s="220"/>
      <c r="G113" s="220"/>
      <c r="H113" s="237"/>
      <c r="I113" s="228">
        <f>SUM(I107:I112)</f>
        <v>1086</v>
      </c>
      <c r="J113" s="222"/>
      <c r="K113" s="225">
        <f>SUM(K107:K112)</f>
        <v>0.68560606060606066</v>
      </c>
      <c r="L113" s="223"/>
      <c r="M113" s="224"/>
      <c r="N113" s="240" t="str">
        <f>N107</f>
        <v>Opex</v>
      </c>
      <c r="O113" s="225">
        <f>SUM(O107:O112)</f>
        <v>165875.64000000001</v>
      </c>
      <c r="P113" s="231"/>
      <c r="Q113" s="231"/>
      <c r="R113" s="226"/>
      <c r="S113" s="227"/>
      <c r="T113" s="227"/>
      <c r="U113" s="227"/>
      <c r="V113" s="227"/>
      <c r="W113" s="227"/>
      <c r="X113" s="227"/>
      <c r="Y113" s="227"/>
      <c r="Z113" s="227"/>
      <c r="AA113" s="227"/>
      <c r="AB113" s="227"/>
      <c r="AC113" s="361"/>
      <c r="AD113" s="227"/>
      <c r="AE113" s="227"/>
      <c r="AF113" s="227"/>
      <c r="AK113" s="2"/>
    </row>
    <row r="114" spans="1:37" ht="15">
      <c r="A114" s="441" t="s">
        <v>95</v>
      </c>
      <c r="B114" s="444" t="s">
        <v>20</v>
      </c>
      <c r="C114" s="444" t="s">
        <v>58</v>
      </c>
      <c r="D114" s="441" t="s">
        <v>509</v>
      </c>
      <c r="E114" s="447" t="s">
        <v>514</v>
      </c>
      <c r="F114" s="441" t="s">
        <v>96</v>
      </c>
      <c r="G114" s="450" t="s">
        <v>511</v>
      </c>
      <c r="H114" s="362" t="s">
        <v>515</v>
      </c>
      <c r="I114" s="344">
        <v>40</v>
      </c>
      <c r="J114" s="345">
        <v>151.1</v>
      </c>
      <c r="K114" s="346">
        <f>IFERROR((I114/176)/L114,0)</f>
        <v>2.5252525252525252E-2</v>
      </c>
      <c r="L114" s="344">
        <v>9</v>
      </c>
      <c r="M114" s="347" t="s">
        <v>463</v>
      </c>
      <c r="N114" s="347" t="s">
        <v>402</v>
      </c>
      <c r="O114" s="348">
        <f>I114*J114</f>
        <v>6044</v>
      </c>
      <c r="P114" s="452"/>
      <c r="Q114" s="452"/>
      <c r="R114" s="215"/>
      <c r="S114" s="350" t="s">
        <v>513</v>
      </c>
      <c r="T114" s="351" t="s">
        <v>465</v>
      </c>
      <c r="U114" s="352" t="s">
        <v>466</v>
      </c>
      <c r="V114" s="353" t="s">
        <v>467</v>
      </c>
      <c r="W114" s="353"/>
      <c r="X114" s="353" t="s">
        <v>37</v>
      </c>
      <c r="Y114" s="351"/>
      <c r="Z114" s="353"/>
      <c r="AA114" s="353"/>
      <c r="AB114" s="353"/>
      <c r="AC114" s="353" t="str">
        <f>H114&amp;": "&amp;TEXT(I114,"#.##0")&amp;"h *  R$ "&amp; TEXT(J114, "#.##0,00") &amp;"/h = R$ "&amp; TEXT(O114,"#.##0,00")</f>
        <v>SEGURANÇA - ARQUITETURA DE SEGURANÇA : 40h *  R$ 151,10/h = R$ 6.044,00</v>
      </c>
      <c r="AD114" s="353"/>
      <c r="AE114" s="353"/>
      <c r="AF114" s="353"/>
      <c r="AK114" s="2"/>
    </row>
    <row r="115" spans="1:37" ht="15">
      <c r="A115" s="442"/>
      <c r="B115" s="445"/>
      <c r="C115" s="445"/>
      <c r="D115" s="442"/>
      <c r="E115" s="448"/>
      <c r="F115" s="442"/>
      <c r="G115" s="451"/>
      <c r="H115" s="362"/>
      <c r="I115" s="344"/>
      <c r="J115" s="345"/>
      <c r="K115" s="346"/>
      <c r="L115" s="344"/>
      <c r="M115" s="347"/>
      <c r="N115" s="347"/>
      <c r="O115" s="348"/>
      <c r="P115" s="453"/>
      <c r="Q115" s="453"/>
      <c r="R115" s="215"/>
      <c r="S115" s="350"/>
      <c r="T115" s="351"/>
      <c r="U115" s="352"/>
      <c r="V115" s="353"/>
      <c r="W115" s="353"/>
      <c r="X115" s="353"/>
      <c r="Y115" s="351"/>
      <c r="Z115" s="353"/>
      <c r="AA115" s="353"/>
      <c r="AB115" s="353"/>
      <c r="AC115" s="353" t="str">
        <f t="shared" ref="AC115:AC117" si="34">H115&amp;": "&amp;TEXT(I115,"#.##0")&amp;"h *  R$ "&amp; TEXT(J115, "#.##0,00") &amp;"/h = R$ "&amp; TEXT(O115,"#.##0,00")</f>
        <v>: 0h *  R$ 0,00/h = R$ 0,00</v>
      </c>
      <c r="AD115" s="353"/>
      <c r="AE115" s="353"/>
      <c r="AF115" s="353"/>
      <c r="AK115" s="2"/>
    </row>
    <row r="116" spans="1:37" ht="15">
      <c r="A116" s="442"/>
      <c r="B116" s="445"/>
      <c r="C116" s="445"/>
      <c r="D116" s="442"/>
      <c r="E116" s="448"/>
      <c r="F116" s="442"/>
      <c r="G116" s="451"/>
      <c r="H116" s="362"/>
      <c r="I116" s="344"/>
      <c r="J116" s="345"/>
      <c r="K116" s="346"/>
      <c r="L116" s="344"/>
      <c r="M116" s="347"/>
      <c r="N116" s="347"/>
      <c r="O116" s="348"/>
      <c r="P116" s="453"/>
      <c r="Q116" s="453"/>
      <c r="R116" s="215"/>
      <c r="S116" s="350"/>
      <c r="T116" s="351"/>
      <c r="U116" s="352"/>
      <c r="V116" s="353"/>
      <c r="W116" s="353"/>
      <c r="X116" s="353"/>
      <c r="Y116" s="351"/>
      <c r="Z116" s="353"/>
      <c r="AA116" s="353"/>
      <c r="AB116" s="353"/>
      <c r="AC116" s="353" t="str">
        <f t="shared" si="34"/>
        <v>: 0h *  R$ 0,00/h = R$ 0,00</v>
      </c>
      <c r="AD116" s="353"/>
      <c r="AE116" s="353"/>
      <c r="AF116" s="353"/>
      <c r="AK116" s="2"/>
    </row>
    <row r="117" spans="1:37" ht="15">
      <c r="A117" s="442"/>
      <c r="B117" s="445"/>
      <c r="C117" s="445"/>
      <c r="D117" s="442"/>
      <c r="E117" s="448"/>
      <c r="F117" s="442"/>
      <c r="G117" s="451"/>
      <c r="H117" s="362"/>
      <c r="I117" s="344"/>
      <c r="J117" s="345"/>
      <c r="K117" s="346"/>
      <c r="L117" s="344"/>
      <c r="M117" s="347"/>
      <c r="N117" s="347"/>
      <c r="O117" s="348"/>
      <c r="P117" s="453"/>
      <c r="Q117" s="453"/>
      <c r="R117" s="215"/>
      <c r="S117" s="350"/>
      <c r="T117" s="351"/>
      <c r="U117" s="352"/>
      <c r="V117" s="353"/>
      <c r="W117" s="353"/>
      <c r="X117" s="353"/>
      <c r="Y117" s="351"/>
      <c r="Z117" s="353"/>
      <c r="AA117" s="353"/>
      <c r="AB117" s="353"/>
      <c r="AC117" s="353" t="str">
        <f t="shared" si="34"/>
        <v>: 0h *  R$ 0,00/h = R$ 0,00</v>
      </c>
      <c r="AD117" s="353"/>
      <c r="AE117" s="353"/>
      <c r="AF117" s="353"/>
      <c r="AK117" s="2"/>
    </row>
    <row r="118" spans="1:37" ht="15">
      <c r="A118" s="443"/>
      <c r="B118" s="446"/>
      <c r="C118" s="446"/>
      <c r="D118" s="443"/>
      <c r="E118" s="449"/>
      <c r="F118" s="443"/>
      <c r="G118" s="451"/>
      <c r="H118" s="362"/>
      <c r="I118" s="357"/>
      <c r="J118" s="355"/>
      <c r="K118" s="346">
        <f t="shared" ref="K118" si="35">IFERROR((I118/176)/L118,0)</f>
        <v>0</v>
      </c>
      <c r="L118" s="344"/>
      <c r="M118" s="347"/>
      <c r="N118" s="347"/>
      <c r="O118" s="348">
        <f t="shared" ref="O118" si="36">I118*J118</f>
        <v>0</v>
      </c>
      <c r="P118" s="454"/>
      <c r="Q118" s="454"/>
      <c r="R118" s="215"/>
      <c r="S118" s="358"/>
      <c r="T118" s="350"/>
      <c r="U118" s="352"/>
      <c r="V118" s="349"/>
      <c r="W118" s="353" t="str">
        <f>IFERROR(IF(V118="","",IF(N118="Fábrica",VLOOKUP(V118&amp;"CAPEX",ISS!A:E,5,0),IF(OR(G118="HITSS",G118="GLOBALHITSS",G118="HILDEBRANDO",G118="GLOBAL HITSS"),VLOOKUP(V118,ISS!A220:E221,5,0),VLOOKUP(V118&amp;N118,ISS!A:E,5,0)))),"Classificar")</f>
        <v/>
      </c>
      <c r="X118" s="349"/>
      <c r="Y118" s="356"/>
      <c r="Z118" s="356"/>
      <c r="AA118" s="356"/>
      <c r="AB118" s="356"/>
      <c r="AC118" s="353"/>
      <c r="AD118" s="349"/>
      <c r="AE118" s="349"/>
      <c r="AF118" s="349"/>
      <c r="AK118" s="2"/>
    </row>
    <row r="119" spans="1:37" ht="15">
      <c r="A119" s="216"/>
      <c r="B119" s="216"/>
      <c r="C119" s="216"/>
      <c r="D119" s="216"/>
      <c r="E119" s="216"/>
      <c r="F119" s="216"/>
      <c r="G119" s="216"/>
      <c r="H119" s="219"/>
      <c r="I119" s="216"/>
      <c r="J119" s="217"/>
      <c r="K119" s="216"/>
      <c r="L119" s="218"/>
      <c r="M119" s="216"/>
      <c r="N119" s="219"/>
      <c r="O119" s="216"/>
      <c r="P119" s="218"/>
      <c r="Q119" s="218"/>
      <c r="R119" s="64"/>
      <c r="S119" s="216"/>
      <c r="T119" s="216"/>
      <c r="U119" s="216"/>
      <c r="V119" s="216"/>
      <c r="W119" s="216"/>
      <c r="X119" s="216"/>
      <c r="Y119" s="216"/>
      <c r="Z119" s="216"/>
      <c r="AA119" s="216"/>
      <c r="AB119" s="216"/>
      <c r="AC119" s="360"/>
      <c r="AD119" s="216"/>
      <c r="AE119" s="216"/>
      <c r="AF119" s="216"/>
      <c r="AK119" s="2"/>
    </row>
    <row r="120" spans="1:37" ht="18.75">
      <c r="A120" s="235" t="str">
        <f>A114</f>
        <v>Sistemas Empresarial</v>
      </c>
      <c r="B120" s="235" t="str">
        <f>B114</f>
        <v>CLARO</v>
      </c>
      <c r="C120" s="235" t="str">
        <f>C114</f>
        <v>Áreas Corporativas</v>
      </c>
      <c r="D120" s="235" t="s">
        <v>468</v>
      </c>
      <c r="E120" s="220"/>
      <c r="F120" s="220"/>
      <c r="G120" s="220"/>
      <c r="H120" s="237"/>
      <c r="I120" s="228">
        <f>SUM(I114:I119)</f>
        <v>40</v>
      </c>
      <c r="J120" s="222"/>
      <c r="K120" s="225">
        <f>SUM(K114:K119)</f>
        <v>2.5252525252525252E-2</v>
      </c>
      <c r="L120" s="223"/>
      <c r="M120" s="224"/>
      <c r="N120" s="240" t="str">
        <f>N114</f>
        <v>Opex</v>
      </c>
      <c r="O120" s="225">
        <f>SUM(O114:O119)</f>
        <v>6044</v>
      </c>
      <c r="P120" s="231"/>
      <c r="Q120" s="231"/>
      <c r="R120" s="226"/>
      <c r="S120" s="227"/>
      <c r="T120" s="227"/>
      <c r="U120" s="227"/>
      <c r="V120" s="227"/>
      <c r="W120" s="227"/>
      <c r="X120" s="227"/>
      <c r="Y120" s="227"/>
      <c r="Z120" s="227"/>
      <c r="AA120" s="227"/>
      <c r="AB120" s="227"/>
      <c r="AC120" s="361"/>
      <c r="AD120" s="227"/>
      <c r="AE120" s="227"/>
      <c r="AF120" s="227"/>
      <c r="AK120" s="2"/>
    </row>
    <row r="121" spans="1:37" ht="15">
      <c r="A121" s="441" t="s">
        <v>95</v>
      </c>
      <c r="B121" s="444" t="s">
        <v>20</v>
      </c>
      <c r="C121" s="444" t="s">
        <v>58</v>
      </c>
      <c r="D121" s="441" t="s">
        <v>485</v>
      </c>
      <c r="E121" s="447" t="s">
        <v>516</v>
      </c>
      <c r="F121" s="441" t="s">
        <v>96</v>
      </c>
      <c r="G121" s="450" t="s">
        <v>511</v>
      </c>
      <c r="H121" s="362" t="s">
        <v>517</v>
      </c>
      <c r="I121" s="344">
        <v>616.51</v>
      </c>
      <c r="J121" s="345">
        <v>97.65</v>
      </c>
      <c r="K121" s="346">
        <f>IFERROR((I121/176)/L121,0)</f>
        <v>0.38921085858585858</v>
      </c>
      <c r="L121" s="344">
        <v>9</v>
      </c>
      <c r="M121" s="347" t="s">
        <v>463</v>
      </c>
      <c r="N121" s="347" t="s">
        <v>402</v>
      </c>
      <c r="O121" s="348">
        <f>I121*J121</f>
        <v>60202.201500000003</v>
      </c>
      <c r="P121" s="452"/>
      <c r="Q121" s="452"/>
      <c r="R121" s="215"/>
      <c r="S121" s="350" t="s">
        <v>518</v>
      </c>
      <c r="T121" s="351" t="s">
        <v>465</v>
      </c>
      <c r="U121" s="352" t="s">
        <v>466</v>
      </c>
      <c r="V121" s="353" t="s">
        <v>467</v>
      </c>
      <c r="W121" s="353"/>
      <c r="X121" s="353" t="s">
        <v>37</v>
      </c>
      <c r="Y121" s="351"/>
      <c r="Z121" s="353"/>
      <c r="AA121" s="353"/>
      <c r="AB121" s="353"/>
      <c r="AC121" s="353" t="str">
        <f>H121&amp;": "&amp;TEXT(I121,"#.##0")&amp;"h *  R$ "&amp; TEXT(J121, "#.##0,00") &amp;"/h = R$ "&amp; TEXT(O121,"#.##0,00")</f>
        <v>SUPORTE OGS - SERVIÇO ESPECIALIZADO DE SUPORTE : 617h *  R$ 97,65/h = R$ 60.202,20</v>
      </c>
      <c r="AD121" s="353"/>
      <c r="AE121" s="353"/>
      <c r="AF121" s="353"/>
      <c r="AK121" s="2"/>
    </row>
    <row r="122" spans="1:37" ht="15">
      <c r="A122" s="442"/>
      <c r="B122" s="445"/>
      <c r="C122" s="445"/>
      <c r="D122" s="442"/>
      <c r="E122" s="448"/>
      <c r="F122" s="442"/>
      <c r="G122" s="451"/>
      <c r="H122" s="362"/>
      <c r="I122" s="344"/>
      <c r="J122" s="345"/>
      <c r="K122" s="346"/>
      <c r="L122" s="344"/>
      <c r="M122" s="347"/>
      <c r="N122" s="347"/>
      <c r="O122" s="348"/>
      <c r="P122" s="453"/>
      <c r="Q122" s="453"/>
      <c r="R122" s="215"/>
      <c r="S122" s="350"/>
      <c r="T122" s="351"/>
      <c r="U122" s="352"/>
      <c r="V122" s="353"/>
      <c r="W122" s="353"/>
      <c r="X122" s="353"/>
      <c r="Y122" s="351"/>
      <c r="Z122" s="353"/>
      <c r="AA122" s="353"/>
      <c r="AB122" s="353"/>
      <c r="AC122" s="353" t="str">
        <f t="shared" ref="AC122:AC124" si="37">H122&amp;": "&amp;TEXT(I122,"#.##0")&amp;"h *  R$ "&amp; TEXT(J122, "#.##0,00") &amp;"/h = R$ "&amp; TEXT(O122,"#.##0,00")</f>
        <v>: 0h *  R$ 0,00/h = R$ 0,00</v>
      </c>
      <c r="AD122" s="353"/>
      <c r="AE122" s="353"/>
      <c r="AF122" s="353"/>
      <c r="AK122" s="2"/>
    </row>
    <row r="123" spans="1:37" ht="15">
      <c r="A123" s="442"/>
      <c r="B123" s="445"/>
      <c r="C123" s="445"/>
      <c r="D123" s="442"/>
      <c r="E123" s="448"/>
      <c r="F123" s="442"/>
      <c r="G123" s="451"/>
      <c r="H123" s="362"/>
      <c r="I123" s="344"/>
      <c r="J123" s="345"/>
      <c r="K123" s="346"/>
      <c r="L123" s="344"/>
      <c r="M123" s="347"/>
      <c r="N123" s="347"/>
      <c r="O123" s="348"/>
      <c r="P123" s="453"/>
      <c r="Q123" s="453"/>
      <c r="R123" s="215"/>
      <c r="S123" s="350"/>
      <c r="T123" s="351"/>
      <c r="U123" s="352"/>
      <c r="V123" s="353"/>
      <c r="W123" s="353"/>
      <c r="X123" s="353"/>
      <c r="Y123" s="351"/>
      <c r="Z123" s="353"/>
      <c r="AA123" s="353"/>
      <c r="AB123" s="353"/>
      <c r="AC123" s="353" t="str">
        <f t="shared" si="37"/>
        <v>: 0h *  R$ 0,00/h = R$ 0,00</v>
      </c>
      <c r="AD123" s="353"/>
      <c r="AE123" s="353"/>
      <c r="AF123" s="353"/>
      <c r="AK123" s="2"/>
    </row>
    <row r="124" spans="1:37" ht="15">
      <c r="A124" s="442"/>
      <c r="B124" s="445"/>
      <c r="C124" s="445"/>
      <c r="D124" s="442"/>
      <c r="E124" s="448"/>
      <c r="F124" s="442"/>
      <c r="G124" s="451"/>
      <c r="H124" s="362"/>
      <c r="I124" s="344"/>
      <c r="J124" s="345"/>
      <c r="K124" s="346"/>
      <c r="L124" s="344"/>
      <c r="M124" s="347"/>
      <c r="N124" s="347"/>
      <c r="O124" s="348"/>
      <c r="P124" s="453"/>
      <c r="Q124" s="453"/>
      <c r="R124" s="215"/>
      <c r="S124" s="350"/>
      <c r="T124" s="351"/>
      <c r="U124" s="352"/>
      <c r="V124" s="353"/>
      <c r="W124" s="353"/>
      <c r="X124" s="353"/>
      <c r="Y124" s="351"/>
      <c r="Z124" s="353"/>
      <c r="AA124" s="353"/>
      <c r="AB124" s="353"/>
      <c r="AC124" s="353" t="str">
        <f t="shared" si="37"/>
        <v>: 0h *  R$ 0,00/h = R$ 0,00</v>
      </c>
      <c r="AD124" s="353"/>
      <c r="AE124" s="353"/>
      <c r="AF124" s="353"/>
      <c r="AK124" s="2"/>
    </row>
    <row r="125" spans="1:37" ht="15">
      <c r="A125" s="443"/>
      <c r="B125" s="446"/>
      <c r="C125" s="446"/>
      <c r="D125" s="443"/>
      <c r="E125" s="449"/>
      <c r="F125" s="443"/>
      <c r="G125" s="451"/>
      <c r="H125" s="362"/>
      <c r="I125" s="357"/>
      <c r="J125" s="355"/>
      <c r="K125" s="346">
        <f t="shared" ref="K125" si="38">IFERROR((I125/176)/L125,0)</f>
        <v>0</v>
      </c>
      <c r="L125" s="344"/>
      <c r="M125" s="347"/>
      <c r="N125" s="347"/>
      <c r="O125" s="348">
        <f t="shared" ref="O125" si="39">I125*J125</f>
        <v>0</v>
      </c>
      <c r="P125" s="454"/>
      <c r="Q125" s="454"/>
      <c r="R125" s="215"/>
      <c r="S125" s="358"/>
      <c r="T125" s="350"/>
      <c r="U125" s="352"/>
      <c r="V125" s="349"/>
      <c r="W125" s="353" t="str">
        <f>IFERROR(IF(V125="","",IF(N125="Fábrica",VLOOKUP(V125&amp;"CAPEX",ISS!A:E,5,0),IF(OR(G125="HITSS",G125="GLOBALHITSS",G125="HILDEBRANDO",G125="GLOBAL HITSS"),VLOOKUP(V125,ISS!A227:E228,5,0),VLOOKUP(V125&amp;N125,ISS!A:E,5,0)))),"Classificar")</f>
        <v/>
      </c>
      <c r="X125" s="349"/>
      <c r="Y125" s="356"/>
      <c r="Z125" s="356"/>
      <c r="AA125" s="356"/>
      <c r="AB125" s="356"/>
      <c r="AC125" s="353"/>
      <c r="AD125" s="349"/>
      <c r="AE125" s="349"/>
      <c r="AF125" s="349"/>
      <c r="AK125" s="2"/>
    </row>
    <row r="126" spans="1:37" ht="15">
      <c r="A126" s="216"/>
      <c r="B126" s="216"/>
      <c r="C126" s="216"/>
      <c r="D126" s="216"/>
      <c r="E126" s="216"/>
      <c r="F126" s="216"/>
      <c r="G126" s="216"/>
      <c r="H126" s="219"/>
      <c r="I126" s="216"/>
      <c r="J126" s="217"/>
      <c r="K126" s="216"/>
      <c r="L126" s="218"/>
      <c r="M126" s="216"/>
      <c r="N126" s="219"/>
      <c r="O126" s="216"/>
      <c r="P126" s="218"/>
      <c r="Q126" s="218"/>
      <c r="R126" s="64"/>
      <c r="S126" s="216"/>
      <c r="T126" s="216"/>
      <c r="U126" s="216"/>
      <c r="V126" s="216"/>
      <c r="W126" s="216"/>
      <c r="X126" s="216"/>
      <c r="Y126" s="216"/>
      <c r="Z126" s="216"/>
      <c r="AA126" s="216"/>
      <c r="AB126" s="216"/>
      <c r="AC126" s="360"/>
      <c r="AD126" s="216"/>
      <c r="AE126" s="216"/>
      <c r="AF126" s="216"/>
      <c r="AK126" s="2"/>
    </row>
    <row r="127" spans="1:37" ht="18.75">
      <c r="A127" s="235" t="str">
        <f>A121</f>
        <v>Sistemas Empresarial</v>
      </c>
      <c r="B127" s="235" t="str">
        <f>B121</f>
        <v>CLARO</v>
      </c>
      <c r="C127" s="235" t="str">
        <f>C121</f>
        <v>Áreas Corporativas</v>
      </c>
      <c r="D127" s="235" t="s">
        <v>468</v>
      </c>
      <c r="E127" s="220"/>
      <c r="F127" s="220"/>
      <c r="G127" s="220"/>
      <c r="H127" s="237"/>
      <c r="I127" s="228">
        <f>SUM(I121:I126)</f>
        <v>616.51</v>
      </c>
      <c r="J127" s="222"/>
      <c r="K127" s="225">
        <f>SUM(K121:K126)</f>
        <v>0.38921085858585858</v>
      </c>
      <c r="L127" s="223"/>
      <c r="M127" s="224"/>
      <c r="N127" s="240" t="str">
        <f>N121</f>
        <v>Opex</v>
      </c>
      <c r="O127" s="225">
        <f>SUM(O121:O126)</f>
        <v>60202.201500000003</v>
      </c>
      <c r="P127" s="231"/>
      <c r="Q127" s="231"/>
      <c r="R127" s="226"/>
      <c r="S127" s="227"/>
      <c r="T127" s="227"/>
      <c r="U127" s="227"/>
      <c r="V127" s="227"/>
      <c r="W127" s="227"/>
      <c r="X127" s="227"/>
      <c r="Y127" s="227"/>
      <c r="Z127" s="227"/>
      <c r="AA127" s="227"/>
      <c r="AB127" s="227"/>
      <c r="AC127" s="361"/>
      <c r="AD127" s="227"/>
      <c r="AE127" s="227"/>
      <c r="AF127" s="227"/>
      <c r="AK127" s="2"/>
    </row>
    <row r="128" spans="1:37" ht="15">
      <c r="A128" s="441" t="s">
        <v>95</v>
      </c>
      <c r="B128" s="444" t="s">
        <v>20</v>
      </c>
      <c r="C128" s="444" t="s">
        <v>58</v>
      </c>
      <c r="D128" s="441" t="s">
        <v>519</v>
      </c>
      <c r="E128" s="447" t="s">
        <v>520</v>
      </c>
      <c r="F128" s="441" t="s">
        <v>96</v>
      </c>
      <c r="G128" s="450" t="s">
        <v>511</v>
      </c>
      <c r="H128" s="362" t="s">
        <v>521</v>
      </c>
      <c r="I128" s="344">
        <v>1584</v>
      </c>
      <c r="J128" s="345">
        <v>178.48</v>
      </c>
      <c r="K128" s="346">
        <f>IFERROR((I128/176)/L128,0)</f>
        <v>1</v>
      </c>
      <c r="L128" s="344">
        <v>9</v>
      </c>
      <c r="M128" s="347" t="s">
        <v>463</v>
      </c>
      <c r="N128" s="347" t="s">
        <v>402</v>
      </c>
      <c r="O128" s="348">
        <f>I128*J128</f>
        <v>282712.32000000001</v>
      </c>
      <c r="P128" s="452"/>
      <c r="Q128" s="452"/>
      <c r="R128" s="215"/>
      <c r="S128" s="350" t="s">
        <v>513</v>
      </c>
      <c r="T128" s="351" t="s">
        <v>465</v>
      </c>
      <c r="U128" s="352" t="s">
        <v>466</v>
      </c>
      <c r="V128" s="353" t="s">
        <v>467</v>
      </c>
      <c r="W128" s="353"/>
      <c r="X128" s="353" t="s">
        <v>37</v>
      </c>
      <c r="Y128" s="351"/>
      <c r="Z128" s="353"/>
      <c r="AA128" s="353"/>
      <c r="AB128" s="353"/>
      <c r="AC128" s="353" t="str">
        <f>H128&amp;": "&amp;TEXT(I128,"#.##0")&amp;"h *  R$ "&amp; TEXT(J128, "#.##0,00") &amp;"/h = R$ "&amp; TEXT(O128,"#.##0,00")</f>
        <v>GERENTE DE PORTFÓLIO SR: 1.584h *  R$ 178,48/h = R$ 282.712,32</v>
      </c>
      <c r="AD128" s="353"/>
      <c r="AE128" s="353"/>
      <c r="AF128" s="353"/>
      <c r="AK128" s="2"/>
    </row>
    <row r="129" spans="1:37" ht="15">
      <c r="A129" s="442"/>
      <c r="B129" s="445"/>
      <c r="C129" s="445"/>
      <c r="D129" s="442"/>
      <c r="E129" s="448"/>
      <c r="F129" s="442"/>
      <c r="G129" s="451"/>
      <c r="H129" s="362"/>
      <c r="I129" s="344"/>
      <c r="J129" s="345"/>
      <c r="K129" s="346"/>
      <c r="L129" s="344"/>
      <c r="M129" s="347"/>
      <c r="N129" s="347"/>
      <c r="O129" s="348"/>
      <c r="P129" s="453"/>
      <c r="Q129" s="453"/>
      <c r="R129" s="215"/>
      <c r="S129" s="350"/>
      <c r="T129" s="351"/>
      <c r="U129" s="352"/>
      <c r="V129" s="353"/>
      <c r="W129" s="353"/>
      <c r="X129" s="353"/>
      <c r="Y129" s="351"/>
      <c r="Z129" s="353"/>
      <c r="AA129" s="353"/>
      <c r="AB129" s="353"/>
      <c r="AC129" s="353" t="str">
        <f t="shared" ref="AC129:AC131" si="40">H129&amp;": "&amp;TEXT(I129,"#.##0")&amp;"h *  R$ "&amp; TEXT(J129, "#.##0,00") &amp;"/h = R$ "&amp; TEXT(O129,"#.##0,00")</f>
        <v>: 0h *  R$ 0,00/h = R$ 0,00</v>
      </c>
      <c r="AD129" s="353"/>
      <c r="AE129" s="353"/>
      <c r="AF129" s="353"/>
      <c r="AK129" s="2"/>
    </row>
    <row r="130" spans="1:37" ht="15">
      <c r="A130" s="442"/>
      <c r="B130" s="445"/>
      <c r="C130" s="445"/>
      <c r="D130" s="442"/>
      <c r="E130" s="448"/>
      <c r="F130" s="442"/>
      <c r="G130" s="451"/>
      <c r="H130" s="362"/>
      <c r="I130" s="344"/>
      <c r="J130" s="345"/>
      <c r="K130" s="346"/>
      <c r="L130" s="344"/>
      <c r="M130" s="347"/>
      <c r="N130" s="347"/>
      <c r="O130" s="348"/>
      <c r="P130" s="453"/>
      <c r="Q130" s="453"/>
      <c r="R130" s="215"/>
      <c r="S130" s="350"/>
      <c r="T130" s="351"/>
      <c r="U130" s="352"/>
      <c r="V130" s="353"/>
      <c r="W130" s="353"/>
      <c r="X130" s="353"/>
      <c r="Y130" s="351"/>
      <c r="Z130" s="353"/>
      <c r="AA130" s="353"/>
      <c r="AB130" s="353"/>
      <c r="AC130" s="353" t="str">
        <f t="shared" si="40"/>
        <v>: 0h *  R$ 0,00/h = R$ 0,00</v>
      </c>
      <c r="AD130" s="353"/>
      <c r="AE130" s="353"/>
      <c r="AF130" s="353"/>
      <c r="AK130" s="2"/>
    </row>
    <row r="131" spans="1:37" ht="15">
      <c r="A131" s="442"/>
      <c r="B131" s="445"/>
      <c r="C131" s="445"/>
      <c r="D131" s="442"/>
      <c r="E131" s="448"/>
      <c r="F131" s="442"/>
      <c r="G131" s="451"/>
      <c r="H131" s="362"/>
      <c r="I131" s="344"/>
      <c r="J131" s="345"/>
      <c r="K131" s="346"/>
      <c r="L131" s="344"/>
      <c r="M131" s="347"/>
      <c r="N131" s="347"/>
      <c r="O131" s="348"/>
      <c r="P131" s="453"/>
      <c r="Q131" s="453"/>
      <c r="R131" s="215"/>
      <c r="S131" s="350"/>
      <c r="T131" s="351"/>
      <c r="U131" s="352"/>
      <c r="V131" s="353"/>
      <c r="W131" s="353"/>
      <c r="X131" s="353"/>
      <c r="Y131" s="351"/>
      <c r="Z131" s="353"/>
      <c r="AA131" s="353"/>
      <c r="AB131" s="353"/>
      <c r="AC131" s="353" t="str">
        <f t="shared" si="40"/>
        <v>: 0h *  R$ 0,00/h = R$ 0,00</v>
      </c>
      <c r="AD131" s="353"/>
      <c r="AE131" s="353"/>
      <c r="AF131" s="353"/>
      <c r="AK131" s="2"/>
    </row>
    <row r="132" spans="1:37" ht="15">
      <c r="A132" s="443"/>
      <c r="B132" s="446"/>
      <c r="C132" s="446"/>
      <c r="D132" s="443"/>
      <c r="E132" s="449"/>
      <c r="F132" s="443"/>
      <c r="G132" s="451"/>
      <c r="H132" s="362"/>
      <c r="I132" s="357"/>
      <c r="J132" s="355"/>
      <c r="K132" s="346">
        <f t="shared" ref="K132" si="41">IFERROR((I132/176)/L132,0)</f>
        <v>0</v>
      </c>
      <c r="L132" s="344"/>
      <c r="M132" s="347"/>
      <c r="N132" s="347"/>
      <c r="O132" s="348">
        <f t="shared" ref="O132" si="42">I132*J132</f>
        <v>0</v>
      </c>
      <c r="P132" s="454"/>
      <c r="Q132" s="454"/>
      <c r="R132" s="215"/>
      <c r="S132" s="358"/>
      <c r="T132" s="350"/>
      <c r="U132" s="352"/>
      <c r="V132" s="349"/>
      <c r="W132" s="353" t="str">
        <f>IFERROR(IF(V132="","",IF(N132="Fábrica",VLOOKUP(V132&amp;"CAPEX",ISS!A:E,5,0),IF(OR(G132="HITSS",G132="GLOBALHITSS",G132="HILDEBRANDO",G132="GLOBAL HITSS"),VLOOKUP(V132,ISS!A234:E235,5,0),VLOOKUP(V132&amp;N132,ISS!A:E,5,0)))),"Classificar")</f>
        <v/>
      </c>
      <c r="X132" s="349"/>
      <c r="Y132" s="356"/>
      <c r="Z132" s="356"/>
      <c r="AA132" s="356"/>
      <c r="AB132" s="356"/>
      <c r="AC132" s="353"/>
      <c r="AD132" s="349"/>
      <c r="AE132" s="349"/>
      <c r="AF132" s="349"/>
      <c r="AK132" s="2"/>
    </row>
    <row r="133" spans="1:37" ht="15">
      <c r="A133" s="216"/>
      <c r="B133" s="216"/>
      <c r="C133" s="216"/>
      <c r="D133" s="216"/>
      <c r="E133" s="216"/>
      <c r="F133" s="216"/>
      <c r="G133" s="216"/>
      <c r="H133" s="219"/>
      <c r="I133" s="216"/>
      <c r="J133" s="217"/>
      <c r="K133" s="216"/>
      <c r="L133" s="218"/>
      <c r="M133" s="216"/>
      <c r="N133" s="219"/>
      <c r="O133" s="216"/>
      <c r="P133" s="218"/>
      <c r="Q133" s="218"/>
      <c r="R133" s="64"/>
      <c r="S133" s="216"/>
      <c r="T133" s="216"/>
      <c r="U133" s="216"/>
      <c r="V133" s="216"/>
      <c r="W133" s="216"/>
      <c r="X133" s="216"/>
      <c r="Y133" s="216"/>
      <c r="Z133" s="216"/>
      <c r="AA133" s="216"/>
      <c r="AB133" s="216"/>
      <c r="AC133" s="360"/>
      <c r="AD133" s="216"/>
      <c r="AE133" s="216"/>
      <c r="AF133" s="216"/>
      <c r="AK133" s="2"/>
    </row>
    <row r="134" spans="1:37" ht="18.75">
      <c r="A134" s="235" t="str">
        <f>A128</f>
        <v>Sistemas Empresarial</v>
      </c>
      <c r="B134" s="235" t="str">
        <f>B128</f>
        <v>CLARO</v>
      </c>
      <c r="C134" s="235" t="str">
        <f>C128</f>
        <v>Áreas Corporativas</v>
      </c>
      <c r="D134" s="235" t="s">
        <v>468</v>
      </c>
      <c r="E134" s="220"/>
      <c r="F134" s="220"/>
      <c r="G134" s="220"/>
      <c r="H134" s="237"/>
      <c r="I134" s="228">
        <f>SUM(I128:I133)</f>
        <v>1584</v>
      </c>
      <c r="J134" s="222"/>
      <c r="K134" s="225">
        <f>SUM(K128:K133)</f>
        <v>1</v>
      </c>
      <c r="L134" s="223"/>
      <c r="M134" s="224"/>
      <c r="N134" s="240" t="str">
        <f>N128</f>
        <v>Opex</v>
      </c>
      <c r="O134" s="225">
        <f>SUM(O128:O133)</f>
        <v>282712.32000000001</v>
      </c>
      <c r="P134" s="231"/>
      <c r="Q134" s="231"/>
      <c r="R134" s="226"/>
      <c r="S134" s="227"/>
      <c r="T134" s="227"/>
      <c r="U134" s="227"/>
      <c r="V134" s="227"/>
      <c r="W134" s="227"/>
      <c r="X134" s="227"/>
      <c r="Y134" s="227"/>
      <c r="Z134" s="227"/>
      <c r="AA134" s="227"/>
      <c r="AB134" s="227"/>
      <c r="AC134" s="361"/>
      <c r="AD134" s="227"/>
      <c r="AE134" s="227"/>
      <c r="AF134" s="227"/>
      <c r="AK134" s="2"/>
    </row>
    <row r="135" spans="1:37" ht="24.75">
      <c r="A135" s="441" t="s">
        <v>95</v>
      </c>
      <c r="B135" s="444" t="s">
        <v>20</v>
      </c>
      <c r="C135" s="444" t="s">
        <v>58</v>
      </c>
      <c r="D135" s="441" t="s">
        <v>485</v>
      </c>
      <c r="E135" s="447" t="s">
        <v>485</v>
      </c>
      <c r="F135" s="441" t="s">
        <v>96</v>
      </c>
      <c r="G135" s="450" t="s">
        <v>511</v>
      </c>
      <c r="H135" s="362" t="s">
        <v>522</v>
      </c>
      <c r="I135" s="344">
        <v>103.5</v>
      </c>
      <c r="J135" s="345">
        <v>204.06</v>
      </c>
      <c r="K135" s="346">
        <f>IFERROR((I135/176)/L135,0)</f>
        <v>6.5340909090909088E-2</v>
      </c>
      <c r="L135" s="344">
        <v>9</v>
      </c>
      <c r="M135" s="347" t="s">
        <v>463</v>
      </c>
      <c r="N135" s="347" t="s">
        <v>402</v>
      </c>
      <c r="O135" s="348">
        <f>I135*J135</f>
        <v>21120.21</v>
      </c>
      <c r="P135" s="452"/>
      <c r="Q135" s="452"/>
      <c r="R135" s="215"/>
      <c r="S135" s="350" t="s">
        <v>518</v>
      </c>
      <c r="T135" s="351" t="s">
        <v>465</v>
      </c>
      <c r="U135" s="352" t="s">
        <v>466</v>
      </c>
      <c r="V135" s="353" t="s">
        <v>467</v>
      </c>
      <c r="W135" s="353"/>
      <c r="X135" s="353" t="s">
        <v>37</v>
      </c>
      <c r="Y135" s="351"/>
      <c r="Z135" s="353"/>
      <c r="AA135" s="353"/>
      <c r="AB135" s="353"/>
      <c r="AC135" s="353" t="str">
        <f>H135&amp;": "&amp;TEXT(I135,"#.##0")&amp;"h *  R$ "&amp; TEXT(J135, "#.##0,00") &amp;"/h = R$ "&amp; TEXT(O135,"#.##0,00")</f>
        <v>SUPORTE MIDDLEWARE - SERVIÇO ESPECIALIZADO DE SUPORTE DE MICROSERVIÇOS: 104h *  R$ 204,06/h = R$ 21.120,21</v>
      </c>
      <c r="AD135" s="353"/>
      <c r="AE135" s="353"/>
      <c r="AF135" s="353"/>
      <c r="AK135" s="2"/>
    </row>
    <row r="136" spans="1:37" ht="15">
      <c r="A136" s="442"/>
      <c r="B136" s="445"/>
      <c r="C136" s="445"/>
      <c r="D136" s="442"/>
      <c r="E136" s="448"/>
      <c r="F136" s="442"/>
      <c r="G136" s="451"/>
      <c r="H136" s="362"/>
      <c r="I136" s="344"/>
      <c r="J136" s="345"/>
      <c r="K136" s="346"/>
      <c r="L136" s="344"/>
      <c r="M136" s="347"/>
      <c r="N136" s="347"/>
      <c r="O136" s="348"/>
      <c r="P136" s="453"/>
      <c r="Q136" s="453"/>
      <c r="R136" s="215"/>
      <c r="S136" s="350"/>
      <c r="T136" s="351"/>
      <c r="U136" s="352"/>
      <c r="V136" s="353"/>
      <c r="W136" s="353"/>
      <c r="X136" s="353"/>
      <c r="Y136" s="351"/>
      <c r="Z136" s="353"/>
      <c r="AA136" s="353"/>
      <c r="AB136" s="353"/>
      <c r="AC136" s="353" t="str">
        <f t="shared" ref="AC136:AC138" si="43">H136&amp;": "&amp;TEXT(I136,"#.##0")&amp;"h *  R$ "&amp; TEXT(J136, "#.##0,00") &amp;"/h = R$ "&amp; TEXT(O136,"#.##0,00")</f>
        <v>: 0h *  R$ 0,00/h = R$ 0,00</v>
      </c>
      <c r="AD136" s="353"/>
      <c r="AE136" s="353"/>
      <c r="AF136" s="353"/>
      <c r="AK136" s="2"/>
    </row>
    <row r="137" spans="1:37" ht="15">
      <c r="A137" s="442"/>
      <c r="B137" s="445"/>
      <c r="C137" s="445"/>
      <c r="D137" s="442"/>
      <c r="E137" s="448"/>
      <c r="F137" s="442"/>
      <c r="G137" s="451"/>
      <c r="H137" s="362"/>
      <c r="I137" s="344"/>
      <c r="J137" s="345"/>
      <c r="K137" s="346"/>
      <c r="L137" s="344"/>
      <c r="M137" s="347"/>
      <c r="N137" s="347"/>
      <c r="O137" s="348"/>
      <c r="P137" s="453"/>
      <c r="Q137" s="453"/>
      <c r="R137" s="215"/>
      <c r="S137" s="350"/>
      <c r="T137" s="351"/>
      <c r="U137" s="352"/>
      <c r="V137" s="353"/>
      <c r="W137" s="353"/>
      <c r="X137" s="353"/>
      <c r="Y137" s="351"/>
      <c r="Z137" s="353"/>
      <c r="AA137" s="353"/>
      <c r="AB137" s="353"/>
      <c r="AC137" s="353" t="str">
        <f t="shared" si="43"/>
        <v>: 0h *  R$ 0,00/h = R$ 0,00</v>
      </c>
      <c r="AD137" s="353"/>
      <c r="AE137" s="353"/>
      <c r="AF137" s="353"/>
      <c r="AK137" s="2"/>
    </row>
    <row r="138" spans="1:37" ht="15">
      <c r="A138" s="442"/>
      <c r="B138" s="445"/>
      <c r="C138" s="445"/>
      <c r="D138" s="442"/>
      <c r="E138" s="448"/>
      <c r="F138" s="442"/>
      <c r="G138" s="451"/>
      <c r="H138" s="362"/>
      <c r="I138" s="344"/>
      <c r="J138" s="345"/>
      <c r="K138" s="346"/>
      <c r="L138" s="344"/>
      <c r="M138" s="347"/>
      <c r="N138" s="347"/>
      <c r="O138" s="348"/>
      <c r="P138" s="453"/>
      <c r="Q138" s="453"/>
      <c r="R138" s="215"/>
      <c r="S138" s="350"/>
      <c r="T138" s="351"/>
      <c r="U138" s="352"/>
      <c r="V138" s="353"/>
      <c r="W138" s="353"/>
      <c r="X138" s="353"/>
      <c r="Y138" s="351"/>
      <c r="Z138" s="353"/>
      <c r="AA138" s="353"/>
      <c r="AB138" s="353"/>
      <c r="AC138" s="353" t="str">
        <f t="shared" si="43"/>
        <v>: 0h *  R$ 0,00/h = R$ 0,00</v>
      </c>
      <c r="AD138" s="353"/>
      <c r="AE138" s="353"/>
      <c r="AF138" s="353"/>
      <c r="AK138" s="2"/>
    </row>
    <row r="139" spans="1:37" ht="15">
      <c r="A139" s="443"/>
      <c r="B139" s="446"/>
      <c r="C139" s="446"/>
      <c r="D139" s="443"/>
      <c r="E139" s="449"/>
      <c r="F139" s="443"/>
      <c r="G139" s="451"/>
      <c r="H139" s="362"/>
      <c r="I139" s="357"/>
      <c r="J139" s="355"/>
      <c r="K139" s="346">
        <f t="shared" ref="K139" si="44">IFERROR((I139/176)/L139,0)</f>
        <v>0</v>
      </c>
      <c r="L139" s="344"/>
      <c r="M139" s="347"/>
      <c r="N139" s="347"/>
      <c r="O139" s="348">
        <f t="shared" ref="O139" si="45">I139*J139</f>
        <v>0</v>
      </c>
      <c r="P139" s="454"/>
      <c r="Q139" s="454"/>
      <c r="R139" s="215"/>
      <c r="S139" s="358"/>
      <c r="T139" s="350"/>
      <c r="U139" s="352"/>
      <c r="V139" s="349"/>
      <c r="W139" s="353" t="str">
        <f>IFERROR(IF(V139="","",IF(N139="Fábrica",VLOOKUP(V139&amp;"CAPEX",ISS!A:E,5,0),IF(OR(G139="HITSS",G139="GLOBALHITSS",G139="HILDEBRANDO",G139="GLOBAL HITSS"),VLOOKUP(V139,ISS!A241:E242,5,0),VLOOKUP(V139&amp;N139,ISS!A:E,5,0)))),"Classificar")</f>
        <v/>
      </c>
      <c r="X139" s="349"/>
      <c r="Y139" s="356"/>
      <c r="Z139" s="356"/>
      <c r="AA139" s="356"/>
      <c r="AB139" s="356"/>
      <c r="AC139" s="353"/>
      <c r="AD139" s="349"/>
      <c r="AE139" s="349"/>
      <c r="AF139" s="349"/>
      <c r="AK139" s="2"/>
    </row>
    <row r="140" spans="1:37" ht="15">
      <c r="A140" s="216"/>
      <c r="B140" s="216"/>
      <c r="C140" s="216"/>
      <c r="D140" s="216"/>
      <c r="E140" s="216"/>
      <c r="F140" s="216"/>
      <c r="G140" s="216"/>
      <c r="H140" s="219"/>
      <c r="I140" s="216"/>
      <c r="J140" s="217"/>
      <c r="K140" s="216"/>
      <c r="L140" s="218"/>
      <c r="M140" s="216"/>
      <c r="N140" s="219"/>
      <c r="O140" s="216"/>
      <c r="P140" s="218"/>
      <c r="Q140" s="218"/>
      <c r="R140" s="64"/>
      <c r="S140" s="216"/>
      <c r="T140" s="216"/>
      <c r="U140" s="216"/>
      <c r="V140" s="216"/>
      <c r="W140" s="216"/>
      <c r="X140" s="216"/>
      <c r="Y140" s="216"/>
      <c r="Z140" s="216"/>
      <c r="AA140" s="216"/>
      <c r="AB140" s="216"/>
      <c r="AC140" s="360"/>
      <c r="AD140" s="216"/>
      <c r="AE140" s="216"/>
      <c r="AF140" s="216"/>
      <c r="AK140" s="2"/>
    </row>
    <row r="141" spans="1:37" ht="18.75">
      <c r="A141" s="235" t="str">
        <f>A135</f>
        <v>Sistemas Empresarial</v>
      </c>
      <c r="B141" s="235" t="str">
        <f>B135</f>
        <v>CLARO</v>
      </c>
      <c r="C141" s="235" t="str">
        <f>C135</f>
        <v>Áreas Corporativas</v>
      </c>
      <c r="D141" s="235" t="s">
        <v>468</v>
      </c>
      <c r="E141" s="220"/>
      <c r="F141" s="220"/>
      <c r="G141" s="220"/>
      <c r="H141" s="237"/>
      <c r="I141" s="228">
        <f>SUM(I135:I140)</f>
        <v>103.5</v>
      </c>
      <c r="J141" s="222"/>
      <c r="K141" s="225">
        <f>SUM(K135:K140)</f>
        <v>6.5340909090909088E-2</v>
      </c>
      <c r="L141" s="223"/>
      <c r="M141" s="224"/>
      <c r="N141" s="240" t="str">
        <f>N135</f>
        <v>Opex</v>
      </c>
      <c r="O141" s="225">
        <f>SUM(O135:O140)</f>
        <v>21120.21</v>
      </c>
      <c r="P141" s="231"/>
      <c r="Q141" s="231"/>
      <c r="R141" s="226"/>
      <c r="S141" s="227"/>
      <c r="T141" s="227"/>
      <c r="U141" s="227"/>
      <c r="V141" s="227"/>
      <c r="W141" s="227"/>
      <c r="X141" s="227"/>
      <c r="Y141" s="227"/>
      <c r="Z141" s="227"/>
      <c r="AA141" s="227"/>
      <c r="AB141" s="227"/>
      <c r="AC141" s="361"/>
      <c r="AD141" s="227"/>
      <c r="AE141" s="227"/>
      <c r="AF141" s="227"/>
      <c r="AK141" s="2"/>
    </row>
    <row r="142" spans="1:37" ht="15">
      <c r="A142" s="441" t="s">
        <v>95</v>
      </c>
      <c r="B142" s="444" t="s">
        <v>20</v>
      </c>
      <c r="C142" s="444" t="s">
        <v>58</v>
      </c>
      <c r="D142" s="441" t="s">
        <v>523</v>
      </c>
      <c r="E142" s="447" t="s">
        <v>523</v>
      </c>
      <c r="F142" s="441" t="s">
        <v>96</v>
      </c>
      <c r="G142" s="450" t="s">
        <v>511</v>
      </c>
      <c r="H142" s="362" t="s">
        <v>524</v>
      </c>
      <c r="I142" s="344">
        <v>528</v>
      </c>
      <c r="J142" s="345">
        <v>139.80000000000001</v>
      </c>
      <c r="K142" s="346">
        <f>IFERROR((I142/176)/L142,0)</f>
        <v>0.33333333333333331</v>
      </c>
      <c r="L142" s="344">
        <v>9</v>
      </c>
      <c r="M142" s="347" t="s">
        <v>463</v>
      </c>
      <c r="N142" s="347" t="s">
        <v>402</v>
      </c>
      <c r="O142" s="348">
        <f>I142*J142</f>
        <v>73814.400000000009</v>
      </c>
      <c r="P142" s="452"/>
      <c r="Q142" s="452"/>
      <c r="R142" s="215"/>
      <c r="S142" s="350" t="s">
        <v>525</v>
      </c>
      <c r="T142" s="351" t="s">
        <v>465</v>
      </c>
      <c r="U142" s="352" t="s">
        <v>466</v>
      </c>
      <c r="V142" s="353" t="s">
        <v>467</v>
      </c>
      <c r="W142" s="353"/>
      <c r="X142" s="353" t="s">
        <v>37</v>
      </c>
      <c r="Y142" s="351"/>
      <c r="Z142" s="353"/>
      <c r="AA142" s="353"/>
      <c r="AB142" s="353"/>
      <c r="AC142" s="353" t="str">
        <f>H142&amp;": "&amp;TEXT(I142,"#.##0")&amp;"h *  R$ "&amp; TEXT(J142, "#.##0,00") &amp;"/h = R$ "&amp; TEXT(O142,"#.##0,00")</f>
        <v xml:space="preserve"> CORE - SERVIÇO ESPECIALIZADO DE SISTEMAS: 528h *  R$ 139,80/h = R$ 73.814,40</v>
      </c>
      <c r="AD142" s="353"/>
      <c r="AE142" s="353"/>
      <c r="AF142" s="353"/>
      <c r="AK142" s="2"/>
    </row>
    <row r="143" spans="1:37" ht="15">
      <c r="A143" s="442"/>
      <c r="B143" s="445"/>
      <c r="C143" s="445"/>
      <c r="D143" s="442"/>
      <c r="E143" s="448"/>
      <c r="F143" s="442"/>
      <c r="G143" s="451"/>
      <c r="H143" s="362"/>
      <c r="I143" s="344"/>
      <c r="J143" s="345"/>
      <c r="K143" s="346"/>
      <c r="L143" s="344"/>
      <c r="M143" s="347"/>
      <c r="N143" s="347"/>
      <c r="O143" s="348"/>
      <c r="P143" s="453"/>
      <c r="Q143" s="453"/>
      <c r="R143" s="215"/>
      <c r="S143" s="350"/>
      <c r="T143" s="351"/>
      <c r="U143" s="352"/>
      <c r="V143" s="353"/>
      <c r="W143" s="353"/>
      <c r="X143" s="353"/>
      <c r="Y143" s="351"/>
      <c r="Z143" s="353"/>
      <c r="AA143" s="353"/>
      <c r="AB143" s="353"/>
      <c r="AC143" s="353" t="str">
        <f t="shared" ref="AC143:AC145" si="46">H143&amp;": "&amp;TEXT(I143,"#.##0")&amp;"h *  R$ "&amp; TEXT(J143, "#.##0,00") &amp;"/h = R$ "&amp; TEXT(O143,"#.##0,00")</f>
        <v>: 0h *  R$ 0,00/h = R$ 0,00</v>
      </c>
      <c r="AD143" s="353"/>
      <c r="AE143" s="353"/>
      <c r="AF143" s="353"/>
      <c r="AK143" s="2"/>
    </row>
    <row r="144" spans="1:37" ht="15">
      <c r="A144" s="442"/>
      <c r="B144" s="445"/>
      <c r="C144" s="445"/>
      <c r="D144" s="442"/>
      <c r="E144" s="448"/>
      <c r="F144" s="442"/>
      <c r="G144" s="451"/>
      <c r="H144" s="362"/>
      <c r="I144" s="344"/>
      <c r="J144" s="345"/>
      <c r="K144" s="346"/>
      <c r="L144" s="344"/>
      <c r="M144" s="347"/>
      <c r="N144" s="347"/>
      <c r="O144" s="348"/>
      <c r="P144" s="453"/>
      <c r="Q144" s="453"/>
      <c r="R144" s="215"/>
      <c r="S144" s="350"/>
      <c r="T144" s="351"/>
      <c r="U144" s="352"/>
      <c r="V144" s="353"/>
      <c r="W144" s="353"/>
      <c r="X144" s="353"/>
      <c r="Y144" s="351"/>
      <c r="Z144" s="353"/>
      <c r="AA144" s="353"/>
      <c r="AB144" s="353"/>
      <c r="AC144" s="353" t="str">
        <f t="shared" si="46"/>
        <v>: 0h *  R$ 0,00/h = R$ 0,00</v>
      </c>
      <c r="AD144" s="353"/>
      <c r="AE144" s="353"/>
      <c r="AF144" s="353"/>
      <c r="AK144" s="2"/>
    </row>
    <row r="145" spans="1:37" ht="15">
      <c r="A145" s="442"/>
      <c r="B145" s="445"/>
      <c r="C145" s="445"/>
      <c r="D145" s="442"/>
      <c r="E145" s="448"/>
      <c r="F145" s="442"/>
      <c r="G145" s="451"/>
      <c r="H145" s="362"/>
      <c r="I145" s="344"/>
      <c r="J145" s="345"/>
      <c r="K145" s="346"/>
      <c r="L145" s="344"/>
      <c r="M145" s="347"/>
      <c r="N145" s="347"/>
      <c r="O145" s="348"/>
      <c r="P145" s="453"/>
      <c r="Q145" s="453"/>
      <c r="R145" s="215"/>
      <c r="S145" s="350"/>
      <c r="T145" s="351"/>
      <c r="U145" s="352"/>
      <c r="V145" s="353"/>
      <c r="W145" s="353"/>
      <c r="X145" s="353"/>
      <c r="Y145" s="351"/>
      <c r="Z145" s="353"/>
      <c r="AA145" s="353"/>
      <c r="AB145" s="353"/>
      <c r="AC145" s="353" t="str">
        <f t="shared" si="46"/>
        <v>: 0h *  R$ 0,00/h = R$ 0,00</v>
      </c>
      <c r="AD145" s="353"/>
      <c r="AE145" s="353"/>
      <c r="AF145" s="353"/>
      <c r="AK145" s="2"/>
    </row>
    <row r="146" spans="1:37" ht="15">
      <c r="A146" s="443"/>
      <c r="B146" s="446"/>
      <c r="C146" s="446"/>
      <c r="D146" s="443"/>
      <c r="E146" s="449"/>
      <c r="F146" s="443"/>
      <c r="G146" s="451"/>
      <c r="H146" s="362"/>
      <c r="I146" s="357"/>
      <c r="J146" s="355"/>
      <c r="K146" s="346">
        <f t="shared" ref="K146" si="47">IFERROR((I146/176)/L146,0)</f>
        <v>0</v>
      </c>
      <c r="L146" s="344"/>
      <c r="M146" s="347"/>
      <c r="N146" s="347"/>
      <c r="O146" s="348">
        <f t="shared" ref="O146" si="48">I146*J146</f>
        <v>0</v>
      </c>
      <c r="P146" s="454"/>
      <c r="Q146" s="454"/>
      <c r="R146" s="215"/>
      <c r="S146" s="358"/>
      <c r="T146" s="350"/>
      <c r="U146" s="352"/>
      <c r="V146" s="349"/>
      <c r="W146" s="353" t="str">
        <f>IFERROR(IF(V146="","",IF(N146="Fábrica",VLOOKUP(V146&amp;"CAPEX",ISS!A:E,5,0),IF(OR(G146="HITSS",G146="GLOBALHITSS",G146="HILDEBRANDO",G146="GLOBAL HITSS"),VLOOKUP(V146,ISS!A248:E249,5,0),VLOOKUP(V146&amp;N146,ISS!A:E,5,0)))),"Classificar")</f>
        <v/>
      </c>
      <c r="X146" s="349"/>
      <c r="Y146" s="356"/>
      <c r="Z146" s="356"/>
      <c r="AA146" s="356"/>
      <c r="AB146" s="356"/>
      <c r="AC146" s="353"/>
      <c r="AD146" s="349"/>
      <c r="AE146" s="349"/>
      <c r="AF146" s="349"/>
      <c r="AK146" s="2"/>
    </row>
    <row r="147" spans="1:37" ht="15">
      <c r="A147" s="216"/>
      <c r="B147" s="216"/>
      <c r="C147" s="216"/>
      <c r="D147" s="216"/>
      <c r="E147" s="216"/>
      <c r="F147" s="216"/>
      <c r="G147" s="216"/>
      <c r="H147" s="219"/>
      <c r="I147" s="216"/>
      <c r="J147" s="217"/>
      <c r="K147" s="216"/>
      <c r="L147" s="218"/>
      <c r="M147" s="216"/>
      <c r="N147" s="219"/>
      <c r="O147" s="216"/>
      <c r="P147" s="218"/>
      <c r="Q147" s="218"/>
      <c r="R147" s="64"/>
      <c r="S147" s="216"/>
      <c r="T147" s="216"/>
      <c r="U147" s="216"/>
      <c r="V147" s="216"/>
      <c r="W147" s="216"/>
      <c r="X147" s="216"/>
      <c r="Y147" s="216"/>
      <c r="Z147" s="216"/>
      <c r="AA147" s="216"/>
      <c r="AB147" s="216"/>
      <c r="AC147" s="360"/>
      <c r="AD147" s="216"/>
      <c r="AE147" s="216"/>
      <c r="AF147" s="216"/>
      <c r="AK147" s="2"/>
    </row>
    <row r="148" spans="1:37" ht="18.75">
      <c r="A148" s="235" t="str">
        <f>A142</f>
        <v>Sistemas Empresarial</v>
      </c>
      <c r="B148" s="235" t="str">
        <f>B142</f>
        <v>CLARO</v>
      </c>
      <c r="C148" s="235" t="str">
        <f>C142</f>
        <v>Áreas Corporativas</v>
      </c>
      <c r="D148" s="235" t="s">
        <v>468</v>
      </c>
      <c r="E148" s="220"/>
      <c r="F148" s="220"/>
      <c r="G148" s="220"/>
      <c r="H148" s="237"/>
      <c r="I148" s="228">
        <f>SUM(I142:I147)</f>
        <v>528</v>
      </c>
      <c r="J148" s="222"/>
      <c r="K148" s="225">
        <f>SUM(K142:K147)</f>
        <v>0.33333333333333331</v>
      </c>
      <c r="L148" s="223"/>
      <c r="M148" s="224"/>
      <c r="N148" s="240" t="str">
        <f>N142</f>
        <v>Opex</v>
      </c>
      <c r="O148" s="225">
        <f>SUM(O142:O147)</f>
        <v>73814.400000000009</v>
      </c>
      <c r="P148" s="231"/>
      <c r="Q148" s="231"/>
      <c r="R148" s="226"/>
      <c r="S148" s="227"/>
      <c r="T148" s="227"/>
      <c r="U148" s="227"/>
      <c r="V148" s="227"/>
      <c r="W148" s="227"/>
      <c r="X148" s="227"/>
      <c r="Y148" s="227"/>
      <c r="Z148" s="227"/>
      <c r="AA148" s="227"/>
      <c r="AB148" s="227"/>
      <c r="AC148" s="361"/>
      <c r="AD148" s="227"/>
      <c r="AE148" s="227"/>
      <c r="AF148" s="227"/>
      <c r="AK148" s="2"/>
    </row>
    <row r="149" spans="1:37" ht="15">
      <c r="A149" s="441" t="s">
        <v>95</v>
      </c>
      <c r="B149" s="444" t="s">
        <v>20</v>
      </c>
      <c r="C149" s="444" t="s">
        <v>58</v>
      </c>
      <c r="D149" s="441" t="s">
        <v>523</v>
      </c>
      <c r="E149" s="447" t="s">
        <v>523</v>
      </c>
      <c r="F149" s="441" t="s">
        <v>96</v>
      </c>
      <c r="G149" s="450" t="s">
        <v>511</v>
      </c>
      <c r="H149" s="362" t="s">
        <v>526</v>
      </c>
      <c r="I149" s="344">
        <v>38</v>
      </c>
      <c r="J149" s="345">
        <v>94.11</v>
      </c>
      <c r="K149" s="346">
        <f>IFERROR((I149/176)/L149,0)</f>
        <v>2.3989898989898992E-2</v>
      </c>
      <c r="L149" s="344">
        <v>9</v>
      </c>
      <c r="M149" s="347" t="s">
        <v>463</v>
      </c>
      <c r="N149" s="347" t="s">
        <v>402</v>
      </c>
      <c r="O149" s="348">
        <f>I149*J149</f>
        <v>3576.18</v>
      </c>
      <c r="P149" s="452"/>
      <c r="Q149" s="452"/>
      <c r="R149" s="215"/>
      <c r="S149" s="350" t="s">
        <v>525</v>
      </c>
      <c r="T149" s="351" t="s">
        <v>465</v>
      </c>
      <c r="U149" s="352" t="s">
        <v>466</v>
      </c>
      <c r="V149" s="353" t="s">
        <v>467</v>
      </c>
      <c r="W149" s="353"/>
      <c r="X149" s="353" t="s">
        <v>37</v>
      </c>
      <c r="Y149" s="351"/>
      <c r="Z149" s="353"/>
      <c r="AA149" s="353"/>
      <c r="AB149" s="353"/>
      <c r="AC149" s="353" t="str">
        <f>H149&amp;": "&amp;TEXT(I149,"#.##0")&amp;"h *  R$ "&amp; TEXT(J149, "#.##0,00") &amp;"/h = R$ "&amp; TEXT(O149,"#.##0,00")</f>
        <v>GP3 - GERENCIAMENTO DE PROJETOS - SÊNIOR: 38h *  R$ 94,11/h = R$ 3.576,18</v>
      </c>
      <c r="AD149" s="353"/>
      <c r="AE149" s="353"/>
      <c r="AF149" s="353"/>
      <c r="AK149" s="2"/>
    </row>
    <row r="150" spans="1:37" ht="15">
      <c r="A150" s="442"/>
      <c r="B150" s="445"/>
      <c r="C150" s="445"/>
      <c r="D150" s="442"/>
      <c r="E150" s="448"/>
      <c r="F150" s="442"/>
      <c r="G150" s="451"/>
      <c r="H150" s="362"/>
      <c r="I150" s="344"/>
      <c r="J150" s="345"/>
      <c r="K150" s="346"/>
      <c r="L150" s="344"/>
      <c r="M150" s="347"/>
      <c r="N150" s="347"/>
      <c r="O150" s="348"/>
      <c r="P150" s="453"/>
      <c r="Q150" s="453"/>
      <c r="R150" s="215"/>
      <c r="S150" s="350"/>
      <c r="T150" s="351"/>
      <c r="U150" s="352"/>
      <c r="V150" s="353"/>
      <c r="W150" s="353"/>
      <c r="X150" s="353"/>
      <c r="Y150" s="351"/>
      <c r="Z150" s="353"/>
      <c r="AA150" s="353"/>
      <c r="AB150" s="353"/>
      <c r="AC150" s="353" t="str">
        <f t="shared" ref="AC150:AC152" si="49">H150&amp;": "&amp;TEXT(I150,"#.##0")&amp;"h *  R$ "&amp; TEXT(J150, "#.##0,00") &amp;"/h = R$ "&amp; TEXT(O150,"#.##0,00")</f>
        <v>: 0h *  R$ 0,00/h = R$ 0,00</v>
      </c>
      <c r="AD150" s="353"/>
      <c r="AE150" s="353"/>
      <c r="AF150" s="353"/>
      <c r="AK150" s="2"/>
    </row>
    <row r="151" spans="1:37" ht="15">
      <c r="A151" s="442"/>
      <c r="B151" s="445"/>
      <c r="C151" s="445"/>
      <c r="D151" s="442"/>
      <c r="E151" s="448"/>
      <c r="F151" s="442"/>
      <c r="G151" s="451"/>
      <c r="H151" s="362"/>
      <c r="I151" s="344"/>
      <c r="J151" s="345"/>
      <c r="K151" s="346"/>
      <c r="L151" s="344"/>
      <c r="M151" s="347"/>
      <c r="N151" s="347"/>
      <c r="O151" s="348"/>
      <c r="P151" s="453"/>
      <c r="Q151" s="453"/>
      <c r="R151" s="215"/>
      <c r="S151" s="350"/>
      <c r="T151" s="351"/>
      <c r="U151" s="352"/>
      <c r="V151" s="353"/>
      <c r="W151" s="353"/>
      <c r="X151" s="353"/>
      <c r="Y151" s="351"/>
      <c r="Z151" s="353"/>
      <c r="AA151" s="353"/>
      <c r="AB151" s="353"/>
      <c r="AC151" s="353" t="str">
        <f t="shared" si="49"/>
        <v>: 0h *  R$ 0,00/h = R$ 0,00</v>
      </c>
      <c r="AD151" s="353"/>
      <c r="AE151" s="353"/>
      <c r="AF151" s="353"/>
      <c r="AK151" s="2"/>
    </row>
    <row r="152" spans="1:37" ht="15">
      <c r="A152" s="442"/>
      <c r="B152" s="445"/>
      <c r="C152" s="445"/>
      <c r="D152" s="442"/>
      <c r="E152" s="448"/>
      <c r="F152" s="442"/>
      <c r="G152" s="451"/>
      <c r="H152" s="362"/>
      <c r="I152" s="344"/>
      <c r="J152" s="345"/>
      <c r="K152" s="346"/>
      <c r="L152" s="344"/>
      <c r="M152" s="347"/>
      <c r="N152" s="347"/>
      <c r="O152" s="348"/>
      <c r="P152" s="453"/>
      <c r="Q152" s="453"/>
      <c r="R152" s="215"/>
      <c r="S152" s="350"/>
      <c r="T152" s="351"/>
      <c r="U152" s="352"/>
      <c r="V152" s="353"/>
      <c r="W152" s="353"/>
      <c r="X152" s="353"/>
      <c r="Y152" s="351"/>
      <c r="Z152" s="353"/>
      <c r="AA152" s="353"/>
      <c r="AB152" s="353"/>
      <c r="AC152" s="353" t="str">
        <f t="shared" si="49"/>
        <v>: 0h *  R$ 0,00/h = R$ 0,00</v>
      </c>
      <c r="AD152" s="353"/>
      <c r="AE152" s="353"/>
      <c r="AF152" s="353"/>
      <c r="AK152" s="2"/>
    </row>
    <row r="153" spans="1:37" ht="15">
      <c r="A153" s="443"/>
      <c r="B153" s="446"/>
      <c r="C153" s="446"/>
      <c r="D153" s="443"/>
      <c r="E153" s="449"/>
      <c r="F153" s="443"/>
      <c r="G153" s="451"/>
      <c r="H153" s="362"/>
      <c r="I153" s="357"/>
      <c r="J153" s="355"/>
      <c r="K153" s="346">
        <f t="shared" ref="K153" si="50">IFERROR((I153/176)/L153,0)</f>
        <v>0</v>
      </c>
      <c r="L153" s="344"/>
      <c r="M153" s="347"/>
      <c r="N153" s="347"/>
      <c r="O153" s="348">
        <f t="shared" ref="O153" si="51">I153*J153</f>
        <v>0</v>
      </c>
      <c r="P153" s="454"/>
      <c r="Q153" s="454"/>
      <c r="R153" s="215"/>
      <c r="S153" s="358"/>
      <c r="T153" s="350"/>
      <c r="U153" s="352"/>
      <c r="V153" s="349"/>
      <c r="W153" s="353" t="str">
        <f>IFERROR(IF(V153="","",IF(N153="Fábrica",VLOOKUP(V153&amp;"CAPEX",ISS!A:E,5,0),IF(OR(G153="HITSS",G153="GLOBALHITSS",G153="HILDEBRANDO",G153="GLOBAL HITSS"),VLOOKUP(V153,ISS!A255:E256,5,0),VLOOKUP(V153&amp;N153,ISS!A:E,5,0)))),"Classificar")</f>
        <v/>
      </c>
      <c r="X153" s="349"/>
      <c r="Y153" s="356"/>
      <c r="Z153" s="356"/>
      <c r="AA153" s="356"/>
      <c r="AB153" s="356"/>
      <c r="AC153" s="353"/>
      <c r="AD153" s="349"/>
      <c r="AE153" s="349"/>
      <c r="AF153" s="349"/>
      <c r="AK153" s="2"/>
    </row>
    <row r="154" spans="1:37" ht="15">
      <c r="A154" s="216"/>
      <c r="B154" s="216"/>
      <c r="C154" s="216"/>
      <c r="D154" s="216"/>
      <c r="E154" s="216"/>
      <c r="F154" s="216"/>
      <c r="G154" s="216"/>
      <c r="H154" s="219"/>
      <c r="I154" s="216"/>
      <c r="J154" s="217"/>
      <c r="K154" s="216"/>
      <c r="L154" s="218"/>
      <c r="M154" s="216"/>
      <c r="N154" s="219"/>
      <c r="O154" s="216"/>
      <c r="P154" s="218"/>
      <c r="Q154" s="218"/>
      <c r="R154" s="64"/>
      <c r="S154" s="216"/>
      <c r="T154" s="216"/>
      <c r="U154" s="216"/>
      <c r="V154" s="216"/>
      <c r="W154" s="216"/>
      <c r="X154" s="216"/>
      <c r="Y154" s="216"/>
      <c r="Z154" s="216"/>
      <c r="AA154" s="216"/>
      <c r="AB154" s="216"/>
      <c r="AC154" s="360"/>
      <c r="AD154" s="216"/>
      <c r="AE154" s="216"/>
      <c r="AF154" s="216"/>
      <c r="AK154" s="2"/>
    </row>
    <row r="155" spans="1:37" ht="18.75">
      <c r="A155" s="235" t="str">
        <f>A149</f>
        <v>Sistemas Empresarial</v>
      </c>
      <c r="B155" s="235" t="str">
        <f>B149</f>
        <v>CLARO</v>
      </c>
      <c r="C155" s="235" t="str">
        <f>C149</f>
        <v>Áreas Corporativas</v>
      </c>
      <c r="D155" s="235" t="s">
        <v>468</v>
      </c>
      <c r="E155" s="220"/>
      <c r="F155" s="220"/>
      <c r="G155" s="220"/>
      <c r="H155" s="237"/>
      <c r="I155" s="228">
        <f>SUM(I149:I154)</f>
        <v>38</v>
      </c>
      <c r="J155" s="222"/>
      <c r="K155" s="225">
        <f>SUM(K149:K154)</f>
        <v>2.3989898989898992E-2</v>
      </c>
      <c r="L155" s="223"/>
      <c r="M155" s="224"/>
      <c r="N155" s="240" t="str">
        <f>N149</f>
        <v>Opex</v>
      </c>
      <c r="O155" s="225">
        <f>SUM(O149:O154)</f>
        <v>3576.18</v>
      </c>
      <c r="P155" s="231"/>
      <c r="Q155" s="231"/>
      <c r="R155" s="226"/>
      <c r="S155" s="227"/>
      <c r="T155" s="227"/>
      <c r="U155" s="227"/>
      <c r="V155" s="227"/>
      <c r="W155" s="227"/>
      <c r="X155" s="227"/>
      <c r="Y155" s="227"/>
      <c r="Z155" s="227"/>
      <c r="AA155" s="227"/>
      <c r="AB155" s="227"/>
      <c r="AC155" s="361"/>
      <c r="AD155" s="227"/>
      <c r="AE155" s="227"/>
      <c r="AF155" s="227"/>
      <c r="AK155" s="2"/>
    </row>
    <row r="156" spans="1:37" ht="15">
      <c r="A156" s="216"/>
      <c r="B156" s="216"/>
      <c r="C156" s="216"/>
      <c r="D156" s="216"/>
      <c r="E156" s="216"/>
      <c r="F156" s="216"/>
      <c r="G156" s="216"/>
      <c r="H156" s="238"/>
      <c r="I156" s="216"/>
      <c r="J156" s="217"/>
      <c r="K156" s="216"/>
      <c r="L156" s="218"/>
      <c r="M156" s="216"/>
      <c r="N156" s="219"/>
      <c r="O156" s="216"/>
      <c r="P156" s="218"/>
      <c r="Q156" s="218"/>
      <c r="R156" s="64"/>
      <c r="S156" s="216"/>
      <c r="T156" s="216"/>
      <c r="U156" s="216"/>
      <c r="V156" s="216"/>
      <c r="W156" s="216"/>
      <c r="X156" s="216"/>
      <c r="Y156" s="216"/>
      <c r="Z156" s="216"/>
      <c r="AA156" s="216"/>
      <c r="AB156" s="216"/>
      <c r="AC156" s="360"/>
      <c r="AD156" s="216"/>
      <c r="AE156" s="216"/>
      <c r="AF156" s="216"/>
      <c r="AK156" s="2"/>
    </row>
    <row r="157" spans="1:37" ht="18.75">
      <c r="A157" s="235"/>
      <c r="B157" s="235"/>
      <c r="C157" s="235"/>
      <c r="D157" s="235"/>
      <c r="E157" s="220"/>
      <c r="F157" s="220"/>
      <c r="G157" s="220"/>
      <c r="H157" s="239"/>
      <c r="I157" s="228"/>
      <c r="J157" s="222"/>
      <c r="K157" s="228"/>
      <c r="L157" s="223"/>
      <c r="M157" s="224"/>
      <c r="N157" s="240"/>
      <c r="O157" s="343">
        <f>SUM(O151:O156)</f>
        <v>3576.18</v>
      </c>
      <c r="P157" s="231"/>
      <c r="Q157" s="231"/>
      <c r="R157" s="226"/>
      <c r="S157" s="227"/>
      <c r="T157" s="227"/>
      <c r="U157" s="227"/>
      <c r="V157" s="227"/>
      <c r="W157" s="227"/>
      <c r="X157" s="227"/>
      <c r="Y157" s="227"/>
      <c r="Z157" s="227"/>
      <c r="AA157" s="227"/>
      <c r="AB157" s="227"/>
      <c r="AC157" s="361"/>
      <c r="AD157" s="227"/>
      <c r="AE157" s="227"/>
      <c r="AF157" s="227"/>
      <c r="AK157" s="2"/>
    </row>
    <row r="158" spans="1:37" ht="15">
      <c r="A158" s="441" t="s">
        <v>95</v>
      </c>
      <c r="B158" s="444" t="s">
        <v>20</v>
      </c>
      <c r="C158" s="444" t="s">
        <v>58</v>
      </c>
      <c r="D158" s="441" t="s">
        <v>475</v>
      </c>
      <c r="E158" s="447" t="s">
        <v>527</v>
      </c>
      <c r="F158" s="441" t="s">
        <v>96</v>
      </c>
      <c r="G158" s="450" t="s">
        <v>528</v>
      </c>
      <c r="H158" s="362" t="s">
        <v>479</v>
      </c>
      <c r="I158" s="344">
        <v>132.63</v>
      </c>
      <c r="J158" s="345">
        <v>176</v>
      </c>
      <c r="K158" s="346">
        <f>IFERROR((I158/176)/L158,0)</f>
        <v>8.3731060606060601E-2</v>
      </c>
      <c r="L158" s="344">
        <v>9</v>
      </c>
      <c r="M158" s="347" t="s">
        <v>463</v>
      </c>
      <c r="N158" s="347" t="s">
        <v>402</v>
      </c>
      <c r="O158" s="348">
        <f>I158*J158</f>
        <v>23342.879999999997</v>
      </c>
      <c r="P158" s="452"/>
      <c r="Q158" s="452"/>
      <c r="R158" s="215"/>
      <c r="S158" s="350" t="s">
        <v>464</v>
      </c>
      <c r="T158" s="351" t="s">
        <v>465</v>
      </c>
      <c r="U158" s="352" t="s">
        <v>466</v>
      </c>
      <c r="V158" s="353" t="s">
        <v>467</v>
      </c>
      <c r="W158" s="353"/>
      <c r="X158" s="353" t="s">
        <v>37</v>
      </c>
      <c r="Y158" s="351"/>
      <c r="Z158" s="353"/>
      <c r="AA158" s="353"/>
      <c r="AB158" s="353"/>
      <c r="AC158" s="353" t="str">
        <f>H158&amp;": "&amp;TEXT(I158,"#.##0")&amp;"h *  R$ "&amp; TEXT(J158, "#.##0,00") &amp;"/h = R$ "&amp; TEXT(O158,"#.##0,00")</f>
        <v>AUTOMATIZAÇÃO E PERFORMANCE DE TESTES: 133h *  R$ 176,00/h = R$ 23.342,88</v>
      </c>
      <c r="AD158" s="353"/>
      <c r="AE158" s="353"/>
      <c r="AF158" s="353"/>
      <c r="AK158" s="2"/>
    </row>
    <row r="159" spans="1:37" ht="15">
      <c r="A159" s="442"/>
      <c r="B159" s="445"/>
      <c r="C159" s="445"/>
      <c r="D159" s="442"/>
      <c r="E159" s="448"/>
      <c r="F159" s="442"/>
      <c r="G159" s="451"/>
      <c r="H159" s="362"/>
      <c r="I159" s="344"/>
      <c r="J159" s="345"/>
      <c r="K159" s="346"/>
      <c r="L159" s="344"/>
      <c r="M159" s="347"/>
      <c r="N159" s="347"/>
      <c r="O159" s="348"/>
      <c r="P159" s="453"/>
      <c r="Q159" s="453"/>
      <c r="R159" s="215"/>
      <c r="S159" s="350"/>
      <c r="T159" s="351"/>
      <c r="U159" s="352"/>
      <c r="V159" s="353"/>
      <c r="W159" s="353"/>
      <c r="X159" s="353"/>
      <c r="Y159" s="351"/>
      <c r="Z159" s="353"/>
      <c r="AA159" s="353"/>
      <c r="AB159" s="353"/>
      <c r="AC159" s="353" t="str">
        <f t="shared" ref="AC159:AC161" si="52">H159&amp;": "&amp;TEXT(I159,"#.##0")&amp;"h *  R$ "&amp; TEXT(J159, "#.##0,00") &amp;"/h = R$ "&amp; TEXT(O159,"#.##0,00")</f>
        <v>: 0h *  R$ 0,00/h = R$ 0,00</v>
      </c>
      <c r="AD159" s="353"/>
      <c r="AE159" s="353"/>
      <c r="AF159" s="353"/>
      <c r="AK159" s="2"/>
    </row>
    <row r="160" spans="1:37" ht="15">
      <c r="A160" s="442"/>
      <c r="B160" s="445"/>
      <c r="C160" s="445"/>
      <c r="D160" s="442"/>
      <c r="E160" s="448"/>
      <c r="F160" s="442"/>
      <c r="G160" s="451"/>
      <c r="H160" s="362"/>
      <c r="I160" s="344"/>
      <c r="J160" s="345"/>
      <c r="K160" s="346"/>
      <c r="L160" s="344"/>
      <c r="M160" s="347"/>
      <c r="N160" s="347"/>
      <c r="O160" s="348"/>
      <c r="P160" s="453"/>
      <c r="Q160" s="453"/>
      <c r="R160" s="215"/>
      <c r="S160" s="350"/>
      <c r="T160" s="351"/>
      <c r="U160" s="352"/>
      <c r="V160" s="353"/>
      <c r="W160" s="353"/>
      <c r="X160" s="353"/>
      <c r="Y160" s="351"/>
      <c r="Z160" s="353"/>
      <c r="AA160" s="353"/>
      <c r="AB160" s="353"/>
      <c r="AC160" s="353" t="str">
        <f t="shared" si="52"/>
        <v>: 0h *  R$ 0,00/h = R$ 0,00</v>
      </c>
      <c r="AD160" s="353"/>
      <c r="AE160" s="353"/>
      <c r="AF160" s="353"/>
      <c r="AK160" s="2"/>
    </row>
    <row r="161" spans="1:37" ht="15">
      <c r="A161" s="442"/>
      <c r="B161" s="445"/>
      <c r="C161" s="445"/>
      <c r="D161" s="442"/>
      <c r="E161" s="448"/>
      <c r="F161" s="442"/>
      <c r="G161" s="451"/>
      <c r="H161" s="362"/>
      <c r="I161" s="344"/>
      <c r="J161" s="345"/>
      <c r="K161" s="346"/>
      <c r="L161" s="344"/>
      <c r="M161" s="347"/>
      <c r="N161" s="347"/>
      <c r="O161" s="348"/>
      <c r="P161" s="453"/>
      <c r="Q161" s="453"/>
      <c r="R161" s="215"/>
      <c r="S161" s="350"/>
      <c r="T161" s="351"/>
      <c r="U161" s="352"/>
      <c r="V161" s="353"/>
      <c r="W161" s="353"/>
      <c r="X161" s="353"/>
      <c r="Y161" s="351"/>
      <c r="Z161" s="353"/>
      <c r="AA161" s="353"/>
      <c r="AB161" s="353"/>
      <c r="AC161" s="353" t="str">
        <f t="shared" si="52"/>
        <v>: 0h *  R$ 0,00/h = R$ 0,00</v>
      </c>
      <c r="AD161" s="353"/>
      <c r="AE161" s="353"/>
      <c r="AF161" s="353"/>
      <c r="AK161" s="2"/>
    </row>
    <row r="162" spans="1:37" ht="15">
      <c r="A162" s="443"/>
      <c r="B162" s="446"/>
      <c r="C162" s="446"/>
      <c r="D162" s="443"/>
      <c r="E162" s="449"/>
      <c r="F162" s="443"/>
      <c r="G162" s="451"/>
      <c r="H162" s="362"/>
      <c r="I162" s="357"/>
      <c r="J162" s="355"/>
      <c r="K162" s="346">
        <f t="shared" ref="K162" si="53">IFERROR((I162/176)/L162,0)</f>
        <v>0</v>
      </c>
      <c r="L162" s="344"/>
      <c r="M162" s="347"/>
      <c r="N162" s="347"/>
      <c r="O162" s="348">
        <f t="shared" ref="O162" si="54">I162*J162</f>
        <v>0</v>
      </c>
      <c r="P162" s="454"/>
      <c r="Q162" s="454"/>
      <c r="R162" s="215"/>
      <c r="S162" s="358"/>
      <c r="T162" s="350"/>
      <c r="U162" s="352"/>
      <c r="V162" s="349"/>
      <c r="W162" s="353" t="str">
        <f>IFERROR(IF(V162="","",IF(N162="Fábrica",VLOOKUP(V162&amp;"CAPEX",ISS!A:E,5,0),IF(OR(G162="HITSS",G162="GLOBALHITSS",G162="HILDEBRANDO",G162="GLOBAL HITSS"),VLOOKUP(V162,ISS!A264:E265,5,0),VLOOKUP(V162&amp;N162,ISS!A:E,5,0)))),"Classificar")</f>
        <v/>
      </c>
      <c r="X162" s="349"/>
      <c r="Y162" s="356"/>
      <c r="Z162" s="356"/>
      <c r="AA162" s="356"/>
      <c r="AB162" s="356"/>
      <c r="AC162" s="353"/>
      <c r="AD162" s="349"/>
      <c r="AE162" s="349"/>
      <c r="AF162" s="349"/>
      <c r="AK162" s="2"/>
    </row>
    <row r="163" spans="1:37" ht="15">
      <c r="A163" s="216"/>
      <c r="B163" s="216"/>
      <c r="C163" s="216"/>
      <c r="D163" s="216"/>
      <c r="E163" s="216"/>
      <c r="F163" s="216"/>
      <c r="G163" s="216"/>
      <c r="H163" s="238"/>
      <c r="I163" s="216"/>
      <c r="J163" s="217"/>
      <c r="K163" s="216"/>
      <c r="L163" s="218"/>
      <c r="M163" s="216"/>
      <c r="N163" s="219"/>
      <c r="O163" s="216"/>
      <c r="P163" s="218"/>
      <c r="Q163" s="218"/>
      <c r="R163" s="64"/>
      <c r="S163" s="216"/>
      <c r="T163" s="216"/>
      <c r="U163" s="216"/>
      <c r="V163" s="216"/>
      <c r="W163" s="216"/>
      <c r="X163" s="216"/>
      <c r="Y163" s="216"/>
      <c r="Z163" s="216"/>
      <c r="AA163" s="216"/>
      <c r="AB163" s="216"/>
      <c r="AC163" s="360"/>
      <c r="AD163" s="216"/>
      <c r="AE163" s="216"/>
      <c r="AF163" s="216"/>
      <c r="AK163" s="2"/>
    </row>
    <row r="164" spans="1:37" ht="18.75">
      <c r="A164" s="235"/>
      <c r="B164" s="235"/>
      <c r="C164" s="235"/>
      <c r="D164" s="235"/>
      <c r="E164" s="220"/>
      <c r="F164" s="220"/>
      <c r="G164" s="220"/>
      <c r="H164" s="239"/>
      <c r="I164" s="228"/>
      <c r="J164" s="222"/>
      <c r="K164" s="228"/>
      <c r="L164" s="223"/>
      <c r="M164" s="224"/>
      <c r="N164" s="240"/>
      <c r="O164" s="343">
        <f>SUM(O158:O163)</f>
        <v>23342.879999999997</v>
      </c>
      <c r="P164" s="231"/>
      <c r="Q164" s="231"/>
      <c r="R164" s="226"/>
      <c r="S164" s="227"/>
      <c r="T164" s="227"/>
      <c r="U164" s="227"/>
      <c r="V164" s="227"/>
      <c r="W164" s="227"/>
      <c r="X164" s="227"/>
      <c r="Y164" s="227"/>
      <c r="Z164" s="227"/>
      <c r="AA164" s="227"/>
      <c r="AB164" s="227"/>
      <c r="AC164" s="361"/>
      <c r="AD164" s="227"/>
      <c r="AE164" s="227"/>
      <c r="AF164" s="227"/>
      <c r="AK164" s="2"/>
    </row>
    <row r="165" spans="1:37" ht="15">
      <c r="A165" s="441" t="s">
        <v>95</v>
      </c>
      <c r="B165" s="444" t="s">
        <v>20</v>
      </c>
      <c r="C165" s="444" t="s">
        <v>58</v>
      </c>
      <c r="D165" s="441" t="s">
        <v>475</v>
      </c>
      <c r="E165" s="447" t="s">
        <v>527</v>
      </c>
      <c r="F165" s="441" t="s">
        <v>96</v>
      </c>
      <c r="G165" s="450" t="s">
        <v>528</v>
      </c>
      <c r="H165" s="362" t="s">
        <v>483</v>
      </c>
      <c r="I165" s="344">
        <v>1152</v>
      </c>
      <c r="J165" s="345">
        <v>103.4</v>
      </c>
      <c r="K165" s="346">
        <f>IFERROR((I165/176)/L165,0)</f>
        <v>0.72727272727272729</v>
      </c>
      <c r="L165" s="344">
        <v>9</v>
      </c>
      <c r="M165" s="347" t="s">
        <v>463</v>
      </c>
      <c r="N165" s="347" t="s">
        <v>402</v>
      </c>
      <c r="O165" s="348">
        <f>I165*J165</f>
        <v>119116.8</v>
      </c>
      <c r="P165" s="452"/>
      <c r="Q165" s="452"/>
      <c r="R165" s="215"/>
      <c r="S165" s="350" t="s">
        <v>464</v>
      </c>
      <c r="T165" s="351" t="s">
        <v>465</v>
      </c>
      <c r="U165" s="352" t="s">
        <v>466</v>
      </c>
      <c r="V165" s="353" t="s">
        <v>467</v>
      </c>
      <c r="W165" s="353"/>
      <c r="X165" s="353" t="s">
        <v>37</v>
      </c>
      <c r="Y165" s="351"/>
      <c r="Z165" s="353"/>
      <c r="AA165" s="353"/>
      <c r="AB165" s="353"/>
      <c r="AC165" s="353" t="str">
        <f>H165&amp;": "&amp;TEXT(I165,"#.##0")&amp;"h *  R$ "&amp; TEXT(J165, "#.##0,00") &amp;"/h = R$ "&amp; TEXT(O165,"#.##0,00")</f>
        <v>Análise - Sênior: 1.152h *  R$ 103,40/h = R$ 119.116,80</v>
      </c>
      <c r="AD165" s="353"/>
      <c r="AE165" s="353"/>
      <c r="AF165" s="353"/>
      <c r="AK165" s="2"/>
    </row>
    <row r="166" spans="1:37" ht="15">
      <c r="A166" s="442"/>
      <c r="B166" s="445"/>
      <c r="C166" s="445"/>
      <c r="D166" s="442"/>
      <c r="E166" s="448"/>
      <c r="F166" s="442"/>
      <c r="G166" s="451"/>
      <c r="H166" s="362"/>
      <c r="I166" s="344"/>
      <c r="J166" s="345"/>
      <c r="K166" s="346"/>
      <c r="L166" s="344"/>
      <c r="M166" s="347"/>
      <c r="N166" s="347"/>
      <c r="O166" s="348"/>
      <c r="P166" s="453"/>
      <c r="Q166" s="453"/>
      <c r="R166" s="215"/>
      <c r="S166" s="350"/>
      <c r="T166" s="351"/>
      <c r="U166" s="352"/>
      <c r="V166" s="353"/>
      <c r="W166" s="353"/>
      <c r="X166" s="353"/>
      <c r="Y166" s="351"/>
      <c r="Z166" s="353"/>
      <c r="AA166" s="353"/>
      <c r="AB166" s="353"/>
      <c r="AC166" s="353" t="str">
        <f t="shared" ref="AC166:AC168" si="55">H166&amp;": "&amp;TEXT(I166,"#.##0")&amp;"h *  R$ "&amp; TEXT(J166, "#.##0,00") &amp;"/h = R$ "&amp; TEXT(O166,"#.##0,00")</f>
        <v>: 0h *  R$ 0,00/h = R$ 0,00</v>
      </c>
      <c r="AD166" s="353"/>
      <c r="AE166" s="353"/>
      <c r="AF166" s="353"/>
      <c r="AK166" s="2"/>
    </row>
    <row r="167" spans="1:37" ht="15">
      <c r="A167" s="442"/>
      <c r="B167" s="445"/>
      <c r="C167" s="445"/>
      <c r="D167" s="442"/>
      <c r="E167" s="448"/>
      <c r="F167" s="442"/>
      <c r="G167" s="451"/>
      <c r="H167" s="362"/>
      <c r="I167" s="344"/>
      <c r="J167" s="345"/>
      <c r="K167" s="346"/>
      <c r="L167" s="344"/>
      <c r="M167" s="347"/>
      <c r="N167" s="347"/>
      <c r="O167" s="348"/>
      <c r="P167" s="453"/>
      <c r="Q167" s="453"/>
      <c r="R167" s="215"/>
      <c r="S167" s="350"/>
      <c r="T167" s="351"/>
      <c r="U167" s="352"/>
      <c r="V167" s="353"/>
      <c r="W167" s="353"/>
      <c r="X167" s="353"/>
      <c r="Y167" s="351"/>
      <c r="Z167" s="353"/>
      <c r="AA167" s="353"/>
      <c r="AB167" s="353"/>
      <c r="AC167" s="353" t="str">
        <f t="shared" si="55"/>
        <v>: 0h *  R$ 0,00/h = R$ 0,00</v>
      </c>
      <c r="AD167" s="353"/>
      <c r="AE167" s="353"/>
      <c r="AF167" s="353"/>
      <c r="AK167" s="2"/>
    </row>
    <row r="168" spans="1:37" ht="15">
      <c r="A168" s="442"/>
      <c r="B168" s="445"/>
      <c r="C168" s="445"/>
      <c r="D168" s="442"/>
      <c r="E168" s="448"/>
      <c r="F168" s="442"/>
      <c r="G168" s="451"/>
      <c r="H168" s="362"/>
      <c r="I168" s="344"/>
      <c r="J168" s="345"/>
      <c r="K168" s="346"/>
      <c r="L168" s="344"/>
      <c r="M168" s="347"/>
      <c r="N168" s="347"/>
      <c r="O168" s="348"/>
      <c r="P168" s="453"/>
      <c r="Q168" s="453"/>
      <c r="R168" s="215"/>
      <c r="S168" s="350"/>
      <c r="T168" s="351"/>
      <c r="U168" s="352"/>
      <c r="V168" s="353"/>
      <c r="W168" s="353"/>
      <c r="X168" s="353"/>
      <c r="Y168" s="351"/>
      <c r="Z168" s="353"/>
      <c r="AA168" s="353"/>
      <c r="AB168" s="353"/>
      <c r="AC168" s="353" t="str">
        <f t="shared" si="55"/>
        <v>: 0h *  R$ 0,00/h = R$ 0,00</v>
      </c>
      <c r="AD168" s="353"/>
      <c r="AE168" s="353"/>
      <c r="AF168" s="353"/>
      <c r="AK168" s="2"/>
    </row>
    <row r="169" spans="1:37" ht="15">
      <c r="A169" s="443"/>
      <c r="B169" s="446"/>
      <c r="C169" s="446"/>
      <c r="D169" s="443"/>
      <c r="E169" s="449"/>
      <c r="F169" s="443"/>
      <c r="G169" s="451"/>
      <c r="H169" s="362"/>
      <c r="I169" s="357"/>
      <c r="J169" s="355"/>
      <c r="K169" s="346">
        <f t="shared" ref="K169" si="56">IFERROR((I169/176)/L169,0)</f>
        <v>0</v>
      </c>
      <c r="L169" s="344"/>
      <c r="M169" s="347"/>
      <c r="N169" s="347"/>
      <c r="O169" s="348">
        <f t="shared" ref="O169" si="57">I169*J169</f>
        <v>0</v>
      </c>
      <c r="P169" s="454"/>
      <c r="Q169" s="454"/>
      <c r="R169" s="215"/>
      <c r="S169" s="358"/>
      <c r="T169" s="350"/>
      <c r="U169" s="352"/>
      <c r="V169" s="349"/>
      <c r="W169" s="353" t="str">
        <f>IFERROR(IF(V169="","",IF(N169="Fábrica",VLOOKUP(V169&amp;"CAPEX",ISS!A:E,5,0),IF(OR(G169="HITSS",G169="GLOBALHITSS",G169="HILDEBRANDO",G169="GLOBAL HITSS"),VLOOKUP(V169,ISS!A271:E272,5,0),VLOOKUP(V169&amp;N169,ISS!A:E,5,0)))),"Classificar")</f>
        <v/>
      </c>
      <c r="X169" s="349"/>
      <c r="Y169" s="356"/>
      <c r="Z169" s="356"/>
      <c r="AA169" s="356"/>
      <c r="AB169" s="356"/>
      <c r="AC169" s="353"/>
      <c r="AD169" s="349"/>
      <c r="AE169" s="349"/>
      <c r="AF169" s="349"/>
      <c r="AK169" s="2"/>
    </row>
    <row r="170" spans="1:37" ht="15">
      <c r="A170" s="216"/>
      <c r="B170" s="216"/>
      <c r="C170" s="216"/>
      <c r="D170" s="216"/>
      <c r="E170" s="216"/>
      <c r="F170" s="216"/>
      <c r="G170" s="216"/>
      <c r="H170" s="238"/>
      <c r="I170" s="216"/>
      <c r="J170" s="217"/>
      <c r="K170" s="216"/>
      <c r="L170" s="218"/>
      <c r="M170" s="216"/>
      <c r="N170" s="219"/>
      <c r="O170" s="216"/>
      <c r="P170" s="218"/>
      <c r="Q170" s="218"/>
      <c r="R170" s="64"/>
      <c r="S170" s="216"/>
      <c r="T170" s="216"/>
      <c r="U170" s="216"/>
      <c r="V170" s="216"/>
      <c r="W170" s="216"/>
      <c r="X170" s="216"/>
      <c r="Y170" s="216"/>
      <c r="Z170" s="216"/>
      <c r="AA170" s="216"/>
      <c r="AB170" s="216"/>
      <c r="AC170" s="360"/>
      <c r="AD170" s="216"/>
      <c r="AE170" s="216"/>
      <c r="AF170" s="216"/>
      <c r="AK170" s="2"/>
    </row>
    <row r="171" spans="1:37" ht="18.75">
      <c r="A171" s="235"/>
      <c r="B171" s="235"/>
      <c r="C171" s="235"/>
      <c r="D171" s="235"/>
      <c r="E171" s="220"/>
      <c r="F171" s="220"/>
      <c r="G171" s="220"/>
      <c r="H171" s="239"/>
      <c r="I171" s="228"/>
      <c r="J171" s="222"/>
      <c r="K171" s="228"/>
      <c r="L171" s="223"/>
      <c r="M171" s="224"/>
      <c r="N171" s="240"/>
      <c r="O171" s="343">
        <f>SUM(O165:O170)</f>
        <v>119116.8</v>
      </c>
      <c r="P171" s="231"/>
      <c r="Q171" s="231"/>
      <c r="R171" s="226"/>
      <c r="S171" s="227"/>
      <c r="T171" s="227"/>
      <c r="U171" s="227"/>
      <c r="V171" s="227"/>
      <c r="W171" s="227"/>
      <c r="X171" s="227"/>
      <c r="Y171" s="227"/>
      <c r="Z171" s="227"/>
      <c r="AA171" s="227"/>
      <c r="AB171" s="227"/>
      <c r="AC171" s="361"/>
      <c r="AD171" s="227"/>
      <c r="AE171" s="227"/>
      <c r="AF171" s="227"/>
      <c r="AK171" s="2"/>
    </row>
    <row r="172" spans="1:37" ht="15">
      <c r="A172" s="441" t="s">
        <v>95</v>
      </c>
      <c r="B172" s="444" t="s">
        <v>20</v>
      </c>
      <c r="C172" s="444" t="s">
        <v>58</v>
      </c>
      <c r="D172" s="441" t="s">
        <v>475</v>
      </c>
      <c r="E172" s="447" t="s">
        <v>527</v>
      </c>
      <c r="F172" s="441" t="s">
        <v>96</v>
      </c>
      <c r="G172" s="450" t="s">
        <v>528</v>
      </c>
      <c r="H172" s="362" t="s">
        <v>479</v>
      </c>
      <c r="I172" s="344">
        <v>94.67</v>
      </c>
      <c r="J172" s="345">
        <v>132.63</v>
      </c>
      <c r="K172" s="346">
        <f>IFERROR((I172/176)/L172,0)</f>
        <v>5.9766414141414148E-2</v>
      </c>
      <c r="L172" s="344">
        <v>9</v>
      </c>
      <c r="M172" s="347" t="s">
        <v>463</v>
      </c>
      <c r="N172" s="347" t="s">
        <v>402</v>
      </c>
      <c r="O172" s="348">
        <f>I172*J172</f>
        <v>12556.0821</v>
      </c>
      <c r="P172" s="452"/>
      <c r="Q172" s="452"/>
      <c r="R172" s="215"/>
      <c r="S172" s="350" t="s">
        <v>464</v>
      </c>
      <c r="T172" s="351" t="s">
        <v>465</v>
      </c>
      <c r="U172" s="352" t="s">
        <v>466</v>
      </c>
      <c r="V172" s="353" t="s">
        <v>467</v>
      </c>
      <c r="W172" s="353"/>
      <c r="X172" s="353" t="s">
        <v>37</v>
      </c>
      <c r="Y172" s="351"/>
      <c r="Z172" s="353"/>
      <c r="AA172" s="353"/>
      <c r="AB172" s="353"/>
      <c r="AC172" s="353" t="str">
        <f>H172&amp;": "&amp;TEXT(I172,"#.##0")&amp;"h *  R$ "&amp; TEXT(J172, "#.##0,00") &amp;"/h = R$ "&amp; TEXT(O172,"#.##0,00")</f>
        <v>AUTOMATIZAÇÃO E PERFORMANCE DE TESTES: 95h *  R$ 132,63/h = R$ 12.556,08</v>
      </c>
      <c r="AD172" s="353"/>
      <c r="AE172" s="353"/>
      <c r="AF172" s="353"/>
      <c r="AK172" s="2"/>
    </row>
    <row r="173" spans="1:37" ht="15">
      <c r="A173" s="442"/>
      <c r="B173" s="445"/>
      <c r="C173" s="445"/>
      <c r="D173" s="442"/>
      <c r="E173" s="448"/>
      <c r="F173" s="442"/>
      <c r="G173" s="451"/>
      <c r="H173" s="362"/>
      <c r="I173" s="344"/>
      <c r="J173" s="345"/>
      <c r="K173" s="346"/>
      <c r="L173" s="344"/>
      <c r="M173" s="347"/>
      <c r="N173" s="347"/>
      <c r="O173" s="348"/>
      <c r="P173" s="453"/>
      <c r="Q173" s="453"/>
      <c r="R173" s="215"/>
      <c r="S173" s="350"/>
      <c r="T173" s="351"/>
      <c r="U173" s="352"/>
      <c r="V173" s="353"/>
      <c r="W173" s="353"/>
      <c r="X173" s="353"/>
      <c r="Y173" s="351"/>
      <c r="Z173" s="353"/>
      <c r="AA173" s="353"/>
      <c r="AB173" s="353"/>
      <c r="AC173" s="353" t="str">
        <f t="shared" ref="AC173:AC175" si="58">H173&amp;": "&amp;TEXT(I173,"#.##0")&amp;"h *  R$ "&amp; TEXT(J173, "#.##0,00") &amp;"/h = R$ "&amp; TEXT(O173,"#.##0,00")</f>
        <v>: 0h *  R$ 0,00/h = R$ 0,00</v>
      </c>
      <c r="AD173" s="353"/>
      <c r="AE173" s="353"/>
      <c r="AF173" s="353"/>
      <c r="AK173" s="2"/>
    </row>
    <row r="174" spans="1:37" ht="15">
      <c r="A174" s="442"/>
      <c r="B174" s="445"/>
      <c r="C174" s="445"/>
      <c r="D174" s="442"/>
      <c r="E174" s="448"/>
      <c r="F174" s="442"/>
      <c r="G174" s="451"/>
      <c r="H174" s="362"/>
      <c r="I174" s="344"/>
      <c r="J174" s="345"/>
      <c r="K174" s="346"/>
      <c r="L174" s="344"/>
      <c r="M174" s="347"/>
      <c r="N174" s="347"/>
      <c r="O174" s="348"/>
      <c r="P174" s="453"/>
      <c r="Q174" s="453"/>
      <c r="R174" s="215"/>
      <c r="S174" s="350"/>
      <c r="T174" s="351"/>
      <c r="U174" s="352"/>
      <c r="V174" s="353"/>
      <c r="W174" s="353"/>
      <c r="X174" s="353"/>
      <c r="Y174" s="351"/>
      <c r="Z174" s="353"/>
      <c r="AA174" s="353"/>
      <c r="AB174" s="353"/>
      <c r="AC174" s="353" t="str">
        <f t="shared" si="58"/>
        <v>: 0h *  R$ 0,00/h = R$ 0,00</v>
      </c>
      <c r="AD174" s="353"/>
      <c r="AE174" s="353"/>
      <c r="AF174" s="353"/>
      <c r="AK174" s="2"/>
    </row>
    <row r="175" spans="1:37" ht="15">
      <c r="A175" s="442"/>
      <c r="B175" s="445"/>
      <c r="C175" s="445"/>
      <c r="D175" s="442"/>
      <c r="E175" s="448"/>
      <c r="F175" s="442"/>
      <c r="G175" s="451"/>
      <c r="H175" s="362"/>
      <c r="I175" s="344"/>
      <c r="J175" s="345"/>
      <c r="K175" s="346"/>
      <c r="L175" s="344"/>
      <c r="M175" s="347"/>
      <c r="N175" s="347"/>
      <c r="O175" s="348"/>
      <c r="P175" s="453"/>
      <c r="Q175" s="453"/>
      <c r="R175" s="215"/>
      <c r="S175" s="350"/>
      <c r="T175" s="351"/>
      <c r="U175" s="352"/>
      <c r="V175" s="353"/>
      <c r="W175" s="353"/>
      <c r="X175" s="353"/>
      <c r="Y175" s="351"/>
      <c r="Z175" s="353"/>
      <c r="AA175" s="353"/>
      <c r="AB175" s="353"/>
      <c r="AC175" s="353" t="str">
        <f t="shared" si="58"/>
        <v>: 0h *  R$ 0,00/h = R$ 0,00</v>
      </c>
      <c r="AD175" s="353"/>
      <c r="AE175" s="353"/>
      <c r="AF175" s="353"/>
      <c r="AK175" s="2"/>
    </row>
    <row r="176" spans="1:37" ht="15">
      <c r="A176" s="443"/>
      <c r="B176" s="446"/>
      <c r="C176" s="446"/>
      <c r="D176" s="443"/>
      <c r="E176" s="449"/>
      <c r="F176" s="443"/>
      <c r="G176" s="451"/>
      <c r="H176" s="362"/>
      <c r="I176" s="357"/>
      <c r="J176" s="355"/>
      <c r="K176" s="346">
        <f t="shared" ref="K176" si="59">IFERROR((I176/176)/L176,0)</f>
        <v>0</v>
      </c>
      <c r="L176" s="344"/>
      <c r="M176" s="347"/>
      <c r="N176" s="347"/>
      <c r="O176" s="348">
        <f t="shared" ref="O176" si="60">I176*J176</f>
        <v>0</v>
      </c>
      <c r="P176" s="454"/>
      <c r="Q176" s="454"/>
      <c r="R176" s="215"/>
      <c r="S176" s="358"/>
      <c r="T176" s="350"/>
      <c r="U176" s="352"/>
      <c r="V176" s="349"/>
      <c r="W176" s="353" t="str">
        <f>IFERROR(IF(V176="","",IF(N176="Fábrica",VLOOKUP(V176&amp;"CAPEX",ISS!A:E,5,0),IF(OR(G176="HITSS",G176="GLOBALHITSS",G176="HILDEBRANDO",G176="GLOBAL HITSS"),VLOOKUP(V176,ISS!A278:E279,5,0),VLOOKUP(V176&amp;N176,ISS!A:E,5,0)))),"Classificar")</f>
        <v/>
      </c>
      <c r="X176" s="349"/>
      <c r="Y176" s="356"/>
      <c r="Z176" s="356"/>
      <c r="AA176" s="356"/>
      <c r="AB176" s="356"/>
      <c r="AC176" s="353"/>
      <c r="AD176" s="349"/>
      <c r="AE176" s="349"/>
      <c r="AF176" s="349"/>
      <c r="AK176" s="2"/>
    </row>
    <row r="177" spans="1:37" ht="15">
      <c r="A177" s="441" t="s">
        <v>95</v>
      </c>
      <c r="B177" s="444" t="s">
        <v>20</v>
      </c>
      <c r="C177" s="444" t="s">
        <v>58</v>
      </c>
      <c r="D177" s="441" t="s">
        <v>529</v>
      </c>
      <c r="E177" s="447" t="s">
        <v>469</v>
      </c>
      <c r="F177" s="441" t="s">
        <v>96</v>
      </c>
      <c r="G177" s="450" t="s">
        <v>530</v>
      </c>
      <c r="H177" s="362" t="s">
        <v>531</v>
      </c>
      <c r="I177" s="344">
        <v>742.3</v>
      </c>
      <c r="J177" s="345">
        <v>137.69999999999999</v>
      </c>
      <c r="K177" s="346">
        <f>IFERROR((I177/176)/L177,0)</f>
        <v>0.70293560606060612</v>
      </c>
      <c r="L177" s="344">
        <v>6</v>
      </c>
      <c r="M177" s="347" t="s">
        <v>463</v>
      </c>
      <c r="N177" s="347" t="s">
        <v>402</v>
      </c>
      <c r="O177" s="348">
        <f>I177*J177</f>
        <v>102214.70999999999</v>
      </c>
      <c r="P177" s="452"/>
      <c r="Q177" s="452"/>
      <c r="R177" s="215"/>
      <c r="S177" s="350" t="s">
        <v>532</v>
      </c>
      <c r="T177" s="351" t="s">
        <v>465</v>
      </c>
      <c r="U177" s="352" t="s">
        <v>466</v>
      </c>
      <c r="V177" s="353" t="s">
        <v>467</v>
      </c>
      <c r="W177" s="353"/>
      <c r="X177" s="353" t="s">
        <v>37</v>
      </c>
      <c r="Y177" s="351"/>
      <c r="Z177" s="353"/>
      <c r="AA177" s="353"/>
      <c r="AB177" s="353"/>
      <c r="AC177" s="353" t="str">
        <f>H177&amp;": "&amp;TEXT(I177,"#.##0")&amp;"h *  R$ "&amp; TEXT(J177, "#.##0,00") &amp;"/h = R$ "&amp; TEXT(O177,"#.##0,00")</f>
        <v>CORE – Arquitetura DEVOPS : 742h *  R$ 137,70/h = R$ 102.214,71</v>
      </c>
      <c r="AD177" s="353"/>
      <c r="AE177" s="353"/>
      <c r="AF177" s="353"/>
      <c r="AK177" s="2"/>
    </row>
    <row r="178" spans="1:37" ht="15">
      <c r="A178" s="442"/>
      <c r="B178" s="445"/>
      <c r="C178" s="445"/>
      <c r="D178" s="442"/>
      <c r="E178" s="448"/>
      <c r="F178" s="442"/>
      <c r="G178" s="451"/>
      <c r="H178" s="362"/>
      <c r="I178" s="344"/>
      <c r="J178" s="345"/>
      <c r="K178" s="346"/>
      <c r="L178" s="344"/>
      <c r="M178" s="347"/>
      <c r="N178" s="347"/>
      <c r="O178" s="348"/>
      <c r="P178" s="453"/>
      <c r="Q178" s="453"/>
      <c r="R178" s="215"/>
      <c r="S178" s="350"/>
      <c r="T178" s="351"/>
      <c r="U178" s="352"/>
      <c r="V178" s="353"/>
      <c r="W178" s="353"/>
      <c r="X178" s="353"/>
      <c r="Y178" s="351"/>
      <c r="Z178" s="353"/>
      <c r="AA178" s="353"/>
      <c r="AB178" s="353"/>
      <c r="AC178" s="353" t="str">
        <f t="shared" ref="AC178:AC180" si="61">H178&amp;": "&amp;TEXT(I178,"#.##0")&amp;"h *  R$ "&amp; TEXT(J178, "#.##0,00") &amp;"/h = R$ "&amp; TEXT(O178,"#.##0,00")</f>
        <v>: 0h *  R$ 0,00/h = R$ 0,00</v>
      </c>
      <c r="AD178" s="353"/>
      <c r="AE178" s="353"/>
      <c r="AF178" s="353"/>
      <c r="AK178" s="2"/>
    </row>
    <row r="179" spans="1:37" ht="15">
      <c r="A179" s="442"/>
      <c r="B179" s="445"/>
      <c r="C179" s="445"/>
      <c r="D179" s="442"/>
      <c r="E179" s="448"/>
      <c r="F179" s="442"/>
      <c r="G179" s="451"/>
      <c r="H179" s="362"/>
      <c r="I179" s="344"/>
      <c r="J179" s="345"/>
      <c r="K179" s="346"/>
      <c r="L179" s="344"/>
      <c r="M179" s="347"/>
      <c r="N179" s="347"/>
      <c r="O179" s="348"/>
      <c r="P179" s="453"/>
      <c r="Q179" s="453"/>
      <c r="R179" s="215"/>
      <c r="S179" s="350"/>
      <c r="T179" s="351"/>
      <c r="U179" s="352"/>
      <c r="V179" s="353"/>
      <c r="W179" s="353"/>
      <c r="X179" s="353"/>
      <c r="Y179" s="351"/>
      <c r="Z179" s="353"/>
      <c r="AA179" s="353"/>
      <c r="AB179" s="353"/>
      <c r="AC179" s="353" t="str">
        <f t="shared" si="61"/>
        <v>: 0h *  R$ 0,00/h = R$ 0,00</v>
      </c>
      <c r="AD179" s="353"/>
      <c r="AE179" s="353"/>
      <c r="AF179" s="353"/>
      <c r="AK179" s="2"/>
    </row>
    <row r="180" spans="1:37" ht="15">
      <c r="A180" s="442"/>
      <c r="B180" s="445"/>
      <c r="C180" s="445"/>
      <c r="D180" s="442"/>
      <c r="E180" s="448"/>
      <c r="F180" s="442"/>
      <c r="G180" s="451"/>
      <c r="H180" s="362"/>
      <c r="I180" s="344"/>
      <c r="J180" s="345"/>
      <c r="K180" s="346"/>
      <c r="L180" s="344"/>
      <c r="M180" s="347"/>
      <c r="N180" s="347"/>
      <c r="O180" s="348"/>
      <c r="P180" s="453"/>
      <c r="Q180" s="453"/>
      <c r="R180" s="215"/>
      <c r="S180" s="350"/>
      <c r="T180" s="351"/>
      <c r="U180" s="352"/>
      <c r="V180" s="353"/>
      <c r="W180" s="353"/>
      <c r="X180" s="353"/>
      <c r="Y180" s="351"/>
      <c r="Z180" s="353"/>
      <c r="AA180" s="353"/>
      <c r="AB180" s="353"/>
      <c r="AC180" s="353" t="str">
        <f t="shared" si="61"/>
        <v>: 0h *  R$ 0,00/h = R$ 0,00</v>
      </c>
      <c r="AD180" s="353"/>
      <c r="AE180" s="353"/>
      <c r="AF180" s="353"/>
      <c r="AK180" s="2"/>
    </row>
    <row r="181" spans="1:37" ht="15">
      <c r="A181" s="443"/>
      <c r="B181" s="446"/>
      <c r="C181" s="446"/>
      <c r="D181" s="443"/>
      <c r="E181" s="449"/>
      <c r="F181" s="443"/>
      <c r="G181" s="451"/>
      <c r="H181" s="362"/>
      <c r="I181" s="357"/>
      <c r="J181" s="355"/>
      <c r="K181" s="346">
        <f t="shared" ref="K181" si="62">IFERROR((I181/176)/L181,0)</f>
        <v>0</v>
      </c>
      <c r="L181" s="344"/>
      <c r="M181" s="347"/>
      <c r="N181" s="347"/>
      <c r="O181" s="348">
        <f t="shared" ref="O181" si="63">I181*J181</f>
        <v>0</v>
      </c>
      <c r="P181" s="454"/>
      <c r="Q181" s="454"/>
      <c r="R181" s="215"/>
      <c r="S181" s="358"/>
      <c r="T181" s="350"/>
      <c r="U181" s="352"/>
      <c r="V181" s="349"/>
      <c r="W181" s="353" t="str">
        <f>IFERROR(IF(V181="","",IF(N181="Fábrica",VLOOKUP(V181&amp;"CAPEX",ISS!A:E,5,0),IF(OR(G181="HITSS",G181="GLOBALHITSS",G181="HILDEBRANDO",G181="GLOBAL HITSS"),VLOOKUP(V181,ISS!A283:E284,5,0),VLOOKUP(V181&amp;N181,ISS!A:E,5,0)))),"Classificar")</f>
        <v/>
      </c>
      <c r="X181" s="349"/>
      <c r="Y181" s="356"/>
      <c r="Z181" s="356"/>
      <c r="AA181" s="356"/>
      <c r="AB181" s="356"/>
      <c r="AC181" s="353"/>
      <c r="AD181" s="349"/>
      <c r="AE181" s="349"/>
      <c r="AF181" s="349"/>
      <c r="AK181" s="2"/>
    </row>
    <row r="182" spans="1:37" ht="15">
      <c r="A182" s="216"/>
      <c r="B182" s="216"/>
      <c r="C182" s="216"/>
      <c r="D182" s="216"/>
      <c r="E182" s="216"/>
      <c r="F182" s="216"/>
      <c r="G182" s="216"/>
      <c r="H182" s="238"/>
      <c r="I182" s="216"/>
      <c r="J182" s="217"/>
      <c r="K182" s="216"/>
      <c r="L182" s="218"/>
      <c r="M182" s="216"/>
      <c r="N182" s="219"/>
      <c r="O182" s="216"/>
      <c r="P182" s="218"/>
      <c r="Q182" s="218"/>
      <c r="R182" s="64"/>
      <c r="S182" s="216"/>
      <c r="T182" s="216"/>
      <c r="U182" s="216"/>
      <c r="V182" s="216"/>
      <c r="W182" s="216"/>
      <c r="X182" s="216"/>
      <c r="Y182" s="216"/>
      <c r="Z182" s="216"/>
      <c r="AA182" s="216"/>
      <c r="AB182" s="216"/>
      <c r="AC182" s="360"/>
      <c r="AD182" s="216"/>
      <c r="AE182" s="216"/>
      <c r="AF182" s="216"/>
      <c r="AK182" s="2"/>
    </row>
    <row r="183" spans="1:37" ht="18.75">
      <c r="A183" s="235"/>
      <c r="B183" s="235"/>
      <c r="C183" s="235"/>
      <c r="D183" s="235"/>
      <c r="E183" s="220"/>
      <c r="F183" s="220"/>
      <c r="G183" s="220"/>
      <c r="H183" s="239"/>
      <c r="I183" s="228"/>
      <c r="J183" s="222"/>
      <c r="K183" s="228"/>
      <c r="L183" s="223"/>
      <c r="M183" s="224"/>
      <c r="N183" s="240"/>
      <c r="O183" s="343">
        <f>SUM(O177:O182)</f>
        <v>102214.70999999999</v>
      </c>
      <c r="P183" s="231"/>
      <c r="Q183" s="231"/>
      <c r="R183" s="226"/>
      <c r="S183" s="227"/>
      <c r="T183" s="227"/>
      <c r="U183" s="227"/>
      <c r="V183" s="227"/>
      <c r="W183" s="227"/>
      <c r="X183" s="227"/>
      <c r="Y183" s="227"/>
      <c r="Z183" s="227"/>
      <c r="AA183" s="227"/>
      <c r="AB183" s="227"/>
      <c r="AC183" s="361"/>
      <c r="AD183" s="227"/>
      <c r="AE183" s="227"/>
      <c r="AF183" s="227"/>
      <c r="AK183" s="2"/>
    </row>
    <row r="184" spans="1:37" ht="15">
      <c r="A184" s="441" t="s">
        <v>95</v>
      </c>
      <c r="B184" s="444" t="s">
        <v>20</v>
      </c>
      <c r="C184" s="444" t="s">
        <v>58</v>
      </c>
      <c r="D184" s="441" t="s">
        <v>475</v>
      </c>
      <c r="E184" s="447" t="s">
        <v>533</v>
      </c>
      <c r="F184" s="441" t="s">
        <v>96</v>
      </c>
      <c r="G184" s="450" t="s">
        <v>530</v>
      </c>
      <c r="H184" s="362" t="s">
        <v>533</v>
      </c>
      <c r="I184" s="344">
        <v>788.7</v>
      </c>
      <c r="J184" s="345">
        <v>129.6</v>
      </c>
      <c r="K184" s="346">
        <f>IFERROR((I184/176)/L184,0)</f>
        <v>0.74687500000000007</v>
      </c>
      <c r="L184" s="344">
        <v>6</v>
      </c>
      <c r="M184" s="347" t="s">
        <v>463</v>
      </c>
      <c r="N184" s="347" t="s">
        <v>402</v>
      </c>
      <c r="O184" s="348">
        <f>I184*J184</f>
        <v>102215.52</v>
      </c>
      <c r="P184" s="452"/>
      <c r="Q184" s="452"/>
      <c r="R184" s="215"/>
      <c r="S184" s="350" t="s">
        <v>532</v>
      </c>
      <c r="T184" s="351" t="s">
        <v>465</v>
      </c>
      <c r="U184" s="352" t="s">
        <v>466</v>
      </c>
      <c r="V184" s="353" t="s">
        <v>467</v>
      </c>
      <c r="W184" s="353"/>
      <c r="X184" s="353" t="s">
        <v>37</v>
      </c>
      <c r="Y184" s="351"/>
      <c r="Z184" s="353"/>
      <c r="AA184" s="353"/>
      <c r="AB184" s="353"/>
      <c r="AC184" s="353" t="str">
        <f>H184&amp;": "&amp;TEXT(I184,"#.##0")&amp;"h *  R$ "&amp; TEXT(J184, "#.##0,00") &amp;"/h = R$ "&amp; TEXT(O184,"#.##0,00")</f>
        <v>CORE – Liderança Técnica: 789h *  R$ 129,60/h = R$ 102.215,52</v>
      </c>
      <c r="AD184" s="353"/>
      <c r="AE184" s="353"/>
      <c r="AF184" s="353"/>
      <c r="AK184" s="2"/>
    </row>
    <row r="185" spans="1:37" ht="15">
      <c r="A185" s="442"/>
      <c r="B185" s="445"/>
      <c r="C185" s="445"/>
      <c r="D185" s="442"/>
      <c r="E185" s="448"/>
      <c r="F185" s="442"/>
      <c r="G185" s="451"/>
      <c r="H185" s="362"/>
      <c r="I185" s="344"/>
      <c r="J185" s="345"/>
      <c r="K185" s="346"/>
      <c r="L185" s="344"/>
      <c r="M185" s="347"/>
      <c r="N185" s="347"/>
      <c r="O185" s="348"/>
      <c r="P185" s="453"/>
      <c r="Q185" s="453"/>
      <c r="R185" s="215"/>
      <c r="S185" s="350"/>
      <c r="T185" s="351"/>
      <c r="U185" s="352"/>
      <c r="V185" s="353"/>
      <c r="W185" s="353"/>
      <c r="X185" s="353"/>
      <c r="Y185" s="351"/>
      <c r="Z185" s="353"/>
      <c r="AA185" s="353"/>
      <c r="AB185" s="353"/>
      <c r="AC185" s="353" t="str">
        <f t="shared" ref="AC185:AC187" si="64">H185&amp;": "&amp;TEXT(I185,"#.##0")&amp;"h *  R$ "&amp; TEXT(J185, "#.##0,00") &amp;"/h = R$ "&amp; TEXT(O185,"#.##0,00")</f>
        <v>: 0h *  R$ 0,00/h = R$ 0,00</v>
      </c>
      <c r="AD185" s="353"/>
      <c r="AE185" s="353"/>
      <c r="AF185" s="353"/>
      <c r="AK185" s="2"/>
    </row>
    <row r="186" spans="1:37" ht="15">
      <c r="A186" s="442"/>
      <c r="B186" s="445"/>
      <c r="C186" s="445"/>
      <c r="D186" s="442"/>
      <c r="E186" s="448"/>
      <c r="F186" s="442"/>
      <c r="G186" s="451"/>
      <c r="H186" s="362"/>
      <c r="I186" s="344"/>
      <c r="J186" s="345"/>
      <c r="K186" s="346"/>
      <c r="L186" s="344"/>
      <c r="M186" s="347"/>
      <c r="N186" s="347"/>
      <c r="O186" s="348"/>
      <c r="P186" s="453"/>
      <c r="Q186" s="453"/>
      <c r="R186" s="215"/>
      <c r="S186" s="350"/>
      <c r="T186" s="351"/>
      <c r="U186" s="352"/>
      <c r="V186" s="353"/>
      <c r="W186" s="353"/>
      <c r="X186" s="353"/>
      <c r="Y186" s="351"/>
      <c r="Z186" s="353"/>
      <c r="AA186" s="353"/>
      <c r="AB186" s="353"/>
      <c r="AC186" s="353" t="str">
        <f t="shared" si="64"/>
        <v>: 0h *  R$ 0,00/h = R$ 0,00</v>
      </c>
      <c r="AD186" s="353"/>
      <c r="AE186" s="353"/>
      <c r="AF186" s="353"/>
      <c r="AK186" s="2"/>
    </row>
    <row r="187" spans="1:37" ht="15">
      <c r="A187" s="442"/>
      <c r="B187" s="445"/>
      <c r="C187" s="445"/>
      <c r="D187" s="442"/>
      <c r="E187" s="448"/>
      <c r="F187" s="442"/>
      <c r="G187" s="451"/>
      <c r="H187" s="362"/>
      <c r="I187" s="344"/>
      <c r="J187" s="345"/>
      <c r="K187" s="346"/>
      <c r="L187" s="344"/>
      <c r="M187" s="347"/>
      <c r="N187" s="347"/>
      <c r="O187" s="348"/>
      <c r="P187" s="453"/>
      <c r="Q187" s="453"/>
      <c r="R187" s="215"/>
      <c r="S187" s="350"/>
      <c r="T187" s="351"/>
      <c r="U187" s="352"/>
      <c r="V187" s="353"/>
      <c r="W187" s="353"/>
      <c r="X187" s="353"/>
      <c r="Y187" s="351"/>
      <c r="Z187" s="353"/>
      <c r="AA187" s="353"/>
      <c r="AB187" s="353"/>
      <c r="AC187" s="353" t="str">
        <f t="shared" si="64"/>
        <v>: 0h *  R$ 0,00/h = R$ 0,00</v>
      </c>
      <c r="AD187" s="353"/>
      <c r="AE187" s="353"/>
      <c r="AF187" s="353"/>
      <c r="AK187" s="2"/>
    </row>
    <row r="188" spans="1:37" ht="15">
      <c r="A188" s="443"/>
      <c r="B188" s="446"/>
      <c r="C188" s="446"/>
      <c r="D188" s="443"/>
      <c r="E188" s="449"/>
      <c r="F188" s="443"/>
      <c r="G188" s="451"/>
      <c r="H188" s="362"/>
      <c r="I188" s="357"/>
      <c r="J188" s="355"/>
      <c r="K188" s="346">
        <f t="shared" ref="K188" si="65">IFERROR((I188/176)/L188,0)</f>
        <v>0</v>
      </c>
      <c r="L188" s="344"/>
      <c r="M188" s="347"/>
      <c r="N188" s="347"/>
      <c r="O188" s="348">
        <f t="shared" ref="O188" si="66">I188*J188</f>
        <v>0</v>
      </c>
      <c r="P188" s="454"/>
      <c r="Q188" s="454"/>
      <c r="R188" s="215"/>
      <c r="S188" s="358"/>
      <c r="T188" s="350"/>
      <c r="U188" s="352"/>
      <c r="V188" s="349"/>
      <c r="W188" s="353" t="str">
        <f>IFERROR(IF(V188="","",IF(N188="Fábrica",VLOOKUP(V188&amp;"CAPEX",ISS!A:E,5,0),IF(OR(G188="HITSS",G188="GLOBALHITSS",G188="HILDEBRANDO",G188="GLOBAL HITSS"),VLOOKUP(V188,ISS!A290:E291,5,0),VLOOKUP(V188&amp;N188,ISS!A:E,5,0)))),"Classificar")</f>
        <v/>
      </c>
      <c r="X188" s="349"/>
      <c r="Y188" s="356"/>
      <c r="Z188" s="356"/>
      <c r="AA188" s="356"/>
      <c r="AB188" s="356"/>
      <c r="AC188" s="353"/>
      <c r="AD188" s="349"/>
      <c r="AE188" s="349"/>
      <c r="AF188" s="349"/>
      <c r="AK188" s="2"/>
    </row>
    <row r="189" spans="1:37" ht="15">
      <c r="A189" s="216"/>
      <c r="B189" s="216"/>
      <c r="C189" s="216"/>
      <c r="D189" s="216"/>
      <c r="E189" s="216"/>
      <c r="F189" s="216"/>
      <c r="G189" s="216"/>
      <c r="H189" s="238"/>
      <c r="I189" s="216"/>
      <c r="J189" s="217"/>
      <c r="K189" s="216"/>
      <c r="L189" s="218"/>
      <c r="M189" s="216"/>
      <c r="N189" s="219"/>
      <c r="O189" s="216"/>
      <c r="P189" s="218"/>
      <c r="Q189" s="218"/>
      <c r="R189" s="64"/>
      <c r="S189" s="216"/>
      <c r="T189" s="216"/>
      <c r="U189" s="216"/>
      <c r="V189" s="216"/>
      <c r="W189" s="216"/>
      <c r="X189" s="216"/>
      <c r="Y189" s="216"/>
      <c r="Z189" s="216"/>
      <c r="AA189" s="216"/>
      <c r="AB189" s="216"/>
      <c r="AC189" s="360"/>
      <c r="AD189" s="216"/>
      <c r="AE189" s="216"/>
      <c r="AF189" s="216"/>
      <c r="AK189" s="2"/>
    </row>
    <row r="190" spans="1:37" ht="18.75">
      <c r="A190" s="235"/>
      <c r="B190" s="235"/>
      <c r="C190" s="235"/>
      <c r="D190" s="235"/>
      <c r="E190" s="220"/>
      <c r="F190" s="220"/>
      <c r="G190" s="220"/>
      <c r="H190" s="239"/>
      <c r="I190" s="228"/>
      <c r="J190" s="222"/>
      <c r="K190" s="228"/>
      <c r="L190" s="223"/>
      <c r="M190" s="224"/>
      <c r="N190" s="240"/>
      <c r="O190" s="343">
        <f>SUM(O184:O189)</f>
        <v>102215.52</v>
      </c>
      <c r="P190" s="231"/>
      <c r="Q190" s="231"/>
      <c r="R190" s="226"/>
      <c r="S190" s="227"/>
      <c r="T190" s="227"/>
      <c r="U190" s="227"/>
      <c r="V190" s="227"/>
      <c r="W190" s="227"/>
      <c r="X190" s="227"/>
      <c r="Y190" s="227"/>
      <c r="Z190" s="227"/>
      <c r="AA190" s="227"/>
      <c r="AB190" s="227"/>
      <c r="AC190" s="361"/>
      <c r="AD190" s="227"/>
      <c r="AE190" s="227"/>
      <c r="AF190" s="227"/>
      <c r="AK190" s="2"/>
    </row>
    <row r="191" spans="1:37" ht="15">
      <c r="A191" s="441" t="s">
        <v>95</v>
      </c>
      <c r="B191" s="444" t="s">
        <v>20</v>
      </c>
      <c r="C191" s="444" t="s">
        <v>58</v>
      </c>
      <c r="D191" s="441" t="s">
        <v>534</v>
      </c>
      <c r="E191" s="455" t="s">
        <v>535</v>
      </c>
      <c r="F191" s="441" t="s">
        <v>96</v>
      </c>
      <c r="G191" s="450" t="s">
        <v>461</v>
      </c>
      <c r="H191" s="362" t="s">
        <v>536</v>
      </c>
      <c r="I191" s="344">
        <v>796.46</v>
      </c>
      <c r="J191" s="345">
        <v>186</v>
      </c>
      <c r="K191" s="346">
        <f>IFERROR((I191/176)/L191,0)</f>
        <v>0.75422348484848489</v>
      </c>
      <c r="L191" s="344">
        <v>6</v>
      </c>
      <c r="M191" s="347" t="s">
        <v>463</v>
      </c>
      <c r="N191" s="347" t="s">
        <v>402</v>
      </c>
      <c r="O191" s="348">
        <f>I191*J191</f>
        <v>148141.56</v>
      </c>
      <c r="P191" s="452"/>
      <c r="Q191" s="452"/>
      <c r="R191" s="215"/>
      <c r="S191" s="350" t="s">
        <v>532</v>
      </c>
      <c r="T191" s="351" t="s">
        <v>465</v>
      </c>
      <c r="U191" s="352" t="s">
        <v>466</v>
      </c>
      <c r="V191" s="353" t="s">
        <v>467</v>
      </c>
      <c r="W191" s="353"/>
      <c r="X191" s="353" t="s">
        <v>37</v>
      </c>
      <c r="Y191" s="351"/>
      <c r="Z191" s="353"/>
      <c r="AA191" s="353"/>
      <c r="AB191" s="353"/>
      <c r="AC191" s="353" t="str">
        <f>H191&amp;": "&amp;TEXT(I191,"#.##0")&amp;"h *  R$ "&amp; TEXT(J191, "#.##0,00") &amp;"/h = R$ "&amp; TEXT(O191,"#.##0,00")</f>
        <v>ANÁLISE DE DESENVOLVIMENTO: 796h *  R$ 186,00/h = R$ 148.141,56</v>
      </c>
      <c r="AD191" s="353"/>
      <c r="AE191" s="353"/>
      <c r="AF191" s="353"/>
      <c r="AK191" s="2"/>
    </row>
    <row r="192" spans="1:37" ht="15">
      <c r="A192" s="442"/>
      <c r="B192" s="445"/>
      <c r="C192" s="445"/>
      <c r="D192" s="442"/>
      <c r="E192" s="448"/>
      <c r="F192" s="442"/>
      <c r="G192" s="451"/>
      <c r="H192" s="362"/>
      <c r="I192" s="344"/>
      <c r="J192" s="345"/>
      <c r="K192" s="346"/>
      <c r="L192" s="344"/>
      <c r="M192" s="347"/>
      <c r="N192" s="347"/>
      <c r="O192" s="348"/>
      <c r="P192" s="453"/>
      <c r="Q192" s="453"/>
      <c r="R192" s="215"/>
      <c r="S192" s="350"/>
      <c r="T192" s="351"/>
      <c r="U192" s="352"/>
      <c r="V192" s="353"/>
      <c r="W192" s="353"/>
      <c r="X192" s="353"/>
      <c r="Y192" s="351"/>
      <c r="Z192" s="353"/>
      <c r="AA192" s="353"/>
      <c r="AB192" s="353"/>
      <c r="AC192" s="353" t="str">
        <f t="shared" ref="AC192:AC194" si="67">H192&amp;": "&amp;TEXT(I192,"#.##0")&amp;"h *  R$ "&amp; TEXT(J192, "#.##0,00") &amp;"/h = R$ "&amp; TEXT(O192,"#.##0,00")</f>
        <v>: 0h *  R$ 0,00/h = R$ 0,00</v>
      </c>
      <c r="AD192" s="353"/>
      <c r="AE192" s="353"/>
      <c r="AF192" s="353"/>
      <c r="AK192" s="2"/>
    </row>
    <row r="193" spans="1:37" ht="15">
      <c r="A193" s="442"/>
      <c r="B193" s="445"/>
      <c r="C193" s="445"/>
      <c r="D193" s="442"/>
      <c r="E193" s="448"/>
      <c r="F193" s="442"/>
      <c r="G193" s="451"/>
      <c r="H193" s="362"/>
      <c r="I193" s="344"/>
      <c r="J193" s="345"/>
      <c r="K193" s="346"/>
      <c r="L193" s="344"/>
      <c r="M193" s="347"/>
      <c r="N193" s="347"/>
      <c r="O193" s="348"/>
      <c r="P193" s="453"/>
      <c r="Q193" s="453"/>
      <c r="R193" s="215"/>
      <c r="S193" s="350"/>
      <c r="T193" s="351"/>
      <c r="U193" s="352"/>
      <c r="V193" s="353"/>
      <c r="W193" s="353"/>
      <c r="X193" s="353"/>
      <c r="Y193" s="351"/>
      <c r="Z193" s="353"/>
      <c r="AA193" s="353"/>
      <c r="AB193" s="353"/>
      <c r="AC193" s="353" t="str">
        <f t="shared" si="67"/>
        <v>: 0h *  R$ 0,00/h = R$ 0,00</v>
      </c>
      <c r="AD193" s="353"/>
      <c r="AE193" s="353"/>
      <c r="AF193" s="353"/>
      <c r="AK193" s="2"/>
    </row>
    <row r="194" spans="1:37" ht="15">
      <c r="A194" s="442"/>
      <c r="B194" s="445"/>
      <c r="C194" s="445"/>
      <c r="D194" s="442"/>
      <c r="E194" s="448"/>
      <c r="F194" s="442"/>
      <c r="G194" s="451"/>
      <c r="H194" s="362"/>
      <c r="I194" s="344"/>
      <c r="J194" s="345"/>
      <c r="K194" s="346"/>
      <c r="L194" s="344"/>
      <c r="M194" s="347"/>
      <c r="N194" s="347"/>
      <c r="O194" s="348"/>
      <c r="P194" s="453"/>
      <c r="Q194" s="453"/>
      <c r="R194" s="215"/>
      <c r="S194" s="350"/>
      <c r="T194" s="351"/>
      <c r="U194" s="352"/>
      <c r="V194" s="353"/>
      <c r="W194" s="353"/>
      <c r="X194" s="353"/>
      <c r="Y194" s="351"/>
      <c r="Z194" s="353"/>
      <c r="AA194" s="353"/>
      <c r="AB194" s="353"/>
      <c r="AC194" s="353" t="str">
        <f t="shared" si="67"/>
        <v>: 0h *  R$ 0,00/h = R$ 0,00</v>
      </c>
      <c r="AD194" s="353"/>
      <c r="AE194" s="353"/>
      <c r="AF194" s="353"/>
      <c r="AK194" s="2"/>
    </row>
    <row r="195" spans="1:37" ht="15">
      <c r="A195" s="443"/>
      <c r="B195" s="446"/>
      <c r="C195" s="446"/>
      <c r="D195" s="443"/>
      <c r="E195" s="449"/>
      <c r="F195" s="443"/>
      <c r="G195" s="451"/>
      <c r="H195" s="362"/>
      <c r="I195" s="357"/>
      <c r="J195" s="355"/>
      <c r="K195" s="346">
        <f t="shared" ref="K195" si="68">IFERROR((I195/176)/L195,0)</f>
        <v>0</v>
      </c>
      <c r="L195" s="344"/>
      <c r="M195" s="347"/>
      <c r="N195" s="347"/>
      <c r="O195" s="348">
        <f t="shared" ref="O195" si="69">I195*J195</f>
        <v>0</v>
      </c>
      <c r="P195" s="454"/>
      <c r="Q195" s="454"/>
      <c r="R195" s="215"/>
      <c r="S195" s="358"/>
      <c r="T195" s="350"/>
      <c r="U195" s="352"/>
      <c r="V195" s="349"/>
      <c r="W195" s="353" t="str">
        <f>IFERROR(IF(V195="","",IF(N195="Fábrica",VLOOKUP(V195&amp;"CAPEX",ISS!A:E,5,0),IF(OR(G195="HITSS",G195="GLOBALHITSS",G195="HILDEBRANDO",G195="GLOBAL HITSS"),VLOOKUP(V195,ISS!A297:E298,5,0),VLOOKUP(V195&amp;N195,ISS!A:E,5,0)))),"Classificar")</f>
        <v/>
      </c>
      <c r="X195" s="349"/>
      <c r="Y195" s="356"/>
      <c r="Z195" s="356"/>
      <c r="AA195" s="356"/>
      <c r="AB195" s="356"/>
      <c r="AC195" s="353"/>
      <c r="AD195" s="349"/>
      <c r="AE195" s="349"/>
      <c r="AF195" s="349"/>
      <c r="AK195" s="2"/>
    </row>
    <row r="196" spans="1:37" ht="15">
      <c r="A196" s="216"/>
      <c r="B196" s="216"/>
      <c r="C196" s="216"/>
      <c r="D196" s="216"/>
      <c r="E196" s="216"/>
      <c r="F196" s="216"/>
      <c r="G196" s="216"/>
      <c r="H196" s="238"/>
      <c r="I196" s="216"/>
      <c r="J196" s="217"/>
      <c r="K196" s="216"/>
      <c r="L196" s="218"/>
      <c r="M196" s="216"/>
      <c r="N196" s="219"/>
      <c r="O196" s="216"/>
      <c r="P196" s="218"/>
      <c r="Q196" s="218"/>
      <c r="R196" s="64"/>
      <c r="S196" s="216"/>
      <c r="T196" s="216"/>
      <c r="U196" s="216"/>
      <c r="V196" s="216"/>
      <c r="W196" s="216"/>
      <c r="X196" s="216"/>
      <c r="Y196" s="216"/>
      <c r="Z196" s="216"/>
      <c r="AA196" s="216"/>
      <c r="AB196" s="216"/>
      <c r="AC196" s="360"/>
      <c r="AD196" s="216"/>
      <c r="AE196" s="216"/>
      <c r="AF196" s="216"/>
      <c r="AK196" s="2"/>
    </row>
    <row r="197" spans="1:37" ht="18.75">
      <c r="A197" s="235"/>
      <c r="B197" s="235"/>
      <c r="C197" s="235"/>
      <c r="D197" s="235"/>
      <c r="E197" s="220"/>
      <c r="F197" s="220"/>
      <c r="G197" s="220"/>
      <c r="H197" s="239"/>
      <c r="I197" s="228"/>
      <c r="J197" s="222"/>
      <c r="K197" s="228"/>
      <c r="L197" s="223"/>
      <c r="M197" s="224"/>
      <c r="N197" s="240"/>
      <c r="O197" s="343">
        <f>SUM(O191:O196)</f>
        <v>148141.56</v>
      </c>
      <c r="P197" s="231"/>
      <c r="Q197" s="231"/>
      <c r="R197" s="226"/>
      <c r="S197" s="227"/>
      <c r="T197" s="227"/>
      <c r="U197" s="227"/>
      <c r="V197" s="227"/>
      <c r="W197" s="227"/>
      <c r="X197" s="227"/>
      <c r="Y197" s="227"/>
      <c r="Z197" s="227"/>
      <c r="AA197" s="227"/>
      <c r="AB197" s="227"/>
      <c r="AC197" s="361"/>
      <c r="AD197" s="227"/>
      <c r="AE197" s="227"/>
      <c r="AF197" s="227"/>
      <c r="AK197" s="2"/>
    </row>
    <row r="198" spans="1:37" ht="15">
      <c r="A198" s="441" t="s">
        <v>95</v>
      </c>
      <c r="B198" s="444" t="s">
        <v>20</v>
      </c>
      <c r="C198" s="444" t="s">
        <v>58</v>
      </c>
      <c r="D198" s="441" t="s">
        <v>485</v>
      </c>
      <c r="E198" s="447" t="s">
        <v>537</v>
      </c>
      <c r="F198" s="441" t="s">
        <v>96</v>
      </c>
      <c r="G198" s="450" t="s">
        <v>511</v>
      </c>
      <c r="H198" s="362" t="s">
        <v>538</v>
      </c>
      <c r="I198" s="344">
        <v>204.06</v>
      </c>
      <c r="J198" s="345">
        <v>103.5</v>
      </c>
      <c r="K198" s="346">
        <f>IFERROR((I198/176)/L198,0)</f>
        <v>0.38647727272727272</v>
      </c>
      <c r="L198" s="344">
        <v>3</v>
      </c>
      <c r="M198" s="347" t="s">
        <v>463</v>
      </c>
      <c r="N198" s="347" t="s">
        <v>402</v>
      </c>
      <c r="O198" s="348">
        <f>I198*J198</f>
        <v>21120.21</v>
      </c>
      <c r="P198" s="452"/>
      <c r="Q198" s="452"/>
      <c r="R198" s="215"/>
      <c r="S198" s="350" t="s">
        <v>539</v>
      </c>
      <c r="T198" s="351" t="s">
        <v>465</v>
      </c>
      <c r="U198" s="352" t="s">
        <v>466</v>
      </c>
      <c r="V198" s="353" t="s">
        <v>467</v>
      </c>
      <c r="W198" s="353"/>
      <c r="X198" s="353" t="s">
        <v>37</v>
      </c>
      <c r="Y198" s="351"/>
      <c r="Z198" s="353"/>
      <c r="AA198" s="353"/>
      <c r="AB198" s="353"/>
      <c r="AC198" s="353" t="str">
        <f>H198&amp;": "&amp;TEXT(I198,"#.##0")&amp;"h *  R$ "&amp; TEXT(J198, "#.##0,00") &amp;"/h = R$ "&amp; TEXT(O198,"#.##0,00")</f>
        <v>SUPORTE OGS - SERVIÇO ESPECIALIZADO DE SUPORTE: 204h *  R$ 103,50/h = R$ 21.120,21</v>
      </c>
      <c r="AD198" s="353"/>
      <c r="AE198" s="353"/>
      <c r="AF198" s="353"/>
      <c r="AK198" s="2"/>
    </row>
    <row r="199" spans="1:37" ht="15">
      <c r="A199" s="442"/>
      <c r="B199" s="445"/>
      <c r="C199" s="445"/>
      <c r="D199" s="442"/>
      <c r="E199" s="448"/>
      <c r="F199" s="442"/>
      <c r="G199" s="451"/>
      <c r="H199" s="362"/>
      <c r="I199" s="344"/>
      <c r="J199" s="345"/>
      <c r="K199" s="346"/>
      <c r="L199" s="344"/>
      <c r="M199" s="347"/>
      <c r="N199" s="347"/>
      <c r="O199" s="348"/>
      <c r="P199" s="453"/>
      <c r="Q199" s="453"/>
      <c r="R199" s="215"/>
      <c r="S199" s="350"/>
      <c r="T199" s="351"/>
      <c r="U199" s="352"/>
      <c r="V199" s="353"/>
      <c r="W199" s="353"/>
      <c r="X199" s="353"/>
      <c r="Y199" s="351"/>
      <c r="Z199" s="353"/>
      <c r="AA199" s="353"/>
      <c r="AB199" s="353"/>
      <c r="AC199" s="353" t="str">
        <f t="shared" ref="AC199:AC201" si="70">H199&amp;": "&amp;TEXT(I199,"#.##0")&amp;"h *  R$ "&amp; TEXT(J199, "#.##0,00") &amp;"/h = R$ "&amp; TEXT(O199,"#.##0,00")</f>
        <v>: 0h *  R$ 0,00/h = R$ 0,00</v>
      </c>
      <c r="AD199" s="353"/>
      <c r="AE199" s="353"/>
      <c r="AF199" s="353"/>
      <c r="AK199" s="2"/>
    </row>
    <row r="200" spans="1:37" ht="15">
      <c r="A200" s="442"/>
      <c r="B200" s="445"/>
      <c r="C200" s="445"/>
      <c r="D200" s="442"/>
      <c r="E200" s="448"/>
      <c r="F200" s="442"/>
      <c r="G200" s="451"/>
      <c r="H200" s="362"/>
      <c r="I200" s="344"/>
      <c r="J200" s="345"/>
      <c r="K200" s="346"/>
      <c r="L200" s="344"/>
      <c r="M200" s="347"/>
      <c r="N200" s="347"/>
      <c r="O200" s="348"/>
      <c r="P200" s="453"/>
      <c r="Q200" s="453"/>
      <c r="R200" s="215"/>
      <c r="S200" s="350"/>
      <c r="T200" s="351"/>
      <c r="U200" s="352"/>
      <c r="V200" s="353"/>
      <c r="W200" s="353"/>
      <c r="X200" s="353"/>
      <c r="Y200" s="351"/>
      <c r="Z200" s="353"/>
      <c r="AA200" s="353"/>
      <c r="AB200" s="353"/>
      <c r="AC200" s="353" t="str">
        <f t="shared" si="70"/>
        <v>: 0h *  R$ 0,00/h = R$ 0,00</v>
      </c>
      <c r="AD200" s="353"/>
      <c r="AE200" s="353"/>
      <c r="AF200" s="353"/>
      <c r="AK200" s="2"/>
    </row>
    <row r="201" spans="1:37" ht="15">
      <c r="A201" s="442"/>
      <c r="B201" s="445"/>
      <c r="C201" s="445"/>
      <c r="D201" s="442"/>
      <c r="E201" s="448"/>
      <c r="F201" s="442"/>
      <c r="G201" s="451"/>
      <c r="H201" s="362"/>
      <c r="I201" s="344"/>
      <c r="J201" s="345"/>
      <c r="K201" s="346"/>
      <c r="L201" s="344"/>
      <c r="M201" s="347"/>
      <c r="N201" s="347"/>
      <c r="O201" s="348"/>
      <c r="P201" s="453"/>
      <c r="Q201" s="453"/>
      <c r="R201" s="215"/>
      <c r="S201" s="350"/>
      <c r="T201" s="351"/>
      <c r="U201" s="352"/>
      <c r="V201" s="353"/>
      <c r="W201" s="353"/>
      <c r="X201" s="353"/>
      <c r="Y201" s="351"/>
      <c r="Z201" s="353"/>
      <c r="AA201" s="353"/>
      <c r="AB201" s="353"/>
      <c r="AC201" s="353" t="str">
        <f t="shared" si="70"/>
        <v>: 0h *  R$ 0,00/h = R$ 0,00</v>
      </c>
      <c r="AD201" s="353"/>
      <c r="AE201" s="353"/>
      <c r="AF201" s="353"/>
      <c r="AK201" s="2"/>
    </row>
    <row r="202" spans="1:37" ht="15">
      <c r="A202" s="443"/>
      <c r="B202" s="446"/>
      <c r="C202" s="446"/>
      <c r="D202" s="443"/>
      <c r="E202" s="449"/>
      <c r="F202" s="443"/>
      <c r="G202" s="451"/>
      <c r="H202" s="362"/>
      <c r="I202" s="357"/>
      <c r="J202" s="355"/>
      <c r="K202" s="346">
        <f t="shared" ref="K202" si="71">IFERROR((I202/176)/L202,0)</f>
        <v>0</v>
      </c>
      <c r="L202" s="344"/>
      <c r="M202" s="347"/>
      <c r="N202" s="347"/>
      <c r="O202" s="348">
        <f t="shared" ref="O202" si="72">I202*J202</f>
        <v>0</v>
      </c>
      <c r="P202" s="454"/>
      <c r="Q202" s="454"/>
      <c r="R202" s="215"/>
      <c r="S202" s="358"/>
      <c r="T202" s="350"/>
      <c r="U202" s="352"/>
      <c r="V202" s="349"/>
      <c r="W202" s="353" t="str">
        <f>IFERROR(IF(V202="","",IF(N202="Fábrica",VLOOKUP(V202&amp;"CAPEX",ISS!A:E,5,0),IF(OR(G202="HITSS",G202="GLOBALHITSS",G202="HILDEBRANDO",G202="GLOBAL HITSS"),VLOOKUP(V202,ISS!A304:E305,5,0),VLOOKUP(V202&amp;N202,ISS!A:E,5,0)))),"Classificar")</f>
        <v/>
      </c>
      <c r="X202" s="349"/>
      <c r="Y202" s="356"/>
      <c r="Z202" s="356"/>
      <c r="AA202" s="356"/>
      <c r="AB202" s="356"/>
      <c r="AC202" s="353"/>
      <c r="AD202" s="349"/>
      <c r="AE202" s="349"/>
      <c r="AF202" s="349"/>
      <c r="AK202" s="2"/>
    </row>
    <row r="203" spans="1:37" ht="15">
      <c r="A203" s="216"/>
      <c r="B203" s="216"/>
      <c r="C203" s="216"/>
      <c r="D203" s="216"/>
      <c r="E203" s="216"/>
      <c r="F203" s="216"/>
      <c r="G203" s="216"/>
      <c r="H203" s="238"/>
      <c r="I203" s="216"/>
      <c r="J203" s="217"/>
      <c r="K203" s="216"/>
      <c r="L203" s="218"/>
      <c r="M203" s="216"/>
      <c r="N203" s="219"/>
      <c r="O203" s="216"/>
      <c r="P203" s="218"/>
      <c r="Q203" s="218"/>
      <c r="R203" s="64"/>
      <c r="S203" s="216"/>
      <c r="T203" s="216"/>
      <c r="U203" s="216"/>
      <c r="V203" s="216"/>
      <c r="W203" s="216"/>
      <c r="X203" s="216"/>
      <c r="Y203" s="216"/>
      <c r="Z203" s="216"/>
      <c r="AA203" s="216"/>
      <c r="AB203" s="216"/>
      <c r="AC203" s="360"/>
      <c r="AD203" s="216"/>
      <c r="AE203" s="216"/>
      <c r="AF203" s="216"/>
      <c r="AK203" s="2"/>
    </row>
    <row r="204" spans="1:37" ht="18.75">
      <c r="A204" s="235"/>
      <c r="B204" s="235"/>
      <c r="C204" s="235"/>
      <c r="D204" s="235"/>
      <c r="E204" s="220"/>
      <c r="F204" s="220"/>
      <c r="G204" s="220"/>
      <c r="H204" s="239"/>
      <c r="I204" s="228"/>
      <c r="J204" s="222"/>
      <c r="K204" s="228"/>
      <c r="L204" s="223"/>
      <c r="M204" s="224"/>
      <c r="N204" s="240"/>
      <c r="O204" s="343">
        <f>SUM(O198:O203)</f>
        <v>21120.21</v>
      </c>
      <c r="P204" s="231"/>
      <c r="Q204" s="231"/>
      <c r="R204" s="226"/>
      <c r="S204" s="227"/>
      <c r="T204" s="227"/>
      <c r="U204" s="227"/>
      <c r="V204" s="227"/>
      <c r="W204" s="227"/>
      <c r="X204" s="227"/>
      <c r="Y204" s="227"/>
      <c r="Z204" s="227"/>
      <c r="AA204" s="227"/>
      <c r="AB204" s="227"/>
      <c r="AC204" s="361"/>
      <c r="AD204" s="227"/>
      <c r="AE204" s="227"/>
      <c r="AF204" s="227"/>
      <c r="AK204" s="2"/>
    </row>
    <row r="205" spans="1:37" ht="15"/>
    <row r="206" spans="1:37" ht="15"/>
    <row r="207" spans="1:37" ht="15"/>
    <row r="208" spans="1:37" ht="15"/>
    <row r="209" ht="15"/>
  </sheetData>
  <sheetProtection insertRows="0" autoFilter="0"/>
  <mergeCells count="261">
    <mergeCell ref="A172:A176"/>
    <mergeCell ref="B172:B176"/>
    <mergeCell ref="C172:C176"/>
    <mergeCell ref="D172:D176"/>
    <mergeCell ref="E172:E176"/>
    <mergeCell ref="F172:F176"/>
    <mergeCell ref="G172:G176"/>
    <mergeCell ref="P172:P176"/>
    <mergeCell ref="Q172:Q176"/>
    <mergeCell ref="A165:A169"/>
    <mergeCell ref="B165:B169"/>
    <mergeCell ref="C165:C169"/>
    <mergeCell ref="D165:D169"/>
    <mergeCell ref="E165:E169"/>
    <mergeCell ref="F165:F169"/>
    <mergeCell ref="G165:G169"/>
    <mergeCell ref="P165:P169"/>
    <mergeCell ref="Q165:Q169"/>
    <mergeCell ref="A128:A132"/>
    <mergeCell ref="B128:B132"/>
    <mergeCell ref="C128:C132"/>
    <mergeCell ref="D128:D132"/>
    <mergeCell ref="E128:E132"/>
    <mergeCell ref="F128:F132"/>
    <mergeCell ref="G128:G132"/>
    <mergeCell ref="P128:P132"/>
    <mergeCell ref="Q128:Q132"/>
    <mergeCell ref="P114:P118"/>
    <mergeCell ref="Q114:Q118"/>
    <mergeCell ref="A121:A125"/>
    <mergeCell ref="B121:B125"/>
    <mergeCell ref="C121:C125"/>
    <mergeCell ref="D121:D125"/>
    <mergeCell ref="E121:E125"/>
    <mergeCell ref="F121:F125"/>
    <mergeCell ref="G121:G125"/>
    <mergeCell ref="P121:P125"/>
    <mergeCell ref="Q121:Q125"/>
    <mergeCell ref="A114:A118"/>
    <mergeCell ref="B114:B118"/>
    <mergeCell ref="C114:C118"/>
    <mergeCell ref="D114:D118"/>
    <mergeCell ref="E114:E118"/>
    <mergeCell ref="F114:F118"/>
    <mergeCell ref="G114:G118"/>
    <mergeCell ref="Q107:Q111"/>
    <mergeCell ref="A16:A20"/>
    <mergeCell ref="B16:B20"/>
    <mergeCell ref="C16:C20"/>
    <mergeCell ref="D16:D20"/>
    <mergeCell ref="A44:A48"/>
    <mergeCell ref="B44:B48"/>
    <mergeCell ref="C44:C48"/>
    <mergeCell ref="D44:D48"/>
    <mergeCell ref="E44:E48"/>
    <mergeCell ref="F44:F48"/>
    <mergeCell ref="G44:G48"/>
    <mergeCell ref="P44:P48"/>
    <mergeCell ref="Q44:Q48"/>
    <mergeCell ref="F2:F6"/>
    <mergeCell ref="F9:F13"/>
    <mergeCell ref="D30:D34"/>
    <mergeCell ref="E86:E90"/>
    <mergeCell ref="F86:F90"/>
    <mergeCell ref="G86:G90"/>
    <mergeCell ref="A107:A111"/>
    <mergeCell ref="B107:B111"/>
    <mergeCell ref="G2:G6"/>
    <mergeCell ref="G23:G27"/>
    <mergeCell ref="D107:D111"/>
    <mergeCell ref="E107:E111"/>
    <mergeCell ref="F107:F111"/>
    <mergeCell ref="G107:G111"/>
    <mergeCell ref="P107:P111"/>
    <mergeCell ref="C107:C111"/>
    <mergeCell ref="G51:G55"/>
    <mergeCell ref="G9:G13"/>
    <mergeCell ref="A2:A6"/>
    <mergeCell ref="B2:B6"/>
    <mergeCell ref="C2:C6"/>
    <mergeCell ref="D2:D6"/>
    <mergeCell ref="E2:E6"/>
    <mergeCell ref="D9:D13"/>
    <mergeCell ref="E9:E13"/>
    <mergeCell ref="C9:C13"/>
    <mergeCell ref="F16:F20"/>
    <mergeCell ref="G16:G20"/>
    <mergeCell ref="A23:A27"/>
    <mergeCell ref="B23:B27"/>
    <mergeCell ref="C23:C27"/>
    <mergeCell ref="D23:D27"/>
    <mergeCell ref="E23:E27"/>
    <mergeCell ref="F23:F27"/>
    <mergeCell ref="E30:E34"/>
    <mergeCell ref="F30:F34"/>
    <mergeCell ref="G30:G34"/>
    <mergeCell ref="A9:A13"/>
    <mergeCell ref="B9:B13"/>
    <mergeCell ref="E16:E20"/>
    <mergeCell ref="F79:F83"/>
    <mergeCell ref="G79:G83"/>
    <mergeCell ref="A30:A34"/>
    <mergeCell ref="B30:B34"/>
    <mergeCell ref="C30:C34"/>
    <mergeCell ref="A37:A41"/>
    <mergeCell ref="B37:B41"/>
    <mergeCell ref="C37:C41"/>
    <mergeCell ref="D37:D41"/>
    <mergeCell ref="E37:E41"/>
    <mergeCell ref="F37:F41"/>
    <mergeCell ref="G37:G41"/>
    <mergeCell ref="B65:B69"/>
    <mergeCell ref="C65:C69"/>
    <mergeCell ref="C72:C76"/>
    <mergeCell ref="D72:D76"/>
    <mergeCell ref="E79:E83"/>
    <mergeCell ref="E72:E76"/>
    <mergeCell ref="A51:A55"/>
    <mergeCell ref="B51:B55"/>
    <mergeCell ref="C51:C55"/>
    <mergeCell ref="D51:D55"/>
    <mergeCell ref="E51:E55"/>
    <mergeCell ref="F51:F55"/>
    <mergeCell ref="P79:P83"/>
    <mergeCell ref="Q79:Q83"/>
    <mergeCell ref="A58:A62"/>
    <mergeCell ref="B58:B62"/>
    <mergeCell ref="C58:C62"/>
    <mergeCell ref="D58:D62"/>
    <mergeCell ref="E58:E62"/>
    <mergeCell ref="F58:F62"/>
    <mergeCell ref="G58:G62"/>
    <mergeCell ref="D65:D69"/>
    <mergeCell ref="E65:E69"/>
    <mergeCell ref="F65:F69"/>
    <mergeCell ref="G65:G69"/>
    <mergeCell ref="P65:P69"/>
    <mergeCell ref="Q65:Q69"/>
    <mergeCell ref="A79:A83"/>
    <mergeCell ref="B79:B83"/>
    <mergeCell ref="A72:A76"/>
    <mergeCell ref="B72:B76"/>
    <mergeCell ref="C79:C83"/>
    <mergeCell ref="D79:D83"/>
    <mergeCell ref="G72:G76"/>
    <mergeCell ref="F72:F76"/>
    <mergeCell ref="A65:A69"/>
    <mergeCell ref="P9:P13"/>
    <mergeCell ref="Q9:Q13"/>
    <mergeCell ref="Q2:Q6"/>
    <mergeCell ref="P2:P6"/>
    <mergeCell ref="P72:P76"/>
    <mergeCell ref="Q72:Q76"/>
    <mergeCell ref="P16:P20"/>
    <mergeCell ref="Q16:Q20"/>
    <mergeCell ref="P23:P27"/>
    <mergeCell ref="Q23:Q27"/>
    <mergeCell ref="P30:P34"/>
    <mergeCell ref="Q30:Q34"/>
    <mergeCell ref="P51:P55"/>
    <mergeCell ref="Q51:Q55"/>
    <mergeCell ref="P58:P62"/>
    <mergeCell ref="Q58:Q62"/>
    <mergeCell ref="P37:P41"/>
    <mergeCell ref="Q37:Q41"/>
    <mergeCell ref="P86:P90"/>
    <mergeCell ref="Q86:Q90"/>
    <mergeCell ref="P100:P104"/>
    <mergeCell ref="Q100:Q104"/>
    <mergeCell ref="A93:A97"/>
    <mergeCell ref="B93:B97"/>
    <mergeCell ref="C93:C97"/>
    <mergeCell ref="D93:D97"/>
    <mergeCell ref="E93:E97"/>
    <mergeCell ref="F93:F97"/>
    <mergeCell ref="G93:G97"/>
    <mergeCell ref="P93:P97"/>
    <mergeCell ref="Q93:Q97"/>
    <mergeCell ref="A100:A104"/>
    <mergeCell ref="B100:B104"/>
    <mergeCell ref="C100:C104"/>
    <mergeCell ref="D100:D104"/>
    <mergeCell ref="E100:E104"/>
    <mergeCell ref="F100:F104"/>
    <mergeCell ref="G100:G104"/>
    <mergeCell ref="A86:A90"/>
    <mergeCell ref="B86:B90"/>
    <mergeCell ref="C86:C90"/>
    <mergeCell ref="D86:D90"/>
    <mergeCell ref="A135:A139"/>
    <mergeCell ref="B135:B139"/>
    <mergeCell ref="C135:C139"/>
    <mergeCell ref="D135:D139"/>
    <mergeCell ref="E135:E139"/>
    <mergeCell ref="F135:F139"/>
    <mergeCell ref="G135:G139"/>
    <mergeCell ref="P135:P139"/>
    <mergeCell ref="Q135:Q139"/>
    <mergeCell ref="A142:A146"/>
    <mergeCell ref="B142:B146"/>
    <mergeCell ref="C142:C146"/>
    <mergeCell ref="D142:D146"/>
    <mergeCell ref="E142:E146"/>
    <mergeCell ref="F142:F146"/>
    <mergeCell ref="G142:G146"/>
    <mergeCell ref="P142:P146"/>
    <mergeCell ref="Q142:Q146"/>
    <mergeCell ref="A149:A153"/>
    <mergeCell ref="B149:B153"/>
    <mergeCell ref="C149:C153"/>
    <mergeCell ref="D149:D153"/>
    <mergeCell ref="E149:E153"/>
    <mergeCell ref="F149:F153"/>
    <mergeCell ref="G149:G153"/>
    <mergeCell ref="P149:P153"/>
    <mergeCell ref="Q149:Q153"/>
    <mergeCell ref="A158:A162"/>
    <mergeCell ref="B158:B162"/>
    <mergeCell ref="C158:C162"/>
    <mergeCell ref="D158:D162"/>
    <mergeCell ref="E158:E162"/>
    <mergeCell ref="F158:F162"/>
    <mergeCell ref="G158:G162"/>
    <mergeCell ref="P158:P162"/>
    <mergeCell ref="Q158:Q162"/>
    <mergeCell ref="A177:A181"/>
    <mergeCell ref="B177:B181"/>
    <mergeCell ref="C177:C181"/>
    <mergeCell ref="D177:D181"/>
    <mergeCell ref="E177:E181"/>
    <mergeCell ref="F177:F181"/>
    <mergeCell ref="G177:G181"/>
    <mergeCell ref="P177:P181"/>
    <mergeCell ref="Q177:Q181"/>
    <mergeCell ref="A184:A188"/>
    <mergeCell ref="B184:B188"/>
    <mergeCell ref="C184:C188"/>
    <mergeCell ref="D184:D188"/>
    <mergeCell ref="E184:E188"/>
    <mergeCell ref="F184:F188"/>
    <mergeCell ref="G184:G188"/>
    <mergeCell ref="P184:P188"/>
    <mergeCell ref="Q184:Q188"/>
    <mergeCell ref="A191:A195"/>
    <mergeCell ref="B191:B195"/>
    <mergeCell ref="C191:C195"/>
    <mergeCell ref="D191:D195"/>
    <mergeCell ref="E191:E195"/>
    <mergeCell ref="F191:F195"/>
    <mergeCell ref="G191:G195"/>
    <mergeCell ref="P191:P195"/>
    <mergeCell ref="Q191:Q195"/>
    <mergeCell ref="A198:A202"/>
    <mergeCell ref="B198:B202"/>
    <mergeCell ref="C198:C202"/>
    <mergeCell ref="D198:D202"/>
    <mergeCell ref="E198:E202"/>
    <mergeCell ref="F198:F202"/>
    <mergeCell ref="G198:G202"/>
    <mergeCell ref="P198:P202"/>
    <mergeCell ref="Q198:Q202"/>
  </mergeCells>
  <phoneticPr fontId="34" type="noConversion"/>
  <dataValidations count="8">
    <dataValidation type="list" allowBlank="1" showInputMessage="1" showErrorMessage="1" sqref="M2:M6 M72:M77 M9:M13 M16:M20 M23:M27 M30:M34 M37:M41 M58:M62 M44:M48 M51:M55 M172:M182 M79:M84 M86:M91 M93:M98 M100:M104 M107:M111 M114:M118 M121:M125 M128:M132 M135:M139 M142:M146 M149:M153 M156 M158:M163 M165:M170 M65:M70 M184:M189 M191:M196 M198:M203" xr:uid="{00000000-0002-0000-0300-000000000000}">
      <formula1>"Abrir SI, Abrir RC,Contratado,Cancelado,Pendência Gestor"</formula1>
    </dataValidation>
    <dataValidation type="list" allowBlank="1" showInputMessage="1" showErrorMessage="1" sqref="N77 N84 N91 N98 N70 N156 N163 N170 N182 N189 N196 N203" xr:uid="{00000000-0002-0000-0300-000001000000}">
      <formula1>"Capex 2012, Opex 2012"</formula1>
    </dataValidation>
    <dataValidation type="list" allowBlank="1" showInputMessage="1" showErrorMessage="1" sqref="T23:T27 T9:T13 T16:T20 T2:T6 T30:T34 T37:T41 T79:T84 T65:T70 T51:T55 T44:T48 T58:T62 T72:T77 T86:T91 T93:T98 T100:T104 T107:T111 T114:T118 T121:T125 T128:T132 T135:T139 T142:T146 T149:T153 T156 T158:T163 T165:T170 T172:T182 T184:T189 T191:T196 T198:T203" xr:uid="{00000000-0002-0000-0300-000002000000}">
      <formula1>"Por Entregável, Anual, Mensal"</formula1>
    </dataValidation>
    <dataValidation type="list" allowBlank="1" showInputMessage="1" showErrorMessage="1" sqref="X77 X84 X91 X98 X70 X156 X163 X170 X182 X189 X196 X203" xr:uid="{00000000-0002-0000-0300-000003000000}">
      <formula1>"Sim,Não"</formula1>
    </dataValidation>
    <dataValidation type="custom" allowBlank="1" showInputMessage="1" showErrorMessage="1" sqref="O1 I78:M78 O78 AC77:AC78 I85:M85 O85 AC84:AC85 O35:O36 I35:I36 I8 O7:O8 AC7:AC8 K7:K8 K14:K15 I14:I15 O14:O15 AC14:AC15 AC21:AC22 K21:K22 I21:I22 O21:O22 O28:O29 AC28:AC29 K28:K29 I28:I29 AC35:AC36 K35:K36 O42:O43 I42:I43 K42:K43 AC42:AC43 K49:K50 I49:I50 O49:O50 AC49:AC50 K56:K57 I56:I57 O56:O57 AC56:AC57 I63:I64 O63:O64 AC63:AC64 K105:K106 I105:I106 O105:O106 AC105:AC106 K63:K64 O99 AD205:AD1048576 AC70:AC71 AC91:AC92 I92:M92 O92 AC98:AC99 I99:M99 I71:M71 O71 AC112:AC113 K112:K113 I112:I113 O112:O113 AC119:AC120 K119:K120 I119:I120 O119:O120 O126:O127 AC126:AC127 K126:K127 I126:I127 I133:I134 O133:O134 AC133:AC134 K133:K134 K140:K141 I140:I141 O140:O141 AC140:AC141 AC147:AC148 K147:K148 I147:I148 O147:O148 O154:O155 AC154:AC157 K154:K155 I154:I155 I157:M157 O157 O164 AC163:AC164 I164:M164 I171:M171 O171 AC170:AC171 AC182:AC183 I183:M183 O183 AC189:AC190 I190:M190 O190 AB205:AB1048576 AC196:AC197 I197:M197 O197 AC203:AC204 I204:M204 O204 AC1" xr:uid="{00000000-0002-0000-0300-000004000000}">
      <formula1>"&lt;&gt; "" """</formula1>
    </dataValidation>
    <dataValidation type="list" allowBlank="1" showInputMessage="1" showErrorMessage="1" sqref="N2:N6 N23:N27 N72:N76 N9:N13 N16:N20 N30:N34 N37:N41 N79:N83 N44:N48 N58:N62 N172:N181 N51:N55 N86:N90 N93:N97 N100:N104 N107:N111 N114:N118 N121:N125 N128:N132 N135:N139 N142:N146 N149:N153 N158:N162 N165:N169 N65:N69 N184:N188 N191:N195 N198:N202" xr:uid="{00000000-0002-0000-0300-000005000000}">
      <formula1>"Capex, Opex, Fáb.Melhorias, Fáb.Operacional,Interno"</formula1>
    </dataValidation>
    <dataValidation type="list" allowBlank="1" showInputMessage="1" showErrorMessage="1" sqref="U9:U13 U23:U27 U16:U20 U2:U6 U30:U34 U37:U41 U79:U83 U65:U69 U51:U55 U44:U48 U58:U62 U72:U76 U86:U90 U93:U97 U100:U104 U107:U111 U114:U118 U121:U125 U128:U132 U135:U139 U142:U146 U149:U153 U158:U162 U165:U169 U172:U181 U184:U188 U191:U195 U198:U202" xr:uid="{00000000-0002-0000-0300-000006000000}">
      <formula1>"Alocação de Horas, Escopo Fechado"</formula1>
    </dataValidation>
    <dataValidation type="custom" allowBlank="1" showInputMessage="1" showErrorMessage="1" sqref="K16:K20 K23:K27 K9:K13 K2:K6 K30:K34 K37:K41 K72:K76 K172:K181 K44:K48 K51:K55 K58:K62 K79:K83 K86:K90 K93:K97 K100:K104 K107:K111 K114:K118 K121:K125 K128:K132 K135:K139 K142:K146 K149:K153 K158:K162 K165:K169 K65:K69 K184:K188 K191:K195 K198:K202" xr:uid="{00000000-0002-0000-0300-000007000000}">
      <formula1>"&lt;&gt;"" """</formula1>
    </dataValidation>
  </dataValidations>
  <printOptions horizontalCentered="1"/>
  <pageMargins left="0.11811023622047245" right="0.11811023622047245" top="0.27559055118110237" bottom="0.19685039370078741" header="0.11811023622047245" footer="0.11811023622047245"/>
  <pageSetup paperSize="9" scale="60" fitToHeight="0" orientation="landscape"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9000000}">
          <x14:formula1>
            <xm:f>APOIO!$H$2:$H$5</xm:f>
          </x14:formula1>
          <xm:sqref>C23:C27 C2:C6 C9:C13 C16:C20 C30:C34 C37:C41 C65:C69 C72:C76 C51:C55 C44:C48 C58:C62 C79:C83 C86:C90 C93:C97 C100:C104 C107:C111 C114:C118 C121:C125 C128:C132 C135:C139 C142:C146 C149:C153 C158:C162 C165:C169 C172:C181 C184:C188 C191:C195 C198:C202</xm:sqref>
        </x14:dataValidation>
        <x14:dataValidation type="list" allowBlank="1" showInputMessage="1" showErrorMessage="1" xr:uid="{00000000-0002-0000-0300-00000A000000}">
          <x14:formula1>
            <xm:f>APOIO!$L$2:$L$9</xm:f>
          </x14:formula1>
          <xm:sqref>F23:F27 F9:F13 F44:F48 F2:F6 F16:F20 F30:F34 F37:F41 F79:F83 F51:F55 F58:F62 F65:F69 F72:F76 F86:F90 F93:F97 F100:F104 F107:F111 F114:F118 F121:F125 F128:F132 F135:F139 F142:F146 F149:F153 F158:F162 F165:F169 F172:F181 F184:F188 F191:F195 F198:F202</xm:sqref>
        </x14:dataValidation>
        <x14:dataValidation type="list" allowBlank="1" showInputMessage="1" showErrorMessage="1" xr:uid="{00000000-0002-0000-0300-00000D000000}">
          <x14:formula1>
            <xm:f>APOIO!$M$2:$M$5</xm:f>
          </x14:formula1>
          <xm:sqref>X2:X6 X23:X27 X9:X13 X16:X20 X72:X76 X30:X34 X37:X41 X79:X83 X51:X55 X44:X48 X65:X69 X58:X62 X86:X90 X93:X97 X100:X104 X107:X111 X114:X118 X121:X125 X128:X132 X135:X139 X142:X146 X149:X153 X158:X162 X165:X169 X172:X181 X184:X188 X191:X195 X198:X202</xm:sqref>
        </x14:dataValidation>
        <x14:dataValidation type="list" allowBlank="1" showInputMessage="1" showErrorMessage="1" xr:uid="{00000000-0002-0000-0300-00000E000000}">
          <x14:formula1>
            <xm:f>APOIO!$I$2:$I$6</xm:f>
          </x14:formula1>
          <xm:sqref>B23:B27 B2:B6 B9:B13 B16:B20 B30:B34 B37:B41 B65:B69 B72:B76 B51:B55 B44:B48 B58:B62 B79:B83 B86:B90 B93:B97 B100:B104 B107:B111 B114:B118 B121:B125 B128:B132 B135:B139 B142:B146 B149:B153 B158:B162 B165:B169 B172:B181 B184:B188 B191:B195 B198:B202</xm:sqref>
        </x14:dataValidation>
        <x14:dataValidation type="list" allowBlank="1" showInputMessage="1" showErrorMessage="1" xr:uid="{00000000-0002-0000-0300-00000F000000}">
          <x14:formula1>
            <xm:f>APOIO!$G$2:$G$11</xm:f>
          </x14:formula1>
          <xm:sqref>A23:A27 A2:A6 A9:A13 A16:A20 A30:A34 A37:A41 A58:A62 A72:A76 A51:A55 A44:A48 A65:A69 A79:A83 A86:A90 A93:A97 A100:A104 A107:A111 A114:A118 A121:A125 A128:A132 A135:A139 A142:A146 A149:A153 A158:A162 A165:A169 A172:A181 A184:A188 A191:A195 A198:A202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0">
    <pageSetUpPr fitToPage="1"/>
  </sheetPr>
  <dimension ref="A1:BH78"/>
  <sheetViews>
    <sheetView showGridLines="0" zoomScale="85" zoomScaleNormal="85" workbookViewId="0">
      <pane xSplit="2" ySplit="17" topLeftCell="D24" activePane="bottomRight" state="frozen"/>
      <selection pane="bottomRight" activeCell="D24" sqref="D24"/>
      <selection pane="bottomLeft" activeCell="A18" sqref="A18"/>
      <selection pane="topRight" activeCell="C1" sqref="C1"/>
    </sheetView>
  </sheetViews>
  <sheetFormatPr defaultColWidth="28.7109375" defaultRowHeight="14.45" outlineLevelRow="1"/>
  <cols>
    <col min="1" max="1" width="11.85546875" hidden="1" customWidth="1"/>
    <col min="2" max="2" width="9.5703125" style="3" bestFit="1" customWidth="1"/>
    <col min="3" max="3" width="9.28515625" bestFit="1" customWidth="1"/>
    <col min="4" max="4" width="12.85546875" customWidth="1"/>
    <col min="5" max="5" width="14.42578125" customWidth="1"/>
    <col min="6" max="6" width="14" customWidth="1"/>
    <col min="7" max="8" width="12.42578125" customWidth="1"/>
    <col min="9" max="9" width="14.42578125" customWidth="1"/>
    <col min="10" max="10" width="12.42578125" customWidth="1"/>
    <col min="11" max="11" width="9.5703125" customWidth="1"/>
    <col min="12" max="12" width="9.5703125" hidden="1" customWidth="1"/>
    <col min="13" max="13" width="9.5703125" customWidth="1"/>
    <col min="14" max="14" width="9.5703125" hidden="1" customWidth="1"/>
    <col min="15" max="15" width="9.5703125" customWidth="1"/>
    <col min="16" max="16" width="9.5703125" hidden="1" customWidth="1"/>
    <col min="17" max="17" width="9.5703125" customWidth="1"/>
    <col min="18" max="18" width="9.5703125" hidden="1" customWidth="1"/>
    <col min="19" max="19" width="9.5703125" customWidth="1"/>
    <col min="20" max="20" width="9.5703125" hidden="1" customWidth="1"/>
    <col min="21" max="21" width="9.5703125" customWidth="1"/>
    <col min="22" max="22" width="9.5703125" hidden="1" customWidth="1"/>
    <col min="23" max="23" width="9.5703125" customWidth="1"/>
    <col min="24" max="24" width="9.5703125" hidden="1" customWidth="1"/>
    <col min="25" max="25" width="9.5703125" customWidth="1"/>
    <col min="26" max="26" width="9.5703125" hidden="1" customWidth="1"/>
    <col min="27" max="27" width="9.5703125" customWidth="1"/>
    <col min="28" max="28" width="9.5703125" hidden="1" customWidth="1"/>
    <col min="29" max="29" width="9.5703125" customWidth="1"/>
    <col min="30" max="30" width="9.5703125" hidden="1" customWidth="1"/>
    <col min="31" max="31" width="9.5703125" customWidth="1"/>
    <col min="32" max="32" width="9.5703125" hidden="1" customWidth="1"/>
    <col min="33" max="33" width="9.5703125" customWidth="1"/>
    <col min="34" max="34" width="9.5703125" hidden="1" customWidth="1"/>
    <col min="35" max="35" width="8" customWidth="1"/>
    <col min="36" max="36" width="9.5703125" customWidth="1"/>
    <col min="37" max="37" width="9.5703125" hidden="1" customWidth="1"/>
    <col min="38" max="38" width="9.5703125" customWidth="1"/>
    <col min="39" max="39" width="9.5703125" hidden="1" customWidth="1"/>
    <col min="40" max="40" width="9.5703125" customWidth="1"/>
    <col min="41" max="41" width="9.5703125" hidden="1" customWidth="1"/>
    <col min="42" max="42" width="9.5703125" customWidth="1"/>
    <col min="43" max="43" width="9.5703125" hidden="1" customWidth="1"/>
    <col min="44" max="44" width="9.5703125" customWidth="1"/>
    <col min="45" max="45" width="9.5703125" hidden="1" customWidth="1"/>
    <col min="46" max="46" width="9.5703125" customWidth="1"/>
    <col min="47" max="47" width="9.5703125" hidden="1" customWidth="1"/>
    <col min="48" max="48" width="9.5703125" customWidth="1"/>
    <col min="49" max="49" width="9.5703125" hidden="1" customWidth="1"/>
    <col min="50" max="50" width="9.5703125" customWidth="1"/>
    <col min="51" max="51" width="9.5703125" hidden="1" customWidth="1"/>
    <col min="52" max="52" width="9.5703125" customWidth="1"/>
    <col min="53" max="53" width="9.5703125" hidden="1" customWidth="1"/>
    <col min="54" max="54" width="9.5703125" customWidth="1"/>
    <col min="55" max="55" width="9.5703125" hidden="1" customWidth="1"/>
    <col min="56" max="56" width="9.5703125" customWidth="1"/>
    <col min="57" max="57" width="9.5703125" hidden="1" customWidth="1"/>
    <col min="58" max="58" width="9.5703125" customWidth="1"/>
    <col min="59" max="59" width="9.85546875" hidden="1" customWidth="1"/>
    <col min="60" max="60" width="12.5703125" bestFit="1" customWidth="1"/>
    <col min="61" max="61" width="7.85546875" bestFit="1" customWidth="1"/>
  </cols>
  <sheetData>
    <row r="1" spans="2:60" hidden="1" outlineLevel="1"/>
    <row r="2" spans="2:60" s="1" customFormat="1" ht="21" hidden="1" outlineLevel="1">
      <c r="B2" s="132"/>
      <c r="C2" s="133"/>
      <c r="D2" s="133"/>
      <c r="E2" s="133"/>
      <c r="F2" s="133"/>
      <c r="G2" s="133"/>
      <c r="H2" s="133"/>
      <c r="I2" s="133"/>
      <c r="J2" s="133" t="s">
        <v>540</v>
      </c>
      <c r="K2" s="133"/>
      <c r="L2" s="133"/>
      <c r="M2" s="133"/>
      <c r="N2" s="133"/>
      <c r="O2" s="133"/>
      <c r="P2" s="133"/>
      <c r="Q2" s="133"/>
      <c r="R2" s="133"/>
      <c r="S2" s="133"/>
      <c r="T2" s="133"/>
      <c r="U2" s="133"/>
      <c r="V2" s="133"/>
      <c r="W2" s="133"/>
      <c r="X2" s="133"/>
      <c r="Y2" s="133"/>
      <c r="Z2" s="133"/>
      <c r="AA2" s="133"/>
      <c r="AB2" s="133"/>
      <c r="AC2" s="133"/>
      <c r="AD2" s="133"/>
      <c r="AE2" s="133"/>
      <c r="AF2" s="133"/>
      <c r="AG2" s="133"/>
      <c r="AH2" s="133"/>
      <c r="AI2" s="133"/>
      <c r="AJ2" s="133"/>
      <c r="AK2" s="134"/>
      <c r="AL2" s="124"/>
    </row>
    <row r="3" spans="2:60" s="1" customFormat="1" ht="14.1" hidden="1" outlineLevel="1"/>
    <row r="4" spans="2:60" s="1" customFormat="1" ht="26.1" hidden="1" outlineLevel="1">
      <c r="C4" s="3"/>
      <c r="D4" s="3"/>
      <c r="E4" s="3"/>
      <c r="H4"/>
      <c r="I4" t="s">
        <v>541</v>
      </c>
      <c r="J4" t="e">
        <f>'ANEXO 1 - Detalhes Técnicos'!#REF!</f>
        <v>#REF!</v>
      </c>
      <c r="K4" s="66">
        <v>42370</v>
      </c>
      <c r="L4" s="66" t="s">
        <v>542</v>
      </c>
      <c r="M4" s="66">
        <v>42401</v>
      </c>
      <c r="N4" s="66" t="s">
        <v>543</v>
      </c>
      <c r="O4" s="66">
        <v>42430</v>
      </c>
      <c r="P4" s="66" t="s">
        <v>544</v>
      </c>
      <c r="Q4" s="66">
        <v>42461</v>
      </c>
      <c r="R4" s="66" t="s">
        <v>545</v>
      </c>
      <c r="S4" s="66">
        <v>42491</v>
      </c>
      <c r="T4" s="66" t="s">
        <v>546</v>
      </c>
      <c r="U4" s="66">
        <v>42522</v>
      </c>
      <c r="V4" s="66" t="s">
        <v>547</v>
      </c>
      <c r="W4" s="66">
        <v>42552</v>
      </c>
      <c r="X4" s="66" t="s">
        <v>548</v>
      </c>
      <c r="Y4" s="66">
        <v>42583</v>
      </c>
      <c r="Z4" s="66" t="s">
        <v>549</v>
      </c>
      <c r="AA4" s="66">
        <v>42614</v>
      </c>
      <c r="AB4" s="66" t="s">
        <v>550</v>
      </c>
      <c r="AC4" s="66">
        <v>42644</v>
      </c>
      <c r="AD4" s="66" t="s">
        <v>551</v>
      </c>
      <c r="AE4" s="66">
        <v>42675</v>
      </c>
      <c r="AF4" s="66" t="s">
        <v>552</v>
      </c>
      <c r="AG4" s="66">
        <v>42705</v>
      </c>
      <c r="AH4" s="66" t="s">
        <v>553</v>
      </c>
      <c r="AI4" s="205">
        <v>2016</v>
      </c>
      <c r="AJ4" s="66">
        <v>42736</v>
      </c>
      <c r="AK4" s="66" t="s">
        <v>554</v>
      </c>
      <c r="AL4" s="66">
        <v>42767</v>
      </c>
      <c r="AM4" s="66" t="s">
        <v>555</v>
      </c>
      <c r="AN4" s="66">
        <v>42795</v>
      </c>
      <c r="AO4" s="66" t="s">
        <v>556</v>
      </c>
      <c r="AP4" s="66">
        <v>42826</v>
      </c>
      <c r="AQ4" s="66" t="s">
        <v>557</v>
      </c>
      <c r="AR4" s="66">
        <v>42856</v>
      </c>
      <c r="AS4" s="66" t="s">
        <v>558</v>
      </c>
      <c r="AT4" s="66">
        <v>42887</v>
      </c>
      <c r="AU4" s="66" t="s">
        <v>559</v>
      </c>
      <c r="AV4" s="66">
        <v>42917</v>
      </c>
      <c r="AW4" s="66" t="s">
        <v>560</v>
      </c>
      <c r="AX4" s="66">
        <v>42948</v>
      </c>
      <c r="AY4" s="66" t="s">
        <v>561</v>
      </c>
      <c r="AZ4" s="66">
        <v>42979</v>
      </c>
      <c r="BA4" s="66" t="s">
        <v>562</v>
      </c>
      <c r="BB4" s="66">
        <v>43009</v>
      </c>
      <c r="BC4" s="66" t="s">
        <v>563</v>
      </c>
      <c r="BD4" s="66">
        <v>43040</v>
      </c>
      <c r="BE4" s="66" t="s">
        <v>564</v>
      </c>
      <c r="BF4" s="66">
        <v>43070</v>
      </c>
      <c r="BG4" s="66" t="s">
        <v>565</v>
      </c>
      <c r="BH4" s="205">
        <v>2017</v>
      </c>
    </row>
    <row r="5" spans="2:60" s="1" customFormat="1" ht="15.6" hidden="1" outlineLevel="1">
      <c r="H5"/>
      <c r="I5" s="68" t="s">
        <v>566</v>
      </c>
      <c r="J5" s="69"/>
      <c r="K5" s="70">
        <f t="shared" ref="K5:AG5" si="0">SUM(K6:K8)</f>
        <v>0</v>
      </c>
      <c r="L5" s="70">
        <f t="shared" si="0"/>
        <v>0</v>
      </c>
      <c r="M5" s="70">
        <f t="shared" si="0"/>
        <v>0</v>
      </c>
      <c r="N5" s="70">
        <f t="shared" si="0"/>
        <v>0</v>
      </c>
      <c r="O5" s="70">
        <f t="shared" si="0"/>
        <v>0</v>
      </c>
      <c r="P5" s="70">
        <f t="shared" si="0"/>
        <v>0</v>
      </c>
      <c r="Q5" s="70">
        <f t="shared" si="0"/>
        <v>0</v>
      </c>
      <c r="R5" s="70">
        <f t="shared" si="0"/>
        <v>0</v>
      </c>
      <c r="S5" s="70">
        <f t="shared" si="0"/>
        <v>0</v>
      </c>
      <c r="T5" s="70">
        <f t="shared" ref="T5" si="1">SUM(T6:T8)</f>
        <v>0</v>
      </c>
      <c r="U5" s="70">
        <f t="shared" si="0"/>
        <v>0</v>
      </c>
      <c r="V5" s="70">
        <f t="shared" ref="V5" si="2">SUM(V6:V8)</f>
        <v>0</v>
      </c>
      <c r="W5" s="70">
        <f t="shared" si="0"/>
        <v>0</v>
      </c>
      <c r="X5" s="70">
        <f t="shared" ref="X5" si="3">SUM(X6:X8)</f>
        <v>0</v>
      </c>
      <c r="Y5" s="70">
        <f t="shared" si="0"/>
        <v>0</v>
      </c>
      <c r="Z5" s="70">
        <f t="shared" ref="Z5" si="4">SUM(Z6:Z8)</f>
        <v>0</v>
      </c>
      <c r="AA5" s="70">
        <f t="shared" si="0"/>
        <v>0</v>
      </c>
      <c r="AB5" s="70">
        <f t="shared" ref="AB5" si="5">SUM(AB6:AB8)</f>
        <v>0</v>
      </c>
      <c r="AC5" s="70">
        <f t="shared" si="0"/>
        <v>0</v>
      </c>
      <c r="AD5" s="70">
        <f t="shared" ref="AD5" si="6">SUM(AD6:AD8)</f>
        <v>0</v>
      </c>
      <c r="AE5" s="70">
        <f t="shared" si="0"/>
        <v>0</v>
      </c>
      <c r="AF5" s="70">
        <f t="shared" ref="AF5" si="7">SUM(AF6:AF8)</f>
        <v>0</v>
      </c>
      <c r="AG5" s="70">
        <f t="shared" si="0"/>
        <v>0</v>
      </c>
      <c r="AH5" s="70">
        <f t="shared" ref="AH5" si="8">SUM(AH6:AH8)</f>
        <v>0</v>
      </c>
      <c r="AI5" s="67"/>
      <c r="AJ5" s="70">
        <f>SUM(AJ6:AJ8)</f>
        <v>0</v>
      </c>
      <c r="AK5" s="70">
        <f t="shared" ref="AK5" si="9">SUM(AK6:AK8)</f>
        <v>0</v>
      </c>
      <c r="AL5" s="70">
        <f>SUM(AL6:AL8)</f>
        <v>0</v>
      </c>
      <c r="AM5" s="70">
        <f t="shared" ref="AM5:BG5" si="10">SUM(AM6:AM8)</f>
        <v>0</v>
      </c>
      <c r="AN5" s="70">
        <f t="shared" si="10"/>
        <v>0</v>
      </c>
      <c r="AO5" s="70">
        <f t="shared" si="10"/>
        <v>0</v>
      </c>
      <c r="AP5" s="70">
        <f t="shared" si="10"/>
        <v>0</v>
      </c>
      <c r="AQ5" s="70">
        <f t="shared" si="10"/>
        <v>0</v>
      </c>
      <c r="AR5" s="70">
        <f t="shared" si="10"/>
        <v>0</v>
      </c>
      <c r="AS5" s="70">
        <f t="shared" si="10"/>
        <v>0</v>
      </c>
      <c r="AT5" s="70">
        <f t="shared" si="10"/>
        <v>0</v>
      </c>
      <c r="AU5" s="70">
        <f t="shared" si="10"/>
        <v>0</v>
      </c>
      <c r="AV5" s="70">
        <f t="shared" si="10"/>
        <v>0</v>
      </c>
      <c r="AW5" s="70">
        <f t="shared" si="10"/>
        <v>0</v>
      </c>
      <c r="AX5" s="70">
        <f t="shared" si="10"/>
        <v>0</v>
      </c>
      <c r="AY5" s="70">
        <f t="shared" si="10"/>
        <v>0</v>
      </c>
      <c r="AZ5" s="70">
        <f t="shared" si="10"/>
        <v>0</v>
      </c>
      <c r="BA5" s="70">
        <f t="shared" si="10"/>
        <v>0</v>
      </c>
      <c r="BB5" s="70">
        <f t="shared" si="10"/>
        <v>0</v>
      </c>
      <c r="BC5" s="70">
        <f t="shared" si="10"/>
        <v>0</v>
      </c>
      <c r="BD5" s="70">
        <f t="shared" si="10"/>
        <v>0</v>
      </c>
      <c r="BE5" s="70">
        <f t="shared" si="10"/>
        <v>0</v>
      </c>
      <c r="BF5" s="70">
        <f t="shared" si="10"/>
        <v>0</v>
      </c>
      <c r="BG5" s="70">
        <f t="shared" si="10"/>
        <v>0</v>
      </c>
      <c r="BH5" s="67">
        <f>SUM(AJ5:BF5)</f>
        <v>0</v>
      </c>
    </row>
    <row r="6" spans="2:60" s="1" customFormat="1" ht="15.6" hidden="1" outlineLevel="1">
      <c r="H6"/>
      <c r="I6" s="68" t="s">
        <v>567</v>
      </c>
      <c r="J6" s="69"/>
      <c r="K6" s="147"/>
      <c r="L6" s="148"/>
      <c r="M6" s="147"/>
      <c r="N6" s="148"/>
      <c r="O6" s="147"/>
      <c r="P6" s="148"/>
      <c r="Q6" s="147"/>
      <c r="R6" s="148"/>
      <c r="S6" s="147"/>
      <c r="T6" s="148"/>
      <c r="U6" s="147"/>
      <c r="V6" s="148"/>
      <c r="W6" s="147"/>
      <c r="X6" s="148"/>
      <c r="Y6" s="147"/>
      <c r="Z6" s="148"/>
      <c r="AA6" s="147"/>
      <c r="AB6" s="148"/>
      <c r="AC6" s="147"/>
      <c r="AD6" s="148"/>
      <c r="AE6" s="147"/>
      <c r="AF6" s="148"/>
      <c r="AG6" s="147"/>
      <c r="AH6" s="119"/>
      <c r="AI6" s="67">
        <f>SUM(K6:AG6)</f>
        <v>0</v>
      </c>
      <c r="AJ6" s="71"/>
      <c r="AK6" s="119"/>
      <c r="AL6" s="71"/>
      <c r="AM6" s="119"/>
      <c r="AN6" s="71"/>
      <c r="AO6" s="119"/>
      <c r="AP6" s="71"/>
      <c r="AQ6" s="119"/>
      <c r="AR6" s="71"/>
      <c r="AS6" s="119"/>
      <c r="AT6" s="71"/>
      <c r="AU6" s="119"/>
      <c r="AV6" s="71"/>
      <c r="AW6" s="119"/>
      <c r="AX6" s="71"/>
      <c r="AY6" s="119"/>
      <c r="AZ6" s="71"/>
      <c r="BA6" s="119"/>
      <c r="BB6" s="71"/>
      <c r="BC6" s="119"/>
      <c r="BD6" s="71"/>
      <c r="BE6" s="119"/>
      <c r="BF6" s="71"/>
      <c r="BG6" s="119"/>
      <c r="BH6" s="67">
        <f>SUM(AJ6:BF6)</f>
        <v>0</v>
      </c>
    </row>
    <row r="7" spans="2:60" s="1" customFormat="1" ht="15.6" hidden="1" outlineLevel="1">
      <c r="H7"/>
      <c r="I7" s="68" t="s">
        <v>568</v>
      </c>
      <c r="J7" s="69"/>
      <c r="K7" s="147">
        <f>SUMPRODUCT((MONTH($F$19:$F$45)=MONTH(K4))*(YEAR($F$19:$F$45)=YEAR(K4))*$G$19:$G$45)</f>
        <v>0</v>
      </c>
      <c r="L7" s="148">
        <f>L18</f>
        <v>0</v>
      </c>
      <c r="M7" s="147">
        <f>SUMPRODUCT((MONTH($F$19:$F$45)=MONTH(M4))*(YEAR($F$19:$F$45)=YEAR(M4))*$G$19:$G$45)</f>
        <v>0</v>
      </c>
      <c r="N7" s="148">
        <f t="shared" ref="N7:AH7" si="11">N18</f>
        <v>0</v>
      </c>
      <c r="O7" s="147">
        <f>SUMPRODUCT((MONTH($F$19:$F$45)=MONTH(O4))*(YEAR($F$19:$F$45)=YEAR(O4))*$G$19:$G$45)</f>
        <v>0</v>
      </c>
      <c r="P7" s="148">
        <f t="shared" si="11"/>
        <v>0</v>
      </c>
      <c r="Q7" s="147">
        <f>SUMPRODUCT((MONTH($F$19:$F$45)=MONTH(Q4))*(YEAR($F$19:$F$45)=YEAR(Q4))*$G$19:$G$45)</f>
        <v>0</v>
      </c>
      <c r="R7" s="148">
        <f t="shared" si="11"/>
        <v>0</v>
      </c>
      <c r="S7" s="147">
        <f>SUMPRODUCT((MONTH($F$19:$F$45)=MONTH(S4))*(YEAR($F$19:$F$45)=YEAR(S4))*$G$19:$G$45)</f>
        <v>0</v>
      </c>
      <c r="T7" s="148">
        <f t="shared" si="11"/>
        <v>0</v>
      </c>
      <c r="U7" s="147">
        <f>SUMPRODUCT((MONTH($F$19:$F$45)=MONTH(U4))*(YEAR($F$19:$F$45)=YEAR(U4))*$G$19:$G$45)</f>
        <v>0</v>
      </c>
      <c r="V7" s="148">
        <f t="shared" si="11"/>
        <v>0</v>
      </c>
      <c r="W7" s="147">
        <f>SUMPRODUCT((MONTH($F$19:$F$45)=MONTH(W4))*(YEAR($F$19:$F$45)=YEAR(W4))*$G$19:$G$45)</f>
        <v>0</v>
      </c>
      <c r="X7" s="148">
        <f t="shared" si="11"/>
        <v>0</v>
      </c>
      <c r="Y7" s="147">
        <f>SUMPRODUCT((MONTH($F$19:$F$45)=MONTH(Y4))*(YEAR($F$19:$F$45)=YEAR(Y4))*$G$19:$G$45)</f>
        <v>0</v>
      </c>
      <c r="Z7" s="148">
        <f t="shared" si="11"/>
        <v>0</v>
      </c>
      <c r="AA7" s="147">
        <f>SUMPRODUCT((MONTH($F$19:$F$45)=MONTH(AA4))*(YEAR($F$19:$F$45)=YEAR(AA4))*$G$19:$G$45)</f>
        <v>0</v>
      </c>
      <c r="AB7" s="148">
        <f t="shared" si="11"/>
        <v>0</v>
      </c>
      <c r="AC7" s="147">
        <f>SUMPRODUCT((MONTH($F$19:$F$45)=MONTH(AC4))*(YEAR($F$19:$F$45)=YEAR(AC4))*$G$19:$G$45)</f>
        <v>0</v>
      </c>
      <c r="AD7" s="148">
        <f t="shared" si="11"/>
        <v>0</v>
      </c>
      <c r="AE7" s="147">
        <f>SUMPRODUCT((MONTH($F$19:$F$45)=MONTH(AE4))*(YEAR($F$19:$F$45)=YEAR(AE4))*$G$19:$G$45)</f>
        <v>0</v>
      </c>
      <c r="AF7" s="148">
        <f t="shared" si="11"/>
        <v>0</v>
      </c>
      <c r="AG7" s="147">
        <f>SUMPRODUCT((MONTH($F$19:$F$45)=MONTH(AG4))*(YEAR($F$19:$F$45)=YEAR(AG4))*$G$19:$G$45)</f>
        <v>0</v>
      </c>
      <c r="AH7" s="119">
        <f t="shared" si="11"/>
        <v>0</v>
      </c>
      <c r="AI7" s="67">
        <f>SUM(K7:AG7)</f>
        <v>0</v>
      </c>
      <c r="AJ7" s="71">
        <f>SUMPRODUCT((MONTH($F$19:$F$45)=MONTH(AJ4))*(YEAR($F$19:$F$45)=YEAR(AJ4))*$G$19:$G$45)</f>
        <v>0</v>
      </c>
      <c r="AK7" s="119">
        <f t="shared" ref="AK7:BG7" si="12">AK18</f>
        <v>0</v>
      </c>
      <c r="AL7" s="71">
        <f>SUMPRODUCT((MONTH($F$19:$F$45)=MONTH(AL4))*(YEAR($F$19:$F$45)=YEAR(AL4))*$G$19:$G$45)</f>
        <v>0</v>
      </c>
      <c r="AM7" s="119">
        <f t="shared" si="12"/>
        <v>0</v>
      </c>
      <c r="AN7" s="71">
        <f>SUMPRODUCT((MONTH($F$19:$F$45)=MONTH(AN4))*(YEAR($F$19:$F$45)=YEAR(AN4))*$G$19:$G$45)</f>
        <v>0</v>
      </c>
      <c r="AO7" s="119">
        <f t="shared" si="12"/>
        <v>0</v>
      </c>
      <c r="AP7" s="71">
        <f>SUMPRODUCT((MONTH($F$19:$F$45)=MONTH(AP4))*(YEAR($F$19:$F$45)=YEAR(AP4))*$G$19:$G$45)</f>
        <v>0</v>
      </c>
      <c r="AQ7" s="119">
        <f t="shared" si="12"/>
        <v>0</v>
      </c>
      <c r="AR7" s="71">
        <f>SUMPRODUCT((MONTH($F$19:$F$45)=MONTH(AR4))*(YEAR($F$19:$F$45)=YEAR(AR4))*$G$19:$G$45)</f>
        <v>0</v>
      </c>
      <c r="AS7" s="119">
        <f t="shared" si="12"/>
        <v>0</v>
      </c>
      <c r="AT7" s="71">
        <f>SUMPRODUCT((MONTH($F$19:$F$45)=MONTH(AT4))*(YEAR($F$19:$F$45)=YEAR(AT4))*$G$19:$G$45)</f>
        <v>0</v>
      </c>
      <c r="AU7" s="119">
        <f t="shared" si="12"/>
        <v>0</v>
      </c>
      <c r="AV7" s="71">
        <f>SUMPRODUCT((MONTH($F$19:$F$45)=MONTH(AV4))*(YEAR($F$19:$F$45)=YEAR(AV4))*$G$19:$G$45)</f>
        <v>0</v>
      </c>
      <c r="AW7" s="119">
        <f t="shared" si="12"/>
        <v>0</v>
      </c>
      <c r="AX7" s="71">
        <f>SUMPRODUCT((MONTH($F$19:$F$45)=MONTH(AX4))*(YEAR($F$19:$F$45)=YEAR(AX4))*$G$19:$G$45)</f>
        <v>0</v>
      </c>
      <c r="AY7" s="119">
        <f t="shared" si="12"/>
        <v>0</v>
      </c>
      <c r="AZ7" s="71">
        <f>SUMPRODUCT((MONTH($F$19:$F$45)=MONTH(AZ4))*(YEAR($F$19:$F$45)=YEAR(AZ4))*$G$19:$G$45)</f>
        <v>0</v>
      </c>
      <c r="BA7" s="119">
        <f t="shared" si="12"/>
        <v>0</v>
      </c>
      <c r="BB7" s="71">
        <f>SUMPRODUCT((MONTH($F$19:$F$45)=MONTH(BB4))*(YEAR($F$19:$F$45)=YEAR(BB4))*$G$19:$G$45)</f>
        <v>0</v>
      </c>
      <c r="BC7" s="119">
        <f t="shared" si="12"/>
        <v>0</v>
      </c>
      <c r="BD7" s="71">
        <f>SUMPRODUCT((MONTH($F$19:$F$45)=MONTH(BD4))*(YEAR($F$19:$F$45)=YEAR(BD4))*$G$19:$G$45)</f>
        <v>0</v>
      </c>
      <c r="BE7" s="119">
        <f t="shared" si="12"/>
        <v>0</v>
      </c>
      <c r="BF7" s="71">
        <f>SUMPRODUCT((MONTH($F$19:$F$45)=MONTH(BF4))*(YEAR($F$19:$F$45)=YEAR(BF4))*$G$19:$G$45)</f>
        <v>0</v>
      </c>
      <c r="BG7" s="119">
        <f t="shared" si="12"/>
        <v>0</v>
      </c>
      <c r="BH7" s="67">
        <f>SUM(AJ7:BF7)</f>
        <v>0</v>
      </c>
    </row>
    <row r="8" spans="2:60" s="1" customFormat="1" ht="15.6" hidden="1" outlineLevel="1">
      <c r="H8"/>
      <c r="I8" s="68" t="s">
        <v>569</v>
      </c>
      <c r="J8" s="69"/>
      <c r="K8" s="147">
        <f>K18</f>
        <v>0</v>
      </c>
      <c r="L8" s="148"/>
      <c r="M8" s="147">
        <f>M18</f>
        <v>0</v>
      </c>
      <c r="N8" s="148"/>
      <c r="O8" s="147">
        <f>O18</f>
        <v>0</v>
      </c>
      <c r="P8" s="148"/>
      <c r="Q8" s="147">
        <f>Q18</f>
        <v>0</v>
      </c>
      <c r="R8" s="148"/>
      <c r="S8" s="147">
        <f>S18</f>
        <v>0</v>
      </c>
      <c r="T8" s="148"/>
      <c r="U8" s="147">
        <f>U18</f>
        <v>0</v>
      </c>
      <c r="V8" s="148"/>
      <c r="W8" s="147">
        <f>W18</f>
        <v>0</v>
      </c>
      <c r="X8" s="148"/>
      <c r="Y8" s="147">
        <f>Y18</f>
        <v>0</v>
      </c>
      <c r="Z8" s="148"/>
      <c r="AA8" s="147">
        <f>AA18</f>
        <v>0</v>
      </c>
      <c r="AB8" s="148"/>
      <c r="AC8" s="147">
        <f>AC18</f>
        <v>0</v>
      </c>
      <c r="AD8" s="148"/>
      <c r="AE8" s="147">
        <f>AE18</f>
        <v>0</v>
      </c>
      <c r="AF8" s="148"/>
      <c r="AG8" s="147">
        <f>AG18</f>
        <v>0</v>
      </c>
      <c r="AH8" s="119"/>
      <c r="AI8" s="67">
        <f>SUM(K8:AG8)</f>
        <v>0</v>
      </c>
      <c r="AJ8" s="71">
        <f>AJ18</f>
        <v>0</v>
      </c>
      <c r="AK8" s="119"/>
      <c r="AL8" s="71">
        <f>AL18</f>
        <v>0</v>
      </c>
      <c r="AM8" s="119"/>
      <c r="AN8" s="71">
        <f>AN18</f>
        <v>0</v>
      </c>
      <c r="AO8" s="119"/>
      <c r="AP8" s="71">
        <f>AP18</f>
        <v>0</v>
      </c>
      <c r="AQ8" s="119"/>
      <c r="AR8" s="71">
        <f>AR18</f>
        <v>0</v>
      </c>
      <c r="AS8" s="119"/>
      <c r="AT8" s="71">
        <f>AT18</f>
        <v>0</v>
      </c>
      <c r="AU8" s="119"/>
      <c r="AV8" s="71">
        <f>AV18</f>
        <v>0</v>
      </c>
      <c r="AW8" s="119"/>
      <c r="AX8" s="71">
        <f>AX18</f>
        <v>0</v>
      </c>
      <c r="AY8" s="119"/>
      <c r="AZ8" s="71">
        <f>AZ18</f>
        <v>0</v>
      </c>
      <c r="BA8" s="119"/>
      <c r="BB8" s="71">
        <f>BB18</f>
        <v>0</v>
      </c>
      <c r="BC8" s="119"/>
      <c r="BD8" s="71">
        <f>BD18</f>
        <v>0</v>
      </c>
      <c r="BE8" s="119"/>
      <c r="BF8" s="71">
        <f>BF18</f>
        <v>0</v>
      </c>
      <c r="BG8" s="119"/>
      <c r="BH8" s="67">
        <f>SUM(AJ8:BF8)</f>
        <v>0</v>
      </c>
    </row>
    <row r="9" spans="2:60" s="1" customFormat="1" hidden="1" outlineLevel="1">
      <c r="H9"/>
    </row>
    <row r="10" spans="2:60" s="1" customFormat="1" ht="26.1" hidden="1" outlineLevel="1">
      <c r="C10" s="3"/>
      <c r="D10" s="3"/>
      <c r="E10" s="3"/>
      <c r="H10"/>
      <c r="I10" t="s">
        <v>570</v>
      </c>
      <c r="J10" t="e">
        <f>'ANEXO 1 - Detalhes Técnicos'!#REF!</f>
        <v>#REF!</v>
      </c>
      <c r="K10" s="66">
        <v>42370</v>
      </c>
      <c r="L10" s="66" t="s">
        <v>542</v>
      </c>
      <c r="M10" s="66">
        <v>42401</v>
      </c>
      <c r="N10" s="66" t="s">
        <v>543</v>
      </c>
      <c r="O10" s="66">
        <v>42430</v>
      </c>
      <c r="P10" s="66" t="s">
        <v>544</v>
      </c>
      <c r="Q10" s="66">
        <v>42461</v>
      </c>
      <c r="R10" s="66" t="s">
        <v>545</v>
      </c>
      <c r="S10" s="66">
        <v>42491</v>
      </c>
      <c r="T10" s="66" t="s">
        <v>546</v>
      </c>
      <c r="U10" s="66">
        <v>42522</v>
      </c>
      <c r="V10" s="66" t="s">
        <v>547</v>
      </c>
      <c r="W10" s="66">
        <v>42552</v>
      </c>
      <c r="X10" s="66" t="s">
        <v>548</v>
      </c>
      <c r="Y10" s="66">
        <v>42583</v>
      </c>
      <c r="Z10" s="66" t="s">
        <v>549</v>
      </c>
      <c r="AA10" s="66">
        <v>42614</v>
      </c>
      <c r="AB10" s="66" t="s">
        <v>550</v>
      </c>
      <c r="AC10" s="66">
        <v>42644</v>
      </c>
      <c r="AD10" s="66" t="s">
        <v>551</v>
      </c>
      <c r="AE10" s="66">
        <v>42675</v>
      </c>
      <c r="AF10" s="66" t="s">
        <v>552</v>
      </c>
      <c r="AG10" s="66">
        <v>42705</v>
      </c>
      <c r="AH10" s="66" t="s">
        <v>553</v>
      </c>
      <c r="AI10" s="205">
        <v>2016</v>
      </c>
      <c r="AJ10" s="66">
        <v>42736</v>
      </c>
      <c r="AK10" s="66" t="s">
        <v>554</v>
      </c>
      <c r="AL10" s="66">
        <v>42767</v>
      </c>
      <c r="AM10" s="66" t="s">
        <v>555</v>
      </c>
      <c r="AN10" s="66">
        <v>42795</v>
      </c>
      <c r="AO10" s="66" t="s">
        <v>556</v>
      </c>
      <c r="AP10" s="66">
        <v>42826</v>
      </c>
      <c r="AQ10" s="66" t="s">
        <v>557</v>
      </c>
      <c r="AR10" s="66">
        <v>42856</v>
      </c>
      <c r="AS10" s="66" t="s">
        <v>558</v>
      </c>
      <c r="AT10" s="66">
        <v>42887</v>
      </c>
      <c r="AU10" s="66" t="s">
        <v>559</v>
      </c>
      <c r="AV10" s="66">
        <v>42917</v>
      </c>
      <c r="AW10" s="66" t="s">
        <v>560</v>
      </c>
      <c r="AX10" s="66">
        <v>42948</v>
      </c>
      <c r="AY10" s="66" t="s">
        <v>561</v>
      </c>
      <c r="AZ10" s="66">
        <v>42979</v>
      </c>
      <c r="BA10" s="66" t="s">
        <v>562</v>
      </c>
      <c r="BB10" s="66">
        <v>43009</v>
      </c>
      <c r="BC10" s="66" t="s">
        <v>563</v>
      </c>
      <c r="BD10" s="66">
        <v>43040</v>
      </c>
      <c r="BE10" s="66" t="s">
        <v>564</v>
      </c>
      <c r="BF10" s="66">
        <v>43070</v>
      </c>
      <c r="BG10" s="66" t="s">
        <v>565</v>
      </c>
      <c r="BH10" s="205">
        <v>2017</v>
      </c>
    </row>
    <row r="11" spans="2:60" s="1" customFormat="1" ht="15.6" hidden="1" outlineLevel="1">
      <c r="H11"/>
      <c r="I11" s="68" t="s">
        <v>566</v>
      </c>
      <c r="J11" s="69"/>
      <c r="K11" s="70">
        <f t="shared" ref="K11:AH11" si="13">SUM(K12:K14)</f>
        <v>0</v>
      </c>
      <c r="L11" s="70">
        <f t="shared" si="13"/>
        <v>0</v>
      </c>
      <c r="M11" s="70">
        <f t="shared" si="13"/>
        <v>0</v>
      </c>
      <c r="N11" s="70">
        <f t="shared" si="13"/>
        <v>0</v>
      </c>
      <c r="O11" s="70">
        <f t="shared" si="13"/>
        <v>0</v>
      </c>
      <c r="P11" s="70">
        <f t="shared" si="13"/>
        <v>0</v>
      </c>
      <c r="Q11" s="70">
        <f t="shared" si="13"/>
        <v>0</v>
      </c>
      <c r="R11" s="70">
        <f t="shared" si="13"/>
        <v>0</v>
      </c>
      <c r="S11" s="70">
        <f t="shared" si="13"/>
        <v>0</v>
      </c>
      <c r="T11" s="70">
        <f t="shared" si="13"/>
        <v>0</v>
      </c>
      <c r="U11" s="70">
        <f t="shared" si="13"/>
        <v>0</v>
      </c>
      <c r="V11" s="70">
        <f t="shared" si="13"/>
        <v>0</v>
      </c>
      <c r="W11" s="70">
        <f t="shared" si="13"/>
        <v>0</v>
      </c>
      <c r="X11" s="70">
        <f t="shared" si="13"/>
        <v>0</v>
      </c>
      <c r="Y11" s="70">
        <f t="shared" si="13"/>
        <v>0</v>
      </c>
      <c r="Z11" s="70">
        <f t="shared" si="13"/>
        <v>0</v>
      </c>
      <c r="AA11" s="70">
        <f t="shared" si="13"/>
        <v>0</v>
      </c>
      <c r="AB11" s="70">
        <f t="shared" si="13"/>
        <v>0</v>
      </c>
      <c r="AC11" s="70">
        <f t="shared" si="13"/>
        <v>0</v>
      </c>
      <c r="AD11" s="70">
        <f t="shared" si="13"/>
        <v>0</v>
      </c>
      <c r="AE11" s="70">
        <f t="shared" si="13"/>
        <v>0</v>
      </c>
      <c r="AF11" s="70">
        <f t="shared" si="13"/>
        <v>0</v>
      </c>
      <c r="AG11" s="70">
        <f t="shared" si="13"/>
        <v>0</v>
      </c>
      <c r="AH11" s="70">
        <f t="shared" si="13"/>
        <v>0</v>
      </c>
      <c r="AI11" s="67"/>
      <c r="AJ11" s="70">
        <f>SUM(AJ12:AJ14)</f>
        <v>0</v>
      </c>
      <c r="AK11" s="70">
        <f t="shared" ref="AK11" si="14">SUM(AK12:AK14)</f>
        <v>0</v>
      </c>
      <c r="AL11" s="70">
        <f>SUM(AL12:AL14)</f>
        <v>0</v>
      </c>
      <c r="AM11" s="70">
        <f t="shared" ref="AM11:BG11" si="15">SUM(AM12:AM14)</f>
        <v>0</v>
      </c>
      <c r="AN11" s="70">
        <f t="shared" si="15"/>
        <v>0</v>
      </c>
      <c r="AO11" s="70">
        <f t="shared" si="15"/>
        <v>0</v>
      </c>
      <c r="AP11" s="70">
        <f t="shared" si="15"/>
        <v>0</v>
      </c>
      <c r="AQ11" s="70">
        <f t="shared" si="15"/>
        <v>0</v>
      </c>
      <c r="AR11" s="70">
        <f t="shared" si="15"/>
        <v>0</v>
      </c>
      <c r="AS11" s="70">
        <f t="shared" si="15"/>
        <v>0</v>
      </c>
      <c r="AT11" s="70">
        <f t="shared" si="15"/>
        <v>0</v>
      </c>
      <c r="AU11" s="70">
        <f t="shared" si="15"/>
        <v>0</v>
      </c>
      <c r="AV11" s="70">
        <f t="shared" si="15"/>
        <v>0</v>
      </c>
      <c r="AW11" s="70">
        <f t="shared" si="15"/>
        <v>0</v>
      </c>
      <c r="AX11" s="70">
        <f t="shared" si="15"/>
        <v>0</v>
      </c>
      <c r="AY11" s="70">
        <f t="shared" si="15"/>
        <v>0</v>
      </c>
      <c r="AZ11" s="70">
        <f t="shared" si="15"/>
        <v>0</v>
      </c>
      <c r="BA11" s="70">
        <f t="shared" si="15"/>
        <v>0</v>
      </c>
      <c r="BB11" s="70">
        <f t="shared" si="15"/>
        <v>0</v>
      </c>
      <c r="BC11" s="70">
        <f t="shared" si="15"/>
        <v>0</v>
      </c>
      <c r="BD11" s="70">
        <f t="shared" si="15"/>
        <v>0</v>
      </c>
      <c r="BE11" s="70">
        <f t="shared" si="15"/>
        <v>0</v>
      </c>
      <c r="BF11" s="70">
        <f t="shared" si="15"/>
        <v>0</v>
      </c>
      <c r="BG11" s="70">
        <f t="shared" si="15"/>
        <v>0</v>
      </c>
      <c r="BH11" s="67">
        <f>SUM(AJ11:BF11)</f>
        <v>0</v>
      </c>
    </row>
    <row r="12" spans="2:60" s="1" customFormat="1" ht="15.6" hidden="1" outlineLevel="1">
      <c r="H12"/>
      <c r="I12" s="68" t="s">
        <v>567</v>
      </c>
      <c r="J12" s="69"/>
      <c r="K12" s="147"/>
      <c r="L12" s="148"/>
      <c r="M12" s="147"/>
      <c r="N12" s="148"/>
      <c r="O12" s="147"/>
      <c r="P12" s="148"/>
      <c r="Q12" s="147"/>
      <c r="R12" s="148"/>
      <c r="S12" s="147"/>
      <c r="T12" s="148"/>
      <c r="U12" s="147"/>
      <c r="V12" s="148"/>
      <c r="W12" s="147"/>
      <c r="X12" s="148"/>
      <c r="Y12" s="147"/>
      <c r="Z12" s="148"/>
      <c r="AA12" s="147"/>
      <c r="AB12" s="148"/>
      <c r="AC12" s="147"/>
      <c r="AD12" s="148"/>
      <c r="AE12" s="147"/>
      <c r="AF12" s="148"/>
      <c r="AG12" s="147"/>
      <c r="AH12" s="119"/>
      <c r="AI12" s="67">
        <f>SUM(K12:AG12)</f>
        <v>0</v>
      </c>
      <c r="AJ12" s="71"/>
      <c r="AK12" s="119"/>
      <c r="AL12" s="71"/>
      <c r="AM12" s="119"/>
      <c r="AN12" s="71"/>
      <c r="AO12" s="119"/>
      <c r="AP12" s="71"/>
      <c r="AQ12" s="119"/>
      <c r="AR12" s="71"/>
      <c r="AS12" s="119"/>
      <c r="AT12" s="71"/>
      <c r="AU12" s="119"/>
      <c r="AV12" s="71"/>
      <c r="AW12" s="119"/>
      <c r="AX12" s="71"/>
      <c r="AY12" s="119"/>
      <c r="AZ12" s="71"/>
      <c r="BA12" s="119"/>
      <c r="BB12" s="71"/>
      <c r="BC12" s="119"/>
      <c r="BD12" s="71"/>
      <c r="BE12" s="119"/>
      <c r="BF12" s="71"/>
      <c r="BG12" s="119"/>
      <c r="BH12" s="67">
        <f>SUM(AJ12:BF12)</f>
        <v>0</v>
      </c>
    </row>
    <row r="13" spans="2:60" s="1" customFormat="1" ht="15.6" hidden="1" outlineLevel="1">
      <c r="H13"/>
      <c r="I13" s="68" t="s">
        <v>568</v>
      </c>
      <c r="J13" s="69"/>
      <c r="K13" s="147">
        <f>SUMPRODUCT((MONTH($F$51:$F$77)=MONTH(K10))*(YEAR($F$51:$F$77)=YEAR(K10))*$G$51:$G$77)</f>
        <v>0</v>
      </c>
      <c r="L13" s="148">
        <f t="shared" ref="L13:AH13" si="16">L50</f>
        <v>0</v>
      </c>
      <c r="M13" s="147">
        <f>SUMPRODUCT((MONTH($F$51:$F$77)=MONTH(M10))*(YEAR($F$51:$F$77)=YEAR(M10))*$G$51:$G$77)</f>
        <v>0</v>
      </c>
      <c r="N13" s="148">
        <f t="shared" si="16"/>
        <v>0</v>
      </c>
      <c r="O13" s="147">
        <f>SUMPRODUCT((MONTH($F$51:$F$77)=MONTH(O10))*(YEAR($F$51:$F$77)=YEAR(O10))*$G$51:$G$77)</f>
        <v>0</v>
      </c>
      <c r="P13" s="148">
        <f t="shared" si="16"/>
        <v>0</v>
      </c>
      <c r="Q13" s="147">
        <f>SUMPRODUCT((MONTH($F$51:$F$77)=MONTH(Q10))*(YEAR($F$51:$F$77)=YEAR(Q10))*$G$51:$G$77)</f>
        <v>0</v>
      </c>
      <c r="R13" s="148">
        <f t="shared" si="16"/>
        <v>0</v>
      </c>
      <c r="S13" s="147">
        <f>SUMPRODUCT((MONTH($F$51:$F$77)=MONTH(S10))*(YEAR($F$51:$F$77)=YEAR(S10))*$G$51:$G$77)</f>
        <v>0</v>
      </c>
      <c r="T13" s="148">
        <f t="shared" si="16"/>
        <v>0</v>
      </c>
      <c r="U13" s="147">
        <f>SUMPRODUCT((MONTH($F$51:$F$77)=MONTH(U10))*(YEAR($F$51:$F$77)=YEAR(U10))*$G$51:$G$77)</f>
        <v>0</v>
      </c>
      <c r="V13" s="148">
        <f t="shared" si="16"/>
        <v>0</v>
      </c>
      <c r="W13" s="147">
        <f>SUMPRODUCT((MONTH($F$51:$F$77)=MONTH(W10))*(YEAR($F$51:$F$77)=YEAR(W10))*$G$51:$G$77)</f>
        <v>0</v>
      </c>
      <c r="X13" s="148">
        <f t="shared" si="16"/>
        <v>0</v>
      </c>
      <c r="Y13" s="147">
        <f>SUMPRODUCT((MONTH($F$51:$F$77)=MONTH(Y10))*(YEAR($F$51:$F$77)=YEAR(Y10))*$G$51:$G$77)</f>
        <v>0</v>
      </c>
      <c r="Z13" s="148">
        <f t="shared" si="16"/>
        <v>0</v>
      </c>
      <c r="AA13" s="147">
        <f>SUMPRODUCT((MONTH($F$51:$F$77)=MONTH(AA10))*(YEAR($F$51:$F$77)=YEAR(AA10))*$G$51:$G$77)</f>
        <v>0</v>
      </c>
      <c r="AB13" s="148">
        <f t="shared" si="16"/>
        <v>0</v>
      </c>
      <c r="AC13" s="147">
        <f>SUMPRODUCT((MONTH($F$51:$F$77)=MONTH(AC10))*(YEAR($F$51:$F$77)=YEAR(AC10))*$G$51:$G$77)</f>
        <v>0</v>
      </c>
      <c r="AD13" s="148">
        <f t="shared" si="16"/>
        <v>0</v>
      </c>
      <c r="AE13" s="147">
        <f>SUMPRODUCT((MONTH($F$51:$F$77)=MONTH(AE10))*(YEAR($F$51:$F$77)=YEAR(AE10))*$G$51:$G$77)</f>
        <v>0</v>
      </c>
      <c r="AF13" s="148">
        <f t="shared" si="16"/>
        <v>0</v>
      </c>
      <c r="AG13" s="147">
        <f>SUMPRODUCT((MONTH($F$51:$F$77)=MONTH(AG10))*(YEAR($F$51:$F$77)=YEAR(AG10))*$G$51:$G$77)</f>
        <v>0</v>
      </c>
      <c r="AH13" s="119">
        <f t="shared" si="16"/>
        <v>0</v>
      </c>
      <c r="AI13" s="67">
        <f>SUM(K13:AG13)</f>
        <v>0</v>
      </c>
      <c r="AJ13" s="71">
        <f>SUMPRODUCT((MONTH($F$51:$F$77)=MONTH(AJ10))*(YEAR($F$51:$F$77)=YEAR(AJ10))*$G$51:$G$77)</f>
        <v>0</v>
      </c>
      <c r="AK13" s="119">
        <f t="shared" ref="AK13:BG13" si="17">AK50</f>
        <v>0</v>
      </c>
      <c r="AL13" s="71">
        <f>SUMPRODUCT((MONTH($F$51:$F$77)=MONTH(AL10))*(YEAR($F$51:$F$77)=YEAR(AL10))*$G$51:$G$77)</f>
        <v>0</v>
      </c>
      <c r="AM13" s="119">
        <f t="shared" si="17"/>
        <v>0</v>
      </c>
      <c r="AN13" s="71">
        <f>SUMPRODUCT((MONTH($F$51:$F$77)=MONTH(AN10))*(YEAR($F$51:$F$77)=YEAR(AN10))*$G$51:$G$77)</f>
        <v>0</v>
      </c>
      <c r="AO13" s="119">
        <f t="shared" si="17"/>
        <v>0</v>
      </c>
      <c r="AP13" s="71">
        <f>SUMPRODUCT((MONTH($F$51:$F$77)=MONTH(AP10))*(YEAR($F$51:$F$77)=YEAR(AP10))*$G$51:$G$77)</f>
        <v>0</v>
      </c>
      <c r="AQ13" s="119">
        <f t="shared" si="17"/>
        <v>0</v>
      </c>
      <c r="AR13" s="71">
        <f>SUMPRODUCT((MONTH($F$51:$F$77)=MONTH(AR10))*(YEAR($F$51:$F$77)=YEAR(AR10))*$G$51:$G$77)</f>
        <v>0</v>
      </c>
      <c r="AS13" s="119">
        <f t="shared" si="17"/>
        <v>0</v>
      </c>
      <c r="AT13" s="71">
        <f>SUMPRODUCT((MONTH($F$51:$F$77)=MONTH(AT10))*(YEAR($F$51:$F$77)=YEAR(AT10))*$G$51:$G$77)</f>
        <v>0</v>
      </c>
      <c r="AU13" s="119">
        <f t="shared" si="17"/>
        <v>0</v>
      </c>
      <c r="AV13" s="71">
        <f>SUMPRODUCT((MONTH($F$51:$F$77)=MONTH(AV10))*(YEAR($F$51:$F$77)=YEAR(AV10))*$G$51:$G$77)</f>
        <v>0</v>
      </c>
      <c r="AW13" s="119">
        <f t="shared" si="17"/>
        <v>0</v>
      </c>
      <c r="AX13" s="71">
        <f>SUMPRODUCT((MONTH($F$51:$F$77)=MONTH(AX10))*(YEAR($F$51:$F$77)=YEAR(AX10))*$G$51:$G$77)</f>
        <v>0</v>
      </c>
      <c r="AY13" s="119">
        <f t="shared" si="17"/>
        <v>0</v>
      </c>
      <c r="AZ13" s="71">
        <f>SUMPRODUCT((MONTH($F$51:$F$77)=MONTH(AZ10))*(YEAR($F$51:$F$77)=YEAR(AZ10))*$G$51:$G$77)</f>
        <v>0</v>
      </c>
      <c r="BA13" s="119">
        <f t="shared" si="17"/>
        <v>0</v>
      </c>
      <c r="BB13" s="71">
        <f>SUMPRODUCT((MONTH($F$51:$F$77)=MONTH(BB10))*(YEAR($F$51:$F$77)=YEAR(BB10))*$G$51:$G$77)</f>
        <v>0</v>
      </c>
      <c r="BC13" s="119">
        <f t="shared" si="17"/>
        <v>0</v>
      </c>
      <c r="BD13" s="71">
        <f>SUMPRODUCT((MONTH($F$51:$F$77)=MONTH(BD10))*(YEAR($F$51:$F$77)=YEAR(BD10))*$G$51:$G$77)</f>
        <v>0</v>
      </c>
      <c r="BE13" s="119">
        <f t="shared" si="17"/>
        <v>0</v>
      </c>
      <c r="BF13" s="71">
        <f>SUMPRODUCT((MONTH($F$51:$F$77)=MONTH(BF10))*(YEAR($F$51:$F$77)=YEAR(BF10))*$G$51:$G$77)</f>
        <v>0</v>
      </c>
      <c r="BG13" s="119">
        <f t="shared" si="17"/>
        <v>0</v>
      </c>
      <c r="BH13" s="67">
        <f>SUM(AJ13:BF13)</f>
        <v>0</v>
      </c>
    </row>
    <row r="14" spans="2:60" s="1" customFormat="1" ht="15.6" hidden="1" outlineLevel="1">
      <c r="H14"/>
      <c r="I14" s="68" t="s">
        <v>569</v>
      </c>
      <c r="J14" s="69"/>
      <c r="K14" s="71">
        <f>K50</f>
        <v>0</v>
      </c>
      <c r="L14" s="119"/>
      <c r="M14" s="71">
        <f>M50</f>
        <v>0</v>
      </c>
      <c r="N14" s="119"/>
      <c r="O14" s="71">
        <f>O50</f>
        <v>0</v>
      </c>
      <c r="P14" s="119"/>
      <c r="Q14" s="71">
        <f>Q50</f>
        <v>0</v>
      </c>
      <c r="R14" s="119"/>
      <c r="S14" s="71">
        <f>S50</f>
        <v>0</v>
      </c>
      <c r="T14" s="119"/>
      <c r="U14" s="71">
        <f>U50</f>
        <v>0</v>
      </c>
      <c r="V14" s="119"/>
      <c r="W14" s="71">
        <f>W50</f>
        <v>0</v>
      </c>
      <c r="X14" s="119"/>
      <c r="Y14" s="71">
        <f>Y50</f>
        <v>0</v>
      </c>
      <c r="Z14" s="119"/>
      <c r="AA14" s="71">
        <f>AA50</f>
        <v>0</v>
      </c>
      <c r="AB14" s="119"/>
      <c r="AC14" s="71">
        <f>AC50</f>
        <v>0</v>
      </c>
      <c r="AD14" s="119"/>
      <c r="AE14" s="71">
        <f>AE50</f>
        <v>0</v>
      </c>
      <c r="AF14" s="119"/>
      <c r="AG14" s="71">
        <f>AG50</f>
        <v>0</v>
      </c>
      <c r="AH14" s="119"/>
      <c r="AI14" s="67">
        <f>SUM(K14:AG14)</f>
        <v>0</v>
      </c>
      <c r="AJ14" s="71">
        <f>AJ50</f>
        <v>0</v>
      </c>
      <c r="AK14" s="119"/>
      <c r="AL14" s="71">
        <f>AL50</f>
        <v>0</v>
      </c>
      <c r="AM14" s="119"/>
      <c r="AN14" s="71">
        <f>AN50</f>
        <v>0</v>
      </c>
      <c r="AO14" s="119"/>
      <c r="AP14" s="71">
        <f>AP50</f>
        <v>0</v>
      </c>
      <c r="AQ14" s="119"/>
      <c r="AR14" s="71">
        <f>AR50</f>
        <v>0</v>
      </c>
      <c r="AS14" s="119"/>
      <c r="AT14" s="71">
        <f>AT50</f>
        <v>0</v>
      </c>
      <c r="AU14" s="119"/>
      <c r="AV14" s="71">
        <f>AV50</f>
        <v>0</v>
      </c>
      <c r="AW14" s="119"/>
      <c r="AX14" s="71">
        <f>AX50</f>
        <v>0</v>
      </c>
      <c r="AY14" s="119"/>
      <c r="AZ14" s="71">
        <f>AZ50</f>
        <v>0</v>
      </c>
      <c r="BA14" s="119"/>
      <c r="BB14" s="71">
        <f>BB50</f>
        <v>0</v>
      </c>
      <c r="BC14" s="119"/>
      <c r="BD14" s="71">
        <f>BD50</f>
        <v>0</v>
      </c>
      <c r="BE14" s="119"/>
      <c r="BF14" s="71">
        <f>BF50</f>
        <v>0</v>
      </c>
      <c r="BG14" s="119"/>
      <c r="BH14" s="67">
        <f>SUM(AJ14:BF14)</f>
        <v>0</v>
      </c>
    </row>
    <row r="15" spans="2:60" s="1" customFormat="1" ht="15.6" hidden="1" outlineLevel="1" thickBot="1">
      <c r="F15" s="72"/>
      <c r="M15" s="73"/>
      <c r="N15" s="73"/>
      <c r="O15" s="73"/>
      <c r="P15" s="73"/>
      <c r="Q15" s="73"/>
      <c r="R15" s="73"/>
      <c r="S15" s="73"/>
      <c r="T15" s="73"/>
      <c r="U15" s="73"/>
      <c r="V15" s="73"/>
      <c r="W15" s="73"/>
      <c r="X15" s="73"/>
      <c r="Y15" s="73"/>
      <c r="Z15" s="73"/>
      <c r="AA15" s="73"/>
      <c r="AB15" s="73"/>
      <c r="AC15" s="73"/>
      <c r="AD15" s="73"/>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c r="BC15" s="73"/>
      <c r="BD15" s="73"/>
      <c r="BE15" s="73"/>
      <c r="BF15" s="73"/>
      <c r="BG15" s="73"/>
    </row>
    <row r="16" spans="2:60" s="1" customFormat="1" ht="24.75" customHeight="1" collapsed="1">
      <c r="B16" s="74" t="s">
        <v>541</v>
      </c>
      <c r="C16" s="74"/>
      <c r="D16" s="74"/>
      <c r="E16" s="74"/>
      <c r="F16" s="74"/>
      <c r="G16" s="74"/>
      <c r="H16" s="74"/>
      <c r="I16" s="74"/>
      <c r="J16" s="199"/>
      <c r="K16" s="183">
        <f t="shared" ref="K16:AH16" si="18">K4</f>
        <v>42370</v>
      </c>
      <c r="L16" s="183" t="str">
        <f t="shared" si="18"/>
        <v>REAL Jan/16</v>
      </c>
      <c r="M16" s="183">
        <f t="shared" si="18"/>
        <v>42401</v>
      </c>
      <c r="N16" s="183" t="str">
        <f t="shared" si="18"/>
        <v>REAL Fev/16</v>
      </c>
      <c r="O16" s="183">
        <f t="shared" si="18"/>
        <v>42430</v>
      </c>
      <c r="P16" s="183" t="str">
        <f t="shared" si="18"/>
        <v>REAL Mar/16</v>
      </c>
      <c r="Q16" s="183">
        <f t="shared" si="18"/>
        <v>42461</v>
      </c>
      <c r="R16" s="183" t="str">
        <f t="shared" si="18"/>
        <v>REAL Abr/16</v>
      </c>
      <c r="S16" s="183">
        <f t="shared" si="18"/>
        <v>42491</v>
      </c>
      <c r="T16" s="183" t="str">
        <f t="shared" si="18"/>
        <v>REAL Mai/16</v>
      </c>
      <c r="U16" s="183">
        <f t="shared" si="18"/>
        <v>42522</v>
      </c>
      <c r="V16" s="183" t="str">
        <f t="shared" si="18"/>
        <v>REAL Jun/16</v>
      </c>
      <c r="W16" s="183">
        <f t="shared" si="18"/>
        <v>42552</v>
      </c>
      <c r="X16" s="183" t="str">
        <f t="shared" si="18"/>
        <v>REAL Jul/16</v>
      </c>
      <c r="Y16" s="183">
        <f t="shared" si="18"/>
        <v>42583</v>
      </c>
      <c r="Z16" s="183" t="str">
        <f t="shared" si="18"/>
        <v>REAL Ago/16</v>
      </c>
      <c r="AA16" s="183">
        <f t="shared" si="18"/>
        <v>42614</v>
      </c>
      <c r="AB16" s="183" t="str">
        <f t="shared" si="18"/>
        <v>REAL Set/16</v>
      </c>
      <c r="AC16" s="183">
        <f t="shared" si="18"/>
        <v>42644</v>
      </c>
      <c r="AD16" s="183" t="str">
        <f t="shared" si="18"/>
        <v>REAL Out/16</v>
      </c>
      <c r="AE16" s="183">
        <f t="shared" si="18"/>
        <v>42675</v>
      </c>
      <c r="AF16" s="183" t="str">
        <f t="shared" si="18"/>
        <v>REAL Nov/16</v>
      </c>
      <c r="AG16" s="183">
        <f t="shared" si="18"/>
        <v>42705</v>
      </c>
      <c r="AH16" s="183" t="str">
        <f t="shared" si="18"/>
        <v>REAL Dez/16</v>
      </c>
      <c r="AI16" s="126"/>
      <c r="AJ16" s="183">
        <f t="shared" ref="AJ16:BG16" si="19">AJ4</f>
        <v>42736</v>
      </c>
      <c r="AK16" s="183" t="str">
        <f t="shared" si="19"/>
        <v>REAL Jan/17</v>
      </c>
      <c r="AL16" s="183">
        <f t="shared" si="19"/>
        <v>42767</v>
      </c>
      <c r="AM16" s="183" t="str">
        <f t="shared" si="19"/>
        <v>REAL Fev/17</v>
      </c>
      <c r="AN16" s="183">
        <f t="shared" si="19"/>
        <v>42795</v>
      </c>
      <c r="AO16" s="183" t="str">
        <f t="shared" si="19"/>
        <v>REAL Mar/17</v>
      </c>
      <c r="AP16" s="183">
        <f t="shared" si="19"/>
        <v>42826</v>
      </c>
      <c r="AQ16" s="183" t="str">
        <f t="shared" si="19"/>
        <v>REAL Abr/17</v>
      </c>
      <c r="AR16" s="183">
        <f t="shared" si="19"/>
        <v>42856</v>
      </c>
      <c r="AS16" s="183" t="str">
        <f t="shared" si="19"/>
        <v>REAL Mai/17</v>
      </c>
      <c r="AT16" s="183">
        <f t="shared" si="19"/>
        <v>42887</v>
      </c>
      <c r="AU16" s="183" t="str">
        <f t="shared" si="19"/>
        <v>REAL Jun/17</v>
      </c>
      <c r="AV16" s="183">
        <f t="shared" si="19"/>
        <v>42917</v>
      </c>
      <c r="AW16" s="183" t="str">
        <f t="shared" si="19"/>
        <v>REAL Jul/17</v>
      </c>
      <c r="AX16" s="183">
        <f t="shared" si="19"/>
        <v>42948</v>
      </c>
      <c r="AY16" s="183" t="str">
        <f t="shared" si="19"/>
        <v>REAL Ago/17</v>
      </c>
      <c r="AZ16" s="183">
        <f t="shared" si="19"/>
        <v>42979</v>
      </c>
      <c r="BA16" s="183" t="str">
        <f t="shared" si="19"/>
        <v>REAL Set/17</v>
      </c>
      <c r="BB16" s="183">
        <f t="shared" si="19"/>
        <v>43009</v>
      </c>
      <c r="BC16" s="183" t="str">
        <f t="shared" si="19"/>
        <v>REAL Out/17</v>
      </c>
      <c r="BD16" s="183">
        <f t="shared" si="19"/>
        <v>43040</v>
      </c>
      <c r="BE16" s="183" t="str">
        <f t="shared" si="19"/>
        <v>REAL Nov/17</v>
      </c>
      <c r="BF16" s="183">
        <f t="shared" si="19"/>
        <v>43070</v>
      </c>
      <c r="BG16" s="183" t="str">
        <f t="shared" si="19"/>
        <v>REAL Dez/17</v>
      </c>
    </row>
    <row r="17" spans="2:59" s="83" customFormat="1" ht="26.1">
      <c r="B17" s="75" t="s">
        <v>571</v>
      </c>
      <c r="C17" s="76" t="s">
        <v>572</v>
      </c>
      <c r="D17" s="76" t="s">
        <v>573</v>
      </c>
      <c r="E17" s="76" t="s">
        <v>436</v>
      </c>
      <c r="F17" s="77" t="s">
        <v>574</v>
      </c>
      <c r="G17" s="78" t="s">
        <v>575</v>
      </c>
      <c r="H17" s="76" t="s">
        <v>576</v>
      </c>
      <c r="I17" s="149" t="s">
        <v>577</v>
      </c>
      <c r="J17" s="77" t="s">
        <v>578</v>
      </c>
      <c r="K17" s="79" t="s">
        <v>579</v>
      </c>
      <c r="L17" s="80" t="s">
        <v>580</v>
      </c>
      <c r="M17" s="79" t="s">
        <v>579</v>
      </c>
      <c r="N17" s="80" t="s">
        <v>580</v>
      </c>
      <c r="O17" s="79" t="s">
        <v>579</v>
      </c>
      <c r="P17" s="80" t="s">
        <v>580</v>
      </c>
      <c r="Q17" s="79" t="s">
        <v>579</v>
      </c>
      <c r="R17" s="80" t="s">
        <v>580</v>
      </c>
      <c r="S17" s="79" t="s">
        <v>579</v>
      </c>
      <c r="T17" s="80" t="s">
        <v>580</v>
      </c>
      <c r="U17" s="79" t="s">
        <v>579</v>
      </c>
      <c r="V17" s="80" t="s">
        <v>580</v>
      </c>
      <c r="W17" s="79" t="s">
        <v>579</v>
      </c>
      <c r="X17" s="80" t="s">
        <v>580</v>
      </c>
      <c r="Y17" s="79" t="s">
        <v>579</v>
      </c>
      <c r="Z17" s="80" t="s">
        <v>580</v>
      </c>
      <c r="AA17" s="79" t="s">
        <v>579</v>
      </c>
      <c r="AB17" s="80" t="s">
        <v>580</v>
      </c>
      <c r="AC17" s="79" t="s">
        <v>579</v>
      </c>
      <c r="AD17" s="80" t="s">
        <v>580</v>
      </c>
      <c r="AE17" s="79" t="s">
        <v>579</v>
      </c>
      <c r="AF17" s="80" t="s">
        <v>580</v>
      </c>
      <c r="AG17" s="79" t="s">
        <v>579</v>
      </c>
      <c r="AH17" s="80" t="s">
        <v>580</v>
      </c>
      <c r="AI17" s="126"/>
      <c r="AJ17" s="79" t="s">
        <v>579</v>
      </c>
      <c r="AK17" s="80" t="s">
        <v>580</v>
      </c>
      <c r="AL17" s="79" t="s">
        <v>579</v>
      </c>
      <c r="AM17" s="80" t="s">
        <v>580</v>
      </c>
      <c r="AN17" s="79" t="s">
        <v>579</v>
      </c>
      <c r="AO17" s="80" t="s">
        <v>580</v>
      </c>
      <c r="AP17" s="79" t="s">
        <v>579</v>
      </c>
      <c r="AQ17" s="80" t="s">
        <v>580</v>
      </c>
      <c r="AR17" s="79" t="s">
        <v>579</v>
      </c>
      <c r="AS17" s="80" t="s">
        <v>580</v>
      </c>
      <c r="AT17" s="79" t="s">
        <v>579</v>
      </c>
      <c r="AU17" s="80" t="s">
        <v>580</v>
      </c>
      <c r="AV17" s="79" t="s">
        <v>579</v>
      </c>
      <c r="AW17" s="80" t="s">
        <v>580</v>
      </c>
      <c r="AX17" s="79" t="s">
        <v>579</v>
      </c>
      <c r="AY17" s="80" t="s">
        <v>580</v>
      </c>
      <c r="AZ17" s="79" t="s">
        <v>579</v>
      </c>
      <c r="BA17" s="80" t="s">
        <v>580</v>
      </c>
      <c r="BB17" s="79" t="s">
        <v>579</v>
      </c>
      <c r="BC17" s="80" t="s">
        <v>580</v>
      </c>
      <c r="BD17" s="79" t="s">
        <v>579</v>
      </c>
      <c r="BE17" s="80" t="s">
        <v>580</v>
      </c>
      <c r="BF17" s="79" t="s">
        <v>579</v>
      </c>
      <c r="BG17" s="80" t="s">
        <v>580</v>
      </c>
    </row>
    <row r="18" spans="2:59" s="1" customFormat="1" ht="14.1">
      <c r="B18" s="84"/>
      <c r="C18" s="85" t="s">
        <v>405</v>
      </c>
      <c r="D18" s="85"/>
      <c r="E18" s="85"/>
      <c r="F18" s="86"/>
      <c r="G18" s="144">
        <f t="shared" ref="G18:BG18" si="20">SUM(G19:G45)</f>
        <v>0</v>
      </c>
      <c r="H18" s="150">
        <f>SUM(H19:H45)</f>
        <v>0</v>
      </c>
      <c r="I18" s="88">
        <f t="shared" ref="I18" si="21">SUM(I19:I45)</f>
        <v>0</v>
      </c>
      <c r="J18" s="85"/>
      <c r="K18" s="88">
        <f t="shared" si="20"/>
        <v>0</v>
      </c>
      <c r="L18" s="88">
        <f t="shared" si="20"/>
        <v>0</v>
      </c>
      <c r="M18" s="88">
        <f t="shared" si="20"/>
        <v>0</v>
      </c>
      <c r="N18" s="88">
        <f t="shared" si="20"/>
        <v>0</v>
      </c>
      <c r="O18" s="88">
        <f t="shared" si="20"/>
        <v>0</v>
      </c>
      <c r="P18" s="88">
        <f t="shared" si="20"/>
        <v>0</v>
      </c>
      <c r="Q18" s="88">
        <f t="shared" si="20"/>
        <v>0</v>
      </c>
      <c r="R18" s="88">
        <f t="shared" si="20"/>
        <v>0</v>
      </c>
      <c r="S18" s="88">
        <f t="shared" si="20"/>
        <v>0</v>
      </c>
      <c r="T18" s="88">
        <f t="shared" si="20"/>
        <v>0</v>
      </c>
      <c r="U18" s="88">
        <f t="shared" si="20"/>
        <v>0</v>
      </c>
      <c r="V18" s="88">
        <f t="shared" si="20"/>
        <v>0</v>
      </c>
      <c r="W18" s="88">
        <f t="shared" si="20"/>
        <v>0</v>
      </c>
      <c r="X18" s="88">
        <f t="shared" si="20"/>
        <v>0</v>
      </c>
      <c r="Y18" s="88">
        <f t="shared" si="20"/>
        <v>0</v>
      </c>
      <c r="Z18" s="88">
        <f t="shared" si="20"/>
        <v>0</v>
      </c>
      <c r="AA18" s="88">
        <f t="shared" si="20"/>
        <v>0</v>
      </c>
      <c r="AB18" s="88">
        <f t="shared" si="20"/>
        <v>0</v>
      </c>
      <c r="AC18" s="88">
        <f t="shared" si="20"/>
        <v>0</v>
      </c>
      <c r="AD18" s="88">
        <f t="shared" si="20"/>
        <v>0</v>
      </c>
      <c r="AE18" s="88">
        <f t="shared" si="20"/>
        <v>0</v>
      </c>
      <c r="AF18" s="88">
        <f t="shared" si="20"/>
        <v>0</v>
      </c>
      <c r="AG18" s="120">
        <f t="shared" si="20"/>
        <v>0</v>
      </c>
      <c r="AH18" s="131">
        <f t="shared" si="20"/>
        <v>0</v>
      </c>
      <c r="AI18" s="127"/>
      <c r="AJ18" s="88">
        <f t="shared" si="20"/>
        <v>0</v>
      </c>
      <c r="AK18" s="88">
        <f t="shared" si="20"/>
        <v>0</v>
      </c>
      <c r="AL18" s="88">
        <f t="shared" si="20"/>
        <v>0</v>
      </c>
      <c r="AM18" s="88">
        <f t="shared" si="20"/>
        <v>0</v>
      </c>
      <c r="AN18" s="88">
        <f t="shared" si="20"/>
        <v>0</v>
      </c>
      <c r="AO18" s="88">
        <f t="shared" si="20"/>
        <v>0</v>
      </c>
      <c r="AP18" s="88">
        <f t="shared" si="20"/>
        <v>0</v>
      </c>
      <c r="AQ18" s="88">
        <f t="shared" si="20"/>
        <v>0</v>
      </c>
      <c r="AR18" s="88">
        <f t="shared" si="20"/>
        <v>0</v>
      </c>
      <c r="AS18" s="88">
        <f t="shared" si="20"/>
        <v>0</v>
      </c>
      <c r="AT18" s="88">
        <f t="shared" si="20"/>
        <v>0</v>
      </c>
      <c r="AU18" s="88">
        <f t="shared" si="20"/>
        <v>0</v>
      </c>
      <c r="AV18" s="88">
        <f t="shared" si="20"/>
        <v>0</v>
      </c>
      <c r="AW18" s="88">
        <f t="shared" si="20"/>
        <v>0</v>
      </c>
      <c r="AX18" s="88">
        <f t="shared" si="20"/>
        <v>0</v>
      </c>
      <c r="AY18" s="88">
        <f t="shared" si="20"/>
        <v>0</v>
      </c>
      <c r="AZ18" s="88">
        <f t="shared" si="20"/>
        <v>0</v>
      </c>
      <c r="BA18" s="88">
        <f t="shared" si="20"/>
        <v>0</v>
      </c>
      <c r="BB18" s="88">
        <f t="shared" si="20"/>
        <v>0</v>
      </c>
      <c r="BC18" s="88">
        <f t="shared" si="20"/>
        <v>0</v>
      </c>
      <c r="BD18" s="88">
        <f t="shared" si="20"/>
        <v>0</v>
      </c>
      <c r="BE18" s="88">
        <f t="shared" si="20"/>
        <v>0</v>
      </c>
      <c r="BF18" s="88">
        <f t="shared" si="20"/>
        <v>0</v>
      </c>
      <c r="BG18" s="144">
        <f t="shared" si="20"/>
        <v>0</v>
      </c>
    </row>
    <row r="19" spans="2:59" s="1" customFormat="1">
      <c r="B19" s="135"/>
      <c r="C19" s="135"/>
      <c r="D19" s="136"/>
      <c r="E19" s="136"/>
      <c r="F19" s="137"/>
      <c r="G19" s="145"/>
      <c r="H19" s="151">
        <f>SUMIF($K$17:$BG$17,"REAL",K19:BG19)</f>
        <v>0</v>
      </c>
      <c r="I19" s="151">
        <f>G19-H19</f>
        <v>0</v>
      </c>
      <c r="J19" s="152" t="str">
        <f>IF(C19="","Sem PO",IF(I19=G19,"Sem Fatura",IF(OR(H19=G19,H19&gt;G19),"Concluido","Em Andamento")))</f>
        <v>Sem PO</v>
      </c>
      <c r="K19" s="155"/>
      <c r="L19" s="156"/>
      <c r="M19" s="157"/>
      <c r="N19" s="156"/>
      <c r="O19" s="157"/>
      <c r="P19" s="156"/>
      <c r="Q19" s="157"/>
      <c r="R19" s="156"/>
      <c r="S19" s="157"/>
      <c r="T19" s="156"/>
      <c r="U19" s="157"/>
      <c r="V19" s="156"/>
      <c r="W19" s="157"/>
      <c r="X19" s="156"/>
      <c r="Y19" s="157"/>
      <c r="Z19" s="156"/>
      <c r="AA19" s="157"/>
      <c r="AB19" s="156"/>
      <c r="AC19" s="157"/>
      <c r="AD19" s="156"/>
      <c r="AE19" s="158"/>
      <c r="AF19" s="156"/>
      <c r="AG19" s="157"/>
      <c r="AH19" s="156"/>
      <c r="AI19" s="159"/>
      <c r="AJ19" s="160"/>
      <c r="AK19" s="156"/>
      <c r="AL19" s="157"/>
      <c r="AM19" s="156"/>
      <c r="AN19" s="157"/>
      <c r="AO19" s="156"/>
      <c r="AP19" s="157"/>
      <c r="AQ19" s="156"/>
      <c r="AR19" s="157"/>
      <c r="AS19" s="156"/>
      <c r="AT19" s="157"/>
      <c r="AU19" s="156"/>
      <c r="AV19" s="157"/>
      <c r="AW19" s="156"/>
      <c r="AX19" s="157"/>
      <c r="AY19" s="156"/>
      <c r="AZ19" s="157"/>
      <c r="BA19" s="156"/>
      <c r="BB19" s="157"/>
      <c r="BC19" s="156"/>
      <c r="BD19" s="157"/>
      <c r="BE19" s="156"/>
      <c r="BF19" s="157"/>
      <c r="BG19" s="161"/>
    </row>
    <row r="20" spans="2:59" s="1" customFormat="1">
      <c r="B20" s="135"/>
      <c r="C20" s="135"/>
      <c r="D20" s="136"/>
      <c r="E20" s="136"/>
      <c r="F20" s="137"/>
      <c r="G20" s="139"/>
      <c r="H20" s="151">
        <f>SUMIF($K$17:$BG$17,"REAL",K20:BG20)</f>
        <v>0</v>
      </c>
      <c r="I20" s="151">
        <f t="shared" ref="I20:I44" si="22">G20-H20</f>
        <v>0</v>
      </c>
      <c r="J20" s="152" t="str">
        <f>IF(C20="","Sem PO",IF(I20=G20,"Sem Fatura",IF(OR(H20=G20,H20&gt;G20),"Concluido","Em Andamento")))</f>
        <v>Sem PO</v>
      </c>
      <c r="K20" s="162"/>
      <c r="L20" s="163"/>
      <c r="M20" s="164"/>
      <c r="N20" s="163"/>
      <c r="O20" s="164"/>
      <c r="P20" s="163"/>
      <c r="Q20" s="164"/>
      <c r="R20" s="163"/>
      <c r="S20" s="164"/>
      <c r="T20" s="163"/>
      <c r="U20" s="164"/>
      <c r="V20" s="163"/>
      <c r="W20" s="164"/>
      <c r="X20" s="163"/>
      <c r="Y20" s="164"/>
      <c r="Z20" s="163"/>
      <c r="AA20" s="164"/>
      <c r="AB20" s="163"/>
      <c r="AC20" s="164"/>
      <c r="AD20" s="163"/>
      <c r="AE20" s="164"/>
      <c r="AF20" s="156"/>
      <c r="AG20" s="164"/>
      <c r="AH20" s="163"/>
      <c r="AI20" s="165"/>
      <c r="AJ20" s="166"/>
      <c r="AK20" s="163"/>
      <c r="AL20" s="164"/>
      <c r="AM20" s="163"/>
      <c r="AN20" s="164"/>
      <c r="AO20" s="163"/>
      <c r="AP20" s="164"/>
      <c r="AQ20" s="163"/>
      <c r="AR20" s="164"/>
      <c r="AS20" s="163"/>
      <c r="AT20" s="164"/>
      <c r="AU20" s="163"/>
      <c r="AV20" s="164"/>
      <c r="AW20" s="163"/>
      <c r="AX20" s="164"/>
      <c r="AY20" s="163"/>
      <c r="AZ20" s="164"/>
      <c r="BA20" s="163"/>
      <c r="BB20" s="164"/>
      <c r="BC20" s="163"/>
      <c r="BD20" s="164"/>
      <c r="BE20" s="163"/>
      <c r="BF20" s="164"/>
      <c r="BG20" s="167"/>
    </row>
    <row r="21" spans="2:59" s="1" customFormat="1">
      <c r="B21" s="135"/>
      <c r="C21" s="135"/>
      <c r="D21" s="136"/>
      <c r="E21" s="136"/>
      <c r="F21" s="137"/>
      <c r="G21" s="139"/>
      <c r="H21" s="151">
        <f>SUMIF($K$17:$BG$17,"REAL",K21:BG21)</f>
        <v>0</v>
      </c>
      <c r="I21" s="151">
        <f t="shared" si="22"/>
        <v>0</v>
      </c>
      <c r="J21" s="152" t="str">
        <f>IF(C21="","Sem PO",IF(I21=G21,"Sem Fatura",IF(OR(H21=G21,H21&gt;G21),"Concluido","Em Andamento")))</f>
        <v>Sem PO</v>
      </c>
      <c r="K21" s="162"/>
      <c r="L21" s="163"/>
      <c r="M21" s="164"/>
      <c r="N21" s="163"/>
      <c r="O21" s="164"/>
      <c r="P21" s="163"/>
      <c r="Q21" s="164"/>
      <c r="R21" s="163"/>
      <c r="S21" s="164"/>
      <c r="T21" s="163"/>
      <c r="U21" s="164"/>
      <c r="V21" s="163"/>
      <c r="W21" s="164"/>
      <c r="X21" s="163"/>
      <c r="Y21" s="164"/>
      <c r="Z21" s="163"/>
      <c r="AA21" s="164"/>
      <c r="AB21" s="163"/>
      <c r="AC21" s="164"/>
      <c r="AD21" s="163"/>
      <c r="AE21" s="164"/>
      <c r="AF21" s="156"/>
      <c r="AG21" s="168"/>
      <c r="AH21" s="163"/>
      <c r="AI21" s="165"/>
      <c r="AJ21" s="166"/>
      <c r="AK21" s="163"/>
      <c r="AL21" s="164"/>
      <c r="AM21" s="163"/>
      <c r="AN21" s="164"/>
      <c r="AO21" s="163"/>
      <c r="AP21" s="164"/>
      <c r="AQ21" s="163"/>
      <c r="AR21" s="164"/>
      <c r="AS21" s="163"/>
      <c r="AT21" s="164"/>
      <c r="AU21" s="163"/>
      <c r="AV21" s="164"/>
      <c r="AW21" s="163"/>
      <c r="AX21" s="164"/>
      <c r="AY21" s="163"/>
      <c r="AZ21" s="164"/>
      <c r="BA21" s="163"/>
      <c r="BB21" s="164"/>
      <c r="BC21" s="163"/>
      <c r="BD21" s="164"/>
      <c r="BE21" s="163"/>
      <c r="BF21" s="164"/>
      <c r="BG21" s="167"/>
    </row>
    <row r="22" spans="2:59" s="1" customFormat="1">
      <c r="B22" s="135"/>
      <c r="C22" s="135"/>
      <c r="D22" s="136"/>
      <c r="E22" s="136"/>
      <c r="F22" s="137"/>
      <c r="G22" s="139"/>
      <c r="H22" s="151">
        <f>SUMIF($K$17:$BG$17,"REAL",K22:BG22)</f>
        <v>0</v>
      </c>
      <c r="I22" s="151">
        <f t="shared" si="22"/>
        <v>0</v>
      </c>
      <c r="J22" s="152" t="str">
        <f t="shared" ref="J22:J44" si="23">IF(C22="","Sem PO",IF(I22=G22,"Sem Fatura",IF(OR(H22=G22,H22&gt;G22),"Concluido","Em Andamento")))</f>
        <v>Sem PO</v>
      </c>
      <c r="K22" s="162"/>
      <c r="L22" s="163"/>
      <c r="M22" s="164"/>
      <c r="N22" s="163"/>
      <c r="O22" s="164"/>
      <c r="P22" s="163"/>
      <c r="Q22" s="164"/>
      <c r="R22" s="163"/>
      <c r="S22" s="164"/>
      <c r="T22" s="163"/>
      <c r="U22" s="164"/>
      <c r="V22" s="163"/>
      <c r="W22" s="164"/>
      <c r="X22" s="163"/>
      <c r="Y22" s="164"/>
      <c r="Z22" s="163"/>
      <c r="AA22" s="164"/>
      <c r="AB22" s="163"/>
      <c r="AC22" s="164"/>
      <c r="AD22" s="163"/>
      <c r="AE22" s="164"/>
      <c r="AF22" s="156"/>
      <c r="AG22" s="168"/>
      <c r="AH22" s="163"/>
      <c r="AI22" s="165"/>
      <c r="AJ22" s="166"/>
      <c r="AK22" s="163"/>
      <c r="AL22" s="164"/>
      <c r="AM22" s="163"/>
      <c r="AN22" s="164"/>
      <c r="AO22" s="163"/>
      <c r="AP22" s="164"/>
      <c r="AQ22" s="163"/>
      <c r="AR22" s="164"/>
      <c r="AS22" s="163"/>
      <c r="AT22" s="164"/>
      <c r="AU22" s="163"/>
      <c r="AV22" s="164"/>
      <c r="AW22" s="163"/>
      <c r="AX22" s="164"/>
      <c r="AY22" s="163"/>
      <c r="AZ22" s="164"/>
      <c r="BA22" s="163"/>
      <c r="BB22" s="164"/>
      <c r="BC22" s="163"/>
      <c r="BD22" s="164"/>
      <c r="BE22" s="163"/>
      <c r="BF22" s="164"/>
      <c r="BG22" s="167"/>
    </row>
    <row r="23" spans="2:59" s="1" customFormat="1">
      <c r="B23" s="135"/>
      <c r="C23" s="135"/>
      <c r="D23" s="136"/>
      <c r="E23" s="136"/>
      <c r="F23" s="137"/>
      <c r="G23" s="139"/>
      <c r="H23" s="151">
        <f>SUMIF($K$17:$BG$17,"REAL",K23:BG23)</f>
        <v>0</v>
      </c>
      <c r="I23" s="151">
        <f t="shared" si="22"/>
        <v>0</v>
      </c>
      <c r="J23" s="152" t="str">
        <f t="shared" si="23"/>
        <v>Sem PO</v>
      </c>
      <c r="K23" s="162"/>
      <c r="L23" s="163"/>
      <c r="M23" s="164"/>
      <c r="N23" s="163"/>
      <c r="O23" s="164"/>
      <c r="P23" s="163"/>
      <c r="Q23" s="164"/>
      <c r="R23" s="163"/>
      <c r="S23" s="164"/>
      <c r="T23" s="163"/>
      <c r="U23" s="164"/>
      <c r="V23" s="163"/>
      <c r="W23" s="164"/>
      <c r="X23" s="163"/>
      <c r="Y23" s="164"/>
      <c r="Z23" s="163"/>
      <c r="AA23" s="164"/>
      <c r="AB23" s="163"/>
      <c r="AC23" s="164"/>
      <c r="AD23" s="163"/>
      <c r="AE23" s="164"/>
      <c r="AF23" s="156"/>
      <c r="AG23" s="168"/>
      <c r="AH23" s="163"/>
      <c r="AI23" s="165"/>
      <c r="AJ23" s="166"/>
      <c r="AK23" s="163"/>
      <c r="AL23" s="164"/>
      <c r="AM23" s="163"/>
      <c r="AN23" s="164"/>
      <c r="AO23" s="163"/>
      <c r="AP23" s="164"/>
      <c r="AQ23" s="163"/>
      <c r="AR23" s="164"/>
      <c r="AS23" s="163"/>
      <c r="AT23" s="164"/>
      <c r="AU23" s="163"/>
      <c r="AV23" s="164"/>
      <c r="AW23" s="163"/>
      <c r="AX23" s="164"/>
      <c r="AY23" s="163"/>
      <c r="AZ23" s="164"/>
      <c r="BA23" s="163"/>
      <c r="BB23" s="164"/>
      <c r="BC23" s="163"/>
      <c r="BD23" s="164"/>
      <c r="BE23" s="163"/>
      <c r="BF23" s="164"/>
      <c r="BG23" s="167"/>
    </row>
    <row r="24" spans="2:59" s="1" customFormat="1">
      <c r="B24" s="135"/>
      <c r="C24" s="135"/>
      <c r="D24" s="136"/>
      <c r="E24" s="136"/>
      <c r="F24" s="137"/>
      <c r="G24" s="139"/>
      <c r="H24" s="151">
        <f t="shared" ref="H24:H44" si="24">SUMIF($K$17:$BG$17,"REAL",K24:BG24)</f>
        <v>0</v>
      </c>
      <c r="I24" s="151">
        <f t="shared" si="22"/>
        <v>0</v>
      </c>
      <c r="J24" s="152" t="str">
        <f t="shared" si="23"/>
        <v>Sem PO</v>
      </c>
      <c r="K24" s="162"/>
      <c r="L24" s="163"/>
      <c r="M24" s="164"/>
      <c r="N24" s="163"/>
      <c r="O24" s="164"/>
      <c r="P24" s="163"/>
      <c r="Q24" s="164"/>
      <c r="R24" s="163"/>
      <c r="S24" s="164"/>
      <c r="T24" s="163"/>
      <c r="U24" s="164"/>
      <c r="V24" s="163"/>
      <c r="W24" s="164"/>
      <c r="X24" s="163"/>
      <c r="Y24" s="164"/>
      <c r="Z24" s="163"/>
      <c r="AA24" s="164"/>
      <c r="AB24" s="163"/>
      <c r="AC24" s="164"/>
      <c r="AD24" s="163"/>
      <c r="AE24" s="164"/>
      <c r="AF24" s="156"/>
      <c r="AG24" s="168"/>
      <c r="AH24" s="163"/>
      <c r="AI24" s="165"/>
      <c r="AJ24" s="166"/>
      <c r="AK24" s="163"/>
      <c r="AL24" s="164"/>
      <c r="AM24" s="163"/>
      <c r="AN24" s="164"/>
      <c r="AO24" s="163"/>
      <c r="AP24" s="164"/>
      <c r="AQ24" s="163"/>
      <c r="AR24" s="164"/>
      <c r="AS24" s="163"/>
      <c r="AT24" s="164"/>
      <c r="AU24" s="163"/>
      <c r="AV24" s="164"/>
      <c r="AW24" s="163"/>
      <c r="AX24" s="164"/>
      <c r="AY24" s="163"/>
      <c r="AZ24" s="164"/>
      <c r="BA24" s="163"/>
      <c r="BB24" s="164"/>
      <c r="BC24" s="163"/>
      <c r="BD24" s="164"/>
      <c r="BE24" s="163"/>
      <c r="BF24" s="164"/>
      <c r="BG24" s="167"/>
    </row>
    <row r="25" spans="2:59" s="1" customFormat="1">
      <c r="B25" s="135"/>
      <c r="C25" s="135"/>
      <c r="D25" s="136"/>
      <c r="E25" s="136"/>
      <c r="F25" s="137"/>
      <c r="G25" s="139"/>
      <c r="H25" s="151">
        <f t="shared" si="24"/>
        <v>0</v>
      </c>
      <c r="I25" s="151">
        <f t="shared" si="22"/>
        <v>0</v>
      </c>
      <c r="J25" s="152" t="str">
        <f t="shared" si="23"/>
        <v>Sem PO</v>
      </c>
      <c r="K25" s="162"/>
      <c r="L25" s="163"/>
      <c r="M25" s="164"/>
      <c r="N25" s="163"/>
      <c r="O25" s="164"/>
      <c r="P25" s="163"/>
      <c r="Q25" s="164"/>
      <c r="R25" s="163"/>
      <c r="S25" s="164"/>
      <c r="T25" s="163"/>
      <c r="U25" s="164"/>
      <c r="V25" s="163"/>
      <c r="W25" s="164"/>
      <c r="X25" s="163"/>
      <c r="Y25" s="164"/>
      <c r="Z25" s="163"/>
      <c r="AA25" s="164"/>
      <c r="AB25" s="163"/>
      <c r="AC25" s="164"/>
      <c r="AD25" s="163"/>
      <c r="AE25" s="164"/>
      <c r="AF25" s="156"/>
      <c r="AG25" s="168"/>
      <c r="AH25" s="163"/>
      <c r="AI25" s="165"/>
      <c r="AJ25" s="166"/>
      <c r="AK25" s="163"/>
      <c r="AL25" s="164"/>
      <c r="AM25" s="163"/>
      <c r="AN25" s="164"/>
      <c r="AO25" s="163"/>
      <c r="AP25" s="164"/>
      <c r="AQ25" s="163"/>
      <c r="AR25" s="164"/>
      <c r="AS25" s="163"/>
      <c r="AT25" s="164"/>
      <c r="AU25" s="163"/>
      <c r="AV25" s="164"/>
      <c r="AW25" s="163"/>
      <c r="AX25" s="164"/>
      <c r="AY25" s="163"/>
      <c r="AZ25" s="164"/>
      <c r="BA25" s="163"/>
      <c r="BB25" s="164"/>
      <c r="BC25" s="163"/>
      <c r="BD25" s="164"/>
      <c r="BE25" s="163"/>
      <c r="BF25" s="164"/>
      <c r="BG25" s="167"/>
    </row>
    <row r="26" spans="2:59" s="1" customFormat="1">
      <c r="B26" s="135"/>
      <c r="C26" s="135"/>
      <c r="D26" s="136"/>
      <c r="E26" s="136"/>
      <c r="F26" s="137"/>
      <c r="G26" s="139"/>
      <c r="H26" s="151">
        <f t="shared" si="24"/>
        <v>0</v>
      </c>
      <c r="I26" s="151">
        <f t="shared" si="22"/>
        <v>0</v>
      </c>
      <c r="J26" s="152" t="str">
        <f t="shared" si="23"/>
        <v>Sem PO</v>
      </c>
      <c r="K26" s="162"/>
      <c r="L26" s="163"/>
      <c r="M26" s="164"/>
      <c r="N26" s="163"/>
      <c r="O26" s="164"/>
      <c r="P26" s="163"/>
      <c r="Q26" s="164"/>
      <c r="R26" s="163"/>
      <c r="S26" s="164"/>
      <c r="T26" s="163"/>
      <c r="U26" s="164"/>
      <c r="V26" s="163"/>
      <c r="W26" s="164"/>
      <c r="X26" s="163"/>
      <c r="Y26" s="164"/>
      <c r="Z26" s="163"/>
      <c r="AA26" s="164"/>
      <c r="AB26" s="163"/>
      <c r="AC26" s="164"/>
      <c r="AD26" s="163"/>
      <c r="AE26" s="164"/>
      <c r="AF26" s="156"/>
      <c r="AG26" s="168"/>
      <c r="AH26" s="163"/>
      <c r="AI26" s="165"/>
      <c r="AJ26" s="166"/>
      <c r="AK26" s="163"/>
      <c r="AL26" s="164"/>
      <c r="AM26" s="163"/>
      <c r="AN26" s="164"/>
      <c r="AO26" s="163"/>
      <c r="AP26" s="164"/>
      <c r="AQ26" s="163"/>
      <c r="AR26" s="164"/>
      <c r="AS26" s="163"/>
      <c r="AT26" s="164"/>
      <c r="AU26" s="163"/>
      <c r="AV26" s="164"/>
      <c r="AW26" s="163"/>
      <c r="AX26" s="164"/>
      <c r="AY26" s="163"/>
      <c r="AZ26" s="164"/>
      <c r="BA26" s="163"/>
      <c r="BB26" s="164"/>
      <c r="BC26" s="163"/>
      <c r="BD26" s="164"/>
      <c r="BE26" s="163"/>
      <c r="BF26" s="164"/>
      <c r="BG26" s="167"/>
    </row>
    <row r="27" spans="2:59" s="1" customFormat="1">
      <c r="B27" s="135"/>
      <c r="C27" s="135"/>
      <c r="D27" s="136"/>
      <c r="E27" s="136"/>
      <c r="F27" s="137"/>
      <c r="G27" s="139"/>
      <c r="H27" s="151">
        <f t="shared" si="24"/>
        <v>0</v>
      </c>
      <c r="I27" s="151">
        <f t="shared" si="22"/>
        <v>0</v>
      </c>
      <c r="J27" s="152" t="str">
        <f t="shared" si="23"/>
        <v>Sem PO</v>
      </c>
      <c r="K27" s="162"/>
      <c r="L27" s="163"/>
      <c r="M27" s="164"/>
      <c r="N27" s="163"/>
      <c r="O27" s="164"/>
      <c r="P27" s="163"/>
      <c r="Q27" s="164"/>
      <c r="R27" s="163"/>
      <c r="S27" s="164"/>
      <c r="T27" s="163"/>
      <c r="U27" s="164"/>
      <c r="V27" s="163"/>
      <c r="W27" s="164"/>
      <c r="X27" s="163"/>
      <c r="Y27" s="164"/>
      <c r="Z27" s="163"/>
      <c r="AA27" s="164"/>
      <c r="AB27" s="163"/>
      <c r="AC27" s="164"/>
      <c r="AD27" s="163"/>
      <c r="AE27" s="164"/>
      <c r="AF27" s="156"/>
      <c r="AG27" s="168"/>
      <c r="AH27" s="163"/>
      <c r="AI27" s="165"/>
      <c r="AJ27" s="166"/>
      <c r="AK27" s="163"/>
      <c r="AL27" s="164"/>
      <c r="AM27" s="163"/>
      <c r="AN27" s="164"/>
      <c r="AO27" s="163"/>
      <c r="AP27" s="164"/>
      <c r="AQ27" s="163"/>
      <c r="AR27" s="164"/>
      <c r="AS27" s="163"/>
      <c r="AT27" s="164"/>
      <c r="AU27" s="163"/>
      <c r="AV27" s="164"/>
      <c r="AW27" s="163"/>
      <c r="AX27" s="164"/>
      <c r="AY27" s="163"/>
      <c r="AZ27" s="164"/>
      <c r="BA27" s="163"/>
      <c r="BB27" s="164"/>
      <c r="BC27" s="163"/>
      <c r="BD27" s="164"/>
      <c r="BE27" s="163"/>
      <c r="BF27" s="164"/>
      <c r="BG27" s="167"/>
    </row>
    <row r="28" spans="2:59" s="1" customFormat="1">
      <c r="B28" s="135"/>
      <c r="C28" s="135"/>
      <c r="D28" s="136"/>
      <c r="E28" s="136"/>
      <c r="F28" s="137"/>
      <c r="G28" s="139"/>
      <c r="H28" s="151">
        <f t="shared" si="24"/>
        <v>0</v>
      </c>
      <c r="I28" s="151">
        <f t="shared" si="22"/>
        <v>0</v>
      </c>
      <c r="J28" s="152" t="str">
        <f t="shared" si="23"/>
        <v>Sem PO</v>
      </c>
      <c r="K28" s="162"/>
      <c r="L28" s="163"/>
      <c r="M28" s="164"/>
      <c r="N28" s="163"/>
      <c r="O28" s="164"/>
      <c r="P28" s="163"/>
      <c r="Q28" s="164"/>
      <c r="R28" s="163"/>
      <c r="S28" s="164"/>
      <c r="T28" s="163"/>
      <c r="U28" s="164"/>
      <c r="V28" s="163"/>
      <c r="W28" s="164"/>
      <c r="X28" s="163"/>
      <c r="Y28" s="164"/>
      <c r="Z28" s="163"/>
      <c r="AA28" s="164"/>
      <c r="AB28" s="163"/>
      <c r="AC28" s="164"/>
      <c r="AD28" s="163"/>
      <c r="AE28" s="164"/>
      <c r="AF28" s="156"/>
      <c r="AG28" s="168"/>
      <c r="AH28" s="163"/>
      <c r="AI28" s="165"/>
      <c r="AJ28" s="166"/>
      <c r="AK28" s="163"/>
      <c r="AL28" s="164"/>
      <c r="AM28" s="163"/>
      <c r="AN28" s="164"/>
      <c r="AO28" s="163"/>
      <c r="AP28" s="164"/>
      <c r="AQ28" s="163"/>
      <c r="AR28" s="164"/>
      <c r="AS28" s="163"/>
      <c r="AT28" s="164"/>
      <c r="AU28" s="163"/>
      <c r="AV28" s="164"/>
      <c r="AW28" s="163"/>
      <c r="AX28" s="164"/>
      <c r="AY28" s="163"/>
      <c r="AZ28" s="164"/>
      <c r="BA28" s="163"/>
      <c r="BB28" s="164"/>
      <c r="BC28" s="163"/>
      <c r="BD28" s="164"/>
      <c r="BE28" s="163"/>
      <c r="BF28" s="164"/>
      <c r="BG28" s="167"/>
    </row>
    <row r="29" spans="2:59" s="1" customFormat="1">
      <c r="B29" s="135"/>
      <c r="C29" s="135"/>
      <c r="D29" s="136"/>
      <c r="E29" s="136"/>
      <c r="F29" s="137"/>
      <c r="G29" s="139"/>
      <c r="H29" s="151">
        <f t="shared" si="24"/>
        <v>0</v>
      </c>
      <c r="I29" s="151">
        <f t="shared" si="22"/>
        <v>0</v>
      </c>
      <c r="J29" s="152" t="str">
        <f t="shared" si="23"/>
        <v>Sem PO</v>
      </c>
      <c r="K29" s="162"/>
      <c r="L29" s="163"/>
      <c r="M29" s="164"/>
      <c r="N29" s="163"/>
      <c r="O29" s="164"/>
      <c r="P29" s="163"/>
      <c r="Q29" s="164"/>
      <c r="R29" s="163"/>
      <c r="S29" s="164"/>
      <c r="T29" s="163"/>
      <c r="U29" s="164"/>
      <c r="V29" s="163"/>
      <c r="W29" s="164"/>
      <c r="X29" s="163"/>
      <c r="Y29" s="164"/>
      <c r="Z29" s="163"/>
      <c r="AA29" s="164"/>
      <c r="AB29" s="163"/>
      <c r="AC29" s="164"/>
      <c r="AD29" s="163"/>
      <c r="AE29" s="164"/>
      <c r="AF29" s="156"/>
      <c r="AG29" s="168"/>
      <c r="AH29" s="163"/>
      <c r="AI29" s="165"/>
      <c r="AJ29" s="166"/>
      <c r="AK29" s="163"/>
      <c r="AL29" s="164"/>
      <c r="AM29" s="163"/>
      <c r="AN29" s="164"/>
      <c r="AO29" s="163"/>
      <c r="AP29" s="164"/>
      <c r="AQ29" s="163"/>
      <c r="AR29" s="164"/>
      <c r="AS29" s="163"/>
      <c r="AT29" s="164"/>
      <c r="AU29" s="163"/>
      <c r="AV29" s="164"/>
      <c r="AW29" s="163"/>
      <c r="AX29" s="164"/>
      <c r="AY29" s="163"/>
      <c r="AZ29" s="164"/>
      <c r="BA29" s="163"/>
      <c r="BB29" s="164"/>
      <c r="BC29" s="163"/>
      <c r="BD29" s="164"/>
      <c r="BE29" s="163"/>
      <c r="BF29" s="164"/>
      <c r="BG29" s="167"/>
    </row>
    <row r="30" spans="2:59" s="1" customFormat="1">
      <c r="B30" s="135"/>
      <c r="C30" s="135"/>
      <c r="D30" s="136"/>
      <c r="E30" s="136"/>
      <c r="F30" s="137"/>
      <c r="G30" s="139"/>
      <c r="H30" s="151">
        <f t="shared" si="24"/>
        <v>0</v>
      </c>
      <c r="I30" s="151">
        <f t="shared" si="22"/>
        <v>0</v>
      </c>
      <c r="J30" s="152" t="str">
        <f t="shared" si="23"/>
        <v>Sem PO</v>
      </c>
      <c r="K30" s="162"/>
      <c r="L30" s="163"/>
      <c r="M30" s="164"/>
      <c r="N30" s="163"/>
      <c r="O30" s="164"/>
      <c r="P30" s="163"/>
      <c r="Q30" s="164"/>
      <c r="R30" s="163"/>
      <c r="S30" s="164"/>
      <c r="T30" s="163"/>
      <c r="U30" s="164"/>
      <c r="V30" s="163"/>
      <c r="W30" s="164"/>
      <c r="X30" s="163"/>
      <c r="Y30" s="164"/>
      <c r="Z30" s="163"/>
      <c r="AA30" s="164"/>
      <c r="AB30" s="163"/>
      <c r="AC30" s="164"/>
      <c r="AD30" s="163"/>
      <c r="AE30" s="164"/>
      <c r="AF30" s="156"/>
      <c r="AG30" s="168"/>
      <c r="AH30" s="163"/>
      <c r="AI30" s="165"/>
      <c r="AJ30" s="166"/>
      <c r="AK30" s="163"/>
      <c r="AL30" s="164"/>
      <c r="AM30" s="163"/>
      <c r="AN30" s="164"/>
      <c r="AO30" s="163"/>
      <c r="AP30" s="164"/>
      <c r="AQ30" s="163"/>
      <c r="AR30" s="164"/>
      <c r="AS30" s="163"/>
      <c r="AT30" s="164"/>
      <c r="AU30" s="163"/>
      <c r="AV30" s="164"/>
      <c r="AW30" s="163"/>
      <c r="AX30" s="164"/>
      <c r="AY30" s="163"/>
      <c r="AZ30" s="164"/>
      <c r="BA30" s="163"/>
      <c r="BB30" s="164"/>
      <c r="BC30" s="163"/>
      <c r="BD30" s="164"/>
      <c r="BE30" s="163"/>
      <c r="BF30" s="164"/>
      <c r="BG30" s="167"/>
    </row>
    <row r="31" spans="2:59" s="1" customFormat="1">
      <c r="B31" s="135"/>
      <c r="C31" s="135"/>
      <c r="D31" s="136"/>
      <c r="E31" s="136"/>
      <c r="F31" s="137"/>
      <c r="G31" s="139"/>
      <c r="H31" s="151">
        <f t="shared" si="24"/>
        <v>0</v>
      </c>
      <c r="I31" s="151">
        <f t="shared" si="22"/>
        <v>0</v>
      </c>
      <c r="J31" s="152" t="str">
        <f t="shared" si="23"/>
        <v>Sem PO</v>
      </c>
      <c r="K31" s="162"/>
      <c r="L31" s="163"/>
      <c r="M31" s="164"/>
      <c r="N31" s="163"/>
      <c r="O31" s="164"/>
      <c r="P31" s="163"/>
      <c r="Q31" s="164"/>
      <c r="R31" s="163"/>
      <c r="S31" s="164"/>
      <c r="T31" s="163"/>
      <c r="U31" s="164"/>
      <c r="V31" s="163"/>
      <c r="W31" s="164"/>
      <c r="X31" s="163"/>
      <c r="Y31" s="164"/>
      <c r="Z31" s="163"/>
      <c r="AA31" s="164"/>
      <c r="AB31" s="163"/>
      <c r="AC31" s="164"/>
      <c r="AD31" s="163"/>
      <c r="AE31" s="164"/>
      <c r="AF31" s="156"/>
      <c r="AG31" s="168"/>
      <c r="AH31" s="163"/>
      <c r="AI31" s="165"/>
      <c r="AJ31" s="166"/>
      <c r="AK31" s="163"/>
      <c r="AL31" s="164"/>
      <c r="AM31" s="163"/>
      <c r="AN31" s="164"/>
      <c r="AO31" s="163"/>
      <c r="AP31" s="164"/>
      <c r="AQ31" s="163"/>
      <c r="AR31" s="164"/>
      <c r="AS31" s="163"/>
      <c r="AT31" s="164"/>
      <c r="AU31" s="163"/>
      <c r="AV31" s="164"/>
      <c r="AW31" s="163"/>
      <c r="AX31" s="164"/>
      <c r="AY31" s="163"/>
      <c r="AZ31" s="164"/>
      <c r="BA31" s="163"/>
      <c r="BB31" s="164"/>
      <c r="BC31" s="163"/>
      <c r="BD31" s="164"/>
      <c r="BE31" s="163"/>
      <c r="BF31" s="164"/>
      <c r="BG31" s="167"/>
    </row>
    <row r="32" spans="2:59" s="1" customFormat="1">
      <c r="B32" s="135"/>
      <c r="C32" s="135"/>
      <c r="D32" s="136"/>
      <c r="E32" s="136"/>
      <c r="F32" s="137"/>
      <c r="G32" s="139"/>
      <c r="H32" s="151">
        <f t="shared" si="24"/>
        <v>0</v>
      </c>
      <c r="I32" s="151">
        <f t="shared" si="22"/>
        <v>0</v>
      </c>
      <c r="J32" s="152" t="str">
        <f t="shared" si="23"/>
        <v>Sem PO</v>
      </c>
      <c r="K32" s="162"/>
      <c r="L32" s="163"/>
      <c r="M32" s="164"/>
      <c r="N32" s="163"/>
      <c r="O32" s="164"/>
      <c r="P32" s="163"/>
      <c r="Q32" s="164"/>
      <c r="R32" s="163"/>
      <c r="S32" s="164"/>
      <c r="T32" s="163"/>
      <c r="U32" s="164"/>
      <c r="V32" s="163"/>
      <c r="W32" s="164"/>
      <c r="X32" s="163"/>
      <c r="Y32" s="164"/>
      <c r="Z32" s="163"/>
      <c r="AA32" s="164"/>
      <c r="AB32" s="163"/>
      <c r="AC32" s="164"/>
      <c r="AD32" s="163"/>
      <c r="AE32" s="164"/>
      <c r="AF32" s="156"/>
      <c r="AG32" s="168"/>
      <c r="AH32" s="163"/>
      <c r="AI32" s="165"/>
      <c r="AJ32" s="166"/>
      <c r="AK32" s="163"/>
      <c r="AL32" s="164"/>
      <c r="AM32" s="163"/>
      <c r="AN32" s="164"/>
      <c r="AO32" s="163"/>
      <c r="AP32" s="164"/>
      <c r="AQ32" s="163"/>
      <c r="AR32" s="164"/>
      <c r="AS32" s="163"/>
      <c r="AT32" s="164"/>
      <c r="AU32" s="163"/>
      <c r="AV32" s="164"/>
      <c r="AW32" s="163"/>
      <c r="AX32" s="164"/>
      <c r="AY32" s="163"/>
      <c r="AZ32" s="164"/>
      <c r="BA32" s="163"/>
      <c r="BB32" s="164"/>
      <c r="BC32" s="163"/>
      <c r="BD32" s="164"/>
      <c r="BE32" s="163"/>
      <c r="BF32" s="164"/>
      <c r="BG32" s="167"/>
    </row>
    <row r="33" spans="2:59" s="1" customFormat="1">
      <c r="B33" s="135"/>
      <c r="C33" s="135"/>
      <c r="D33" s="136"/>
      <c r="E33" s="136"/>
      <c r="F33" s="137"/>
      <c r="G33" s="139"/>
      <c r="H33" s="151">
        <f t="shared" si="24"/>
        <v>0</v>
      </c>
      <c r="I33" s="151">
        <f t="shared" si="22"/>
        <v>0</v>
      </c>
      <c r="J33" s="152" t="str">
        <f t="shared" si="23"/>
        <v>Sem PO</v>
      </c>
      <c r="K33" s="162"/>
      <c r="L33" s="163"/>
      <c r="M33" s="164"/>
      <c r="N33" s="163"/>
      <c r="O33" s="164"/>
      <c r="P33" s="163"/>
      <c r="Q33" s="164"/>
      <c r="R33" s="163"/>
      <c r="S33" s="164"/>
      <c r="T33" s="163"/>
      <c r="U33" s="164"/>
      <c r="V33" s="163"/>
      <c r="W33" s="164"/>
      <c r="X33" s="163"/>
      <c r="Y33" s="164"/>
      <c r="Z33" s="163"/>
      <c r="AA33" s="164"/>
      <c r="AB33" s="163"/>
      <c r="AC33" s="164"/>
      <c r="AD33" s="163"/>
      <c r="AE33" s="164"/>
      <c r="AF33" s="156"/>
      <c r="AG33" s="168"/>
      <c r="AH33" s="163"/>
      <c r="AI33" s="165"/>
      <c r="AJ33" s="166"/>
      <c r="AK33" s="163"/>
      <c r="AL33" s="164"/>
      <c r="AM33" s="163"/>
      <c r="AN33" s="164"/>
      <c r="AO33" s="163"/>
      <c r="AP33" s="164"/>
      <c r="AQ33" s="163"/>
      <c r="AR33" s="164"/>
      <c r="AS33" s="163"/>
      <c r="AT33" s="164"/>
      <c r="AU33" s="163"/>
      <c r="AV33" s="164"/>
      <c r="AW33" s="163"/>
      <c r="AX33" s="164"/>
      <c r="AY33" s="163"/>
      <c r="AZ33" s="164"/>
      <c r="BA33" s="163"/>
      <c r="BB33" s="164"/>
      <c r="BC33" s="163"/>
      <c r="BD33" s="164"/>
      <c r="BE33" s="163"/>
      <c r="BF33" s="164"/>
      <c r="BG33" s="167"/>
    </row>
    <row r="34" spans="2:59" s="1" customFormat="1">
      <c r="B34" s="135"/>
      <c r="C34" s="135"/>
      <c r="D34" s="136"/>
      <c r="E34" s="136"/>
      <c r="F34" s="137"/>
      <c r="G34" s="139"/>
      <c r="H34" s="151">
        <f t="shared" si="24"/>
        <v>0</v>
      </c>
      <c r="I34" s="151">
        <f t="shared" si="22"/>
        <v>0</v>
      </c>
      <c r="J34" s="152" t="str">
        <f t="shared" si="23"/>
        <v>Sem PO</v>
      </c>
      <c r="K34" s="162"/>
      <c r="L34" s="163"/>
      <c r="M34" s="164"/>
      <c r="N34" s="163"/>
      <c r="O34" s="164"/>
      <c r="P34" s="163"/>
      <c r="Q34" s="164"/>
      <c r="R34" s="163"/>
      <c r="S34" s="164"/>
      <c r="T34" s="163"/>
      <c r="U34" s="164"/>
      <c r="V34" s="163"/>
      <c r="W34" s="164"/>
      <c r="X34" s="163"/>
      <c r="Y34" s="164"/>
      <c r="Z34" s="163"/>
      <c r="AA34" s="164"/>
      <c r="AB34" s="163"/>
      <c r="AC34" s="164"/>
      <c r="AD34" s="163"/>
      <c r="AE34" s="164"/>
      <c r="AF34" s="156"/>
      <c r="AG34" s="168"/>
      <c r="AH34" s="163"/>
      <c r="AI34" s="165"/>
      <c r="AJ34" s="166"/>
      <c r="AK34" s="163"/>
      <c r="AL34" s="164"/>
      <c r="AM34" s="163"/>
      <c r="AN34" s="164"/>
      <c r="AO34" s="163"/>
      <c r="AP34" s="164"/>
      <c r="AQ34" s="163"/>
      <c r="AR34" s="164"/>
      <c r="AS34" s="163"/>
      <c r="AT34" s="164"/>
      <c r="AU34" s="163"/>
      <c r="AV34" s="164"/>
      <c r="AW34" s="163"/>
      <c r="AX34" s="164"/>
      <c r="AY34" s="163"/>
      <c r="AZ34" s="164"/>
      <c r="BA34" s="163"/>
      <c r="BB34" s="164"/>
      <c r="BC34" s="163"/>
      <c r="BD34" s="164"/>
      <c r="BE34" s="163"/>
      <c r="BF34" s="164"/>
      <c r="BG34" s="167"/>
    </row>
    <row r="35" spans="2:59" s="1" customFormat="1">
      <c r="B35" s="135"/>
      <c r="C35" s="135"/>
      <c r="D35" s="136"/>
      <c r="E35" s="136"/>
      <c r="F35" s="137"/>
      <c r="G35" s="139"/>
      <c r="H35" s="151">
        <f>SUMIF($K$17:$BG$17,"REAL",K35:BG35)</f>
        <v>0</v>
      </c>
      <c r="I35" s="151">
        <f t="shared" si="22"/>
        <v>0</v>
      </c>
      <c r="J35" s="152" t="str">
        <f t="shared" si="23"/>
        <v>Sem PO</v>
      </c>
      <c r="K35" s="162"/>
      <c r="L35" s="163"/>
      <c r="M35" s="164"/>
      <c r="N35" s="163"/>
      <c r="O35" s="164"/>
      <c r="P35" s="163"/>
      <c r="Q35" s="164"/>
      <c r="R35" s="163"/>
      <c r="S35" s="164"/>
      <c r="T35" s="163"/>
      <c r="U35" s="164"/>
      <c r="V35" s="163"/>
      <c r="W35" s="164"/>
      <c r="X35" s="163"/>
      <c r="Y35" s="164"/>
      <c r="Z35" s="163"/>
      <c r="AA35" s="164"/>
      <c r="AB35" s="163"/>
      <c r="AC35" s="164"/>
      <c r="AD35" s="163"/>
      <c r="AE35" s="164"/>
      <c r="AF35" s="156"/>
      <c r="AG35" s="168"/>
      <c r="AH35" s="163"/>
      <c r="AI35" s="165"/>
      <c r="AJ35" s="166"/>
      <c r="AK35" s="163"/>
      <c r="AL35" s="164"/>
      <c r="AM35" s="163"/>
      <c r="AN35" s="164"/>
      <c r="AO35" s="163"/>
      <c r="AP35" s="164"/>
      <c r="AQ35" s="163"/>
      <c r="AR35" s="164"/>
      <c r="AS35" s="163"/>
      <c r="AT35" s="164"/>
      <c r="AU35" s="163"/>
      <c r="AV35" s="164"/>
      <c r="AW35" s="163"/>
      <c r="AX35" s="164"/>
      <c r="AY35" s="163"/>
      <c r="AZ35" s="164"/>
      <c r="BA35" s="163"/>
      <c r="BB35" s="164"/>
      <c r="BC35" s="163"/>
      <c r="BD35" s="164"/>
      <c r="BE35" s="163"/>
      <c r="BF35" s="164"/>
      <c r="BG35" s="167"/>
    </row>
    <row r="36" spans="2:59" s="1" customFormat="1">
      <c r="B36" s="135"/>
      <c r="C36" s="135"/>
      <c r="D36" s="136"/>
      <c r="E36" s="136"/>
      <c r="F36" s="137"/>
      <c r="G36" s="139"/>
      <c r="H36" s="151">
        <f t="shared" si="24"/>
        <v>0</v>
      </c>
      <c r="I36" s="151">
        <f t="shared" si="22"/>
        <v>0</v>
      </c>
      <c r="J36" s="152" t="str">
        <f t="shared" si="23"/>
        <v>Sem PO</v>
      </c>
      <c r="K36" s="162"/>
      <c r="L36" s="163"/>
      <c r="M36" s="164"/>
      <c r="N36" s="163"/>
      <c r="O36" s="164"/>
      <c r="P36" s="163"/>
      <c r="Q36" s="164"/>
      <c r="R36" s="163"/>
      <c r="S36" s="164"/>
      <c r="T36" s="163"/>
      <c r="U36" s="164"/>
      <c r="V36" s="163"/>
      <c r="W36" s="164"/>
      <c r="X36" s="163"/>
      <c r="Y36" s="164"/>
      <c r="Z36" s="163"/>
      <c r="AA36" s="164"/>
      <c r="AB36" s="163"/>
      <c r="AC36" s="164"/>
      <c r="AD36" s="163"/>
      <c r="AE36" s="164"/>
      <c r="AF36" s="156"/>
      <c r="AG36" s="168"/>
      <c r="AH36" s="163"/>
      <c r="AI36" s="165"/>
      <c r="AJ36" s="166"/>
      <c r="AK36" s="163"/>
      <c r="AL36" s="164"/>
      <c r="AM36" s="163"/>
      <c r="AN36" s="164"/>
      <c r="AO36" s="163"/>
      <c r="AP36" s="164"/>
      <c r="AQ36" s="163"/>
      <c r="AR36" s="164"/>
      <c r="AS36" s="163"/>
      <c r="AT36" s="164"/>
      <c r="AU36" s="163"/>
      <c r="AV36" s="164"/>
      <c r="AW36" s="163"/>
      <c r="AX36" s="164"/>
      <c r="AY36" s="163"/>
      <c r="AZ36" s="164"/>
      <c r="BA36" s="163"/>
      <c r="BB36" s="164"/>
      <c r="BC36" s="163"/>
      <c r="BD36" s="164"/>
      <c r="BE36" s="163"/>
      <c r="BF36" s="164"/>
      <c r="BG36" s="167"/>
    </row>
    <row r="37" spans="2:59" s="1" customFormat="1">
      <c r="B37" s="135"/>
      <c r="C37" s="135"/>
      <c r="D37" s="136"/>
      <c r="E37" s="136"/>
      <c r="F37" s="137"/>
      <c r="G37" s="139"/>
      <c r="H37" s="151">
        <f t="shared" si="24"/>
        <v>0</v>
      </c>
      <c r="I37" s="151">
        <f t="shared" si="22"/>
        <v>0</v>
      </c>
      <c r="J37" s="152" t="str">
        <f t="shared" si="23"/>
        <v>Sem PO</v>
      </c>
      <c r="K37" s="162"/>
      <c r="L37" s="163"/>
      <c r="M37" s="164"/>
      <c r="N37" s="163"/>
      <c r="O37" s="164"/>
      <c r="P37" s="163"/>
      <c r="Q37" s="164"/>
      <c r="R37" s="163"/>
      <c r="S37" s="164"/>
      <c r="T37" s="163"/>
      <c r="U37" s="164"/>
      <c r="V37" s="163"/>
      <c r="W37" s="164"/>
      <c r="X37" s="163"/>
      <c r="Y37" s="164"/>
      <c r="Z37" s="163"/>
      <c r="AA37" s="164"/>
      <c r="AB37" s="163"/>
      <c r="AC37" s="164"/>
      <c r="AD37" s="163"/>
      <c r="AE37" s="164"/>
      <c r="AF37" s="163"/>
      <c r="AG37" s="164"/>
      <c r="AH37" s="163"/>
      <c r="AI37" s="165"/>
      <c r="AJ37" s="166"/>
      <c r="AK37" s="163"/>
      <c r="AL37" s="164"/>
      <c r="AM37" s="163"/>
      <c r="AN37" s="164"/>
      <c r="AO37" s="163"/>
      <c r="AP37" s="164"/>
      <c r="AQ37" s="163"/>
      <c r="AR37" s="164"/>
      <c r="AS37" s="163"/>
      <c r="AT37" s="164"/>
      <c r="AU37" s="163"/>
      <c r="AV37" s="164"/>
      <c r="AW37" s="163"/>
      <c r="AX37" s="164"/>
      <c r="AY37" s="163"/>
      <c r="AZ37" s="164"/>
      <c r="BA37" s="163"/>
      <c r="BB37" s="164"/>
      <c r="BC37" s="163"/>
      <c r="BD37" s="164"/>
      <c r="BE37" s="163"/>
      <c r="BF37" s="164"/>
      <c r="BG37" s="167"/>
    </row>
    <row r="38" spans="2:59" s="1" customFormat="1">
      <c r="B38" s="135"/>
      <c r="C38" s="135"/>
      <c r="D38" s="136"/>
      <c r="E38" s="136"/>
      <c r="F38" s="137"/>
      <c r="G38" s="139"/>
      <c r="H38" s="151">
        <f t="shared" si="24"/>
        <v>0</v>
      </c>
      <c r="I38" s="151">
        <f t="shared" si="22"/>
        <v>0</v>
      </c>
      <c r="J38" s="152" t="str">
        <f t="shared" si="23"/>
        <v>Sem PO</v>
      </c>
      <c r="K38" s="162"/>
      <c r="L38" s="163"/>
      <c r="M38" s="164"/>
      <c r="N38" s="163"/>
      <c r="O38" s="164"/>
      <c r="P38" s="163"/>
      <c r="Q38" s="164"/>
      <c r="R38" s="163"/>
      <c r="S38" s="164"/>
      <c r="T38" s="163"/>
      <c r="U38" s="164"/>
      <c r="V38" s="163"/>
      <c r="W38" s="164"/>
      <c r="X38" s="163"/>
      <c r="Y38" s="164"/>
      <c r="Z38" s="163"/>
      <c r="AA38" s="164"/>
      <c r="AB38" s="163"/>
      <c r="AC38" s="164"/>
      <c r="AD38" s="163"/>
      <c r="AE38" s="164"/>
      <c r="AF38" s="163"/>
      <c r="AG38" s="164"/>
      <c r="AH38" s="163"/>
      <c r="AI38" s="165"/>
      <c r="AJ38" s="166"/>
      <c r="AK38" s="163"/>
      <c r="AL38" s="164"/>
      <c r="AM38" s="163"/>
      <c r="AN38" s="164"/>
      <c r="AO38" s="163"/>
      <c r="AP38" s="164"/>
      <c r="AQ38" s="163"/>
      <c r="AR38" s="164"/>
      <c r="AS38" s="163"/>
      <c r="AT38" s="164"/>
      <c r="AU38" s="163"/>
      <c r="AV38" s="164"/>
      <c r="AW38" s="163"/>
      <c r="AX38" s="164"/>
      <c r="AY38" s="163"/>
      <c r="AZ38" s="164"/>
      <c r="BA38" s="163"/>
      <c r="BB38" s="164"/>
      <c r="BC38" s="163"/>
      <c r="BD38" s="164"/>
      <c r="BE38" s="163"/>
      <c r="BF38" s="164"/>
      <c r="BG38" s="167"/>
    </row>
    <row r="39" spans="2:59" s="1" customFormat="1">
      <c r="B39" s="135"/>
      <c r="C39" s="135"/>
      <c r="D39" s="136"/>
      <c r="E39" s="136"/>
      <c r="F39" s="137"/>
      <c r="G39" s="139"/>
      <c r="H39" s="151">
        <f t="shared" si="24"/>
        <v>0</v>
      </c>
      <c r="I39" s="151">
        <f t="shared" si="22"/>
        <v>0</v>
      </c>
      <c r="J39" s="152" t="str">
        <f t="shared" si="23"/>
        <v>Sem PO</v>
      </c>
      <c r="K39" s="162"/>
      <c r="L39" s="163"/>
      <c r="M39" s="164"/>
      <c r="N39" s="163"/>
      <c r="O39" s="164"/>
      <c r="P39" s="163"/>
      <c r="Q39" s="164"/>
      <c r="R39" s="163"/>
      <c r="S39" s="164"/>
      <c r="T39" s="163"/>
      <c r="U39" s="164"/>
      <c r="V39" s="163"/>
      <c r="W39" s="164"/>
      <c r="X39" s="163"/>
      <c r="Y39" s="164"/>
      <c r="Z39" s="163"/>
      <c r="AA39" s="164"/>
      <c r="AB39" s="163"/>
      <c r="AC39" s="164"/>
      <c r="AD39" s="163"/>
      <c r="AE39" s="164"/>
      <c r="AF39" s="163"/>
      <c r="AG39" s="164"/>
      <c r="AH39" s="163"/>
      <c r="AI39" s="165"/>
      <c r="AJ39" s="166"/>
      <c r="AK39" s="163"/>
      <c r="AL39" s="164"/>
      <c r="AM39" s="163"/>
      <c r="AN39" s="164"/>
      <c r="AO39" s="163"/>
      <c r="AP39" s="164"/>
      <c r="AQ39" s="163"/>
      <c r="AR39" s="164"/>
      <c r="AS39" s="163"/>
      <c r="AT39" s="164"/>
      <c r="AU39" s="163"/>
      <c r="AV39" s="164"/>
      <c r="AW39" s="163"/>
      <c r="AX39" s="164"/>
      <c r="AY39" s="163"/>
      <c r="AZ39" s="164"/>
      <c r="BA39" s="163"/>
      <c r="BB39" s="164"/>
      <c r="BC39" s="163"/>
      <c r="BD39" s="164"/>
      <c r="BE39" s="163"/>
      <c r="BF39" s="164"/>
      <c r="BG39" s="167"/>
    </row>
    <row r="40" spans="2:59" s="1" customFormat="1" ht="15" customHeight="1">
      <c r="B40" s="135"/>
      <c r="C40" s="135"/>
      <c r="D40" s="136"/>
      <c r="E40" s="136"/>
      <c r="F40" s="137"/>
      <c r="G40" s="139"/>
      <c r="H40" s="151">
        <f t="shared" si="24"/>
        <v>0</v>
      </c>
      <c r="I40" s="151">
        <f t="shared" si="22"/>
        <v>0</v>
      </c>
      <c r="J40" s="152" t="str">
        <f t="shared" si="23"/>
        <v>Sem PO</v>
      </c>
      <c r="K40" s="162"/>
      <c r="L40" s="163"/>
      <c r="M40" s="164"/>
      <c r="N40" s="163"/>
      <c r="O40" s="164"/>
      <c r="P40" s="163"/>
      <c r="Q40" s="164"/>
      <c r="R40" s="163"/>
      <c r="S40" s="164"/>
      <c r="T40" s="163"/>
      <c r="U40" s="164"/>
      <c r="V40" s="163"/>
      <c r="W40" s="164"/>
      <c r="X40" s="163"/>
      <c r="Y40" s="164"/>
      <c r="Z40" s="163"/>
      <c r="AA40" s="164"/>
      <c r="AB40" s="163"/>
      <c r="AC40" s="164"/>
      <c r="AD40" s="163"/>
      <c r="AE40" s="164"/>
      <c r="AF40" s="163"/>
      <c r="AG40" s="164"/>
      <c r="AH40" s="163"/>
      <c r="AI40" s="165"/>
      <c r="AJ40" s="166"/>
      <c r="AK40" s="163"/>
      <c r="AL40" s="164"/>
      <c r="AM40" s="163"/>
      <c r="AN40" s="164"/>
      <c r="AO40" s="163"/>
      <c r="AP40" s="164"/>
      <c r="AQ40" s="163"/>
      <c r="AR40" s="164"/>
      <c r="AS40" s="163"/>
      <c r="AT40" s="164"/>
      <c r="AU40" s="163"/>
      <c r="AV40" s="164"/>
      <c r="AW40" s="163"/>
      <c r="AX40" s="164"/>
      <c r="AY40" s="163"/>
      <c r="AZ40" s="164"/>
      <c r="BA40" s="163"/>
      <c r="BB40" s="164"/>
      <c r="BC40" s="163"/>
      <c r="BD40" s="164"/>
      <c r="BE40" s="163"/>
      <c r="BF40" s="164"/>
      <c r="BG40" s="167"/>
    </row>
    <row r="41" spans="2:59" s="1" customFormat="1">
      <c r="B41" s="135"/>
      <c r="C41" s="135"/>
      <c r="D41" s="136"/>
      <c r="E41" s="136"/>
      <c r="F41" s="137"/>
      <c r="G41" s="139"/>
      <c r="H41" s="151">
        <f t="shared" si="24"/>
        <v>0</v>
      </c>
      <c r="I41" s="151">
        <f t="shared" si="22"/>
        <v>0</v>
      </c>
      <c r="J41" s="152" t="str">
        <f t="shared" si="23"/>
        <v>Sem PO</v>
      </c>
      <c r="K41" s="162"/>
      <c r="L41" s="169"/>
      <c r="M41" s="170"/>
      <c r="N41" s="169"/>
      <c r="O41" s="164"/>
      <c r="P41" s="169"/>
      <c r="Q41" s="171"/>
      <c r="R41" s="169"/>
      <c r="S41" s="164"/>
      <c r="T41" s="169"/>
      <c r="U41" s="171"/>
      <c r="V41" s="169"/>
      <c r="W41" s="170"/>
      <c r="X41" s="169"/>
      <c r="Y41" s="164"/>
      <c r="Z41" s="169"/>
      <c r="AA41" s="171"/>
      <c r="AB41" s="169"/>
      <c r="AC41" s="170"/>
      <c r="AD41" s="169"/>
      <c r="AE41" s="164"/>
      <c r="AF41" s="169"/>
      <c r="AG41" s="164"/>
      <c r="AH41" s="163"/>
      <c r="AI41" s="165"/>
      <c r="AJ41" s="166"/>
      <c r="AK41" s="169"/>
      <c r="AL41" s="164"/>
      <c r="AM41" s="169"/>
      <c r="AN41" s="166"/>
      <c r="AO41" s="169"/>
      <c r="AP41" s="164"/>
      <c r="AQ41" s="169"/>
      <c r="AR41" s="164"/>
      <c r="AS41" s="169"/>
      <c r="AT41" s="164"/>
      <c r="AU41" s="169"/>
      <c r="AV41" s="166"/>
      <c r="AW41" s="169"/>
      <c r="AX41" s="164"/>
      <c r="AY41" s="169"/>
      <c r="AZ41" s="166"/>
      <c r="BA41" s="169"/>
      <c r="BB41" s="164"/>
      <c r="BC41" s="169"/>
      <c r="BD41" s="164"/>
      <c r="BE41" s="169"/>
      <c r="BF41" s="164"/>
      <c r="BG41" s="167"/>
    </row>
    <row r="42" spans="2:59" s="1" customFormat="1">
      <c r="B42" s="135"/>
      <c r="C42" s="135"/>
      <c r="D42" s="136"/>
      <c r="E42" s="136"/>
      <c r="F42" s="137"/>
      <c r="G42" s="139"/>
      <c r="H42" s="151">
        <f t="shared" si="24"/>
        <v>0</v>
      </c>
      <c r="I42" s="151">
        <f t="shared" si="22"/>
        <v>0</v>
      </c>
      <c r="J42" s="152" t="str">
        <f t="shared" si="23"/>
        <v>Sem PO</v>
      </c>
      <c r="K42" s="162"/>
      <c r="L42" s="172"/>
      <c r="M42" s="173"/>
      <c r="N42" s="172"/>
      <c r="O42" s="157"/>
      <c r="P42" s="172"/>
      <c r="Q42" s="174"/>
      <c r="R42" s="172"/>
      <c r="S42" s="157"/>
      <c r="T42" s="172"/>
      <c r="U42" s="174"/>
      <c r="V42" s="172"/>
      <c r="W42" s="173"/>
      <c r="X42" s="172"/>
      <c r="Y42" s="157"/>
      <c r="Z42" s="172"/>
      <c r="AA42" s="164"/>
      <c r="AB42" s="172"/>
      <c r="AC42" s="173"/>
      <c r="AD42" s="172"/>
      <c r="AE42" s="157"/>
      <c r="AF42" s="172"/>
      <c r="AG42" s="157"/>
      <c r="AH42" s="156"/>
      <c r="AI42" s="165"/>
      <c r="AJ42" s="160"/>
      <c r="AK42" s="172"/>
      <c r="AL42" s="164"/>
      <c r="AM42" s="172"/>
      <c r="AN42" s="166"/>
      <c r="AO42" s="172"/>
      <c r="AP42" s="164"/>
      <c r="AQ42" s="172"/>
      <c r="AR42" s="164"/>
      <c r="AS42" s="172"/>
      <c r="AT42" s="164"/>
      <c r="AU42" s="172"/>
      <c r="AV42" s="166"/>
      <c r="AW42" s="172"/>
      <c r="AX42" s="164"/>
      <c r="AY42" s="172"/>
      <c r="AZ42" s="166"/>
      <c r="BA42" s="172"/>
      <c r="BB42" s="164"/>
      <c r="BC42" s="172"/>
      <c r="BD42" s="164"/>
      <c r="BE42" s="172"/>
      <c r="BF42" s="157"/>
      <c r="BG42" s="175"/>
    </row>
    <row r="43" spans="2:59" s="1" customFormat="1">
      <c r="B43" s="135"/>
      <c r="C43" s="135"/>
      <c r="D43" s="136"/>
      <c r="E43" s="136"/>
      <c r="F43" s="137"/>
      <c r="G43" s="139"/>
      <c r="H43" s="151">
        <f t="shared" si="24"/>
        <v>0</v>
      </c>
      <c r="I43" s="151">
        <f t="shared" si="22"/>
        <v>0</v>
      </c>
      <c r="J43" s="152" t="str">
        <f t="shared" si="23"/>
        <v>Sem PO</v>
      </c>
      <c r="K43" s="162"/>
      <c r="L43" s="172"/>
      <c r="M43" s="173"/>
      <c r="N43" s="172"/>
      <c r="O43" s="157"/>
      <c r="P43" s="172"/>
      <c r="Q43" s="174"/>
      <c r="R43" s="172"/>
      <c r="S43" s="157"/>
      <c r="T43" s="172"/>
      <c r="U43" s="174"/>
      <c r="V43" s="172"/>
      <c r="W43" s="173"/>
      <c r="X43" s="172"/>
      <c r="Y43" s="157"/>
      <c r="Z43" s="172"/>
      <c r="AA43" s="157"/>
      <c r="AB43" s="172"/>
      <c r="AC43" s="173"/>
      <c r="AD43" s="172"/>
      <c r="AE43" s="157"/>
      <c r="AF43" s="172"/>
      <c r="AG43" s="157"/>
      <c r="AH43" s="156"/>
      <c r="AI43" s="165"/>
      <c r="AJ43" s="160"/>
      <c r="AK43" s="172"/>
      <c r="AL43" s="157"/>
      <c r="AM43" s="172"/>
      <c r="AN43" s="160"/>
      <c r="AO43" s="172"/>
      <c r="AP43" s="157"/>
      <c r="AQ43" s="172"/>
      <c r="AR43" s="157"/>
      <c r="AS43" s="172"/>
      <c r="AT43" s="157"/>
      <c r="AU43" s="172"/>
      <c r="AV43" s="160"/>
      <c r="AW43" s="172"/>
      <c r="AX43" s="157"/>
      <c r="AY43" s="172"/>
      <c r="AZ43" s="160"/>
      <c r="BA43" s="172"/>
      <c r="BB43" s="157"/>
      <c r="BC43" s="172"/>
      <c r="BD43" s="157"/>
      <c r="BE43" s="172"/>
      <c r="BF43" s="157"/>
      <c r="BG43" s="175"/>
    </row>
    <row r="44" spans="2:59" s="1" customFormat="1">
      <c r="B44" s="135"/>
      <c r="C44" s="135"/>
      <c r="D44" s="136"/>
      <c r="E44" s="136"/>
      <c r="F44" s="137"/>
      <c r="G44" s="139"/>
      <c r="H44" s="151">
        <f t="shared" si="24"/>
        <v>0</v>
      </c>
      <c r="I44" s="151">
        <f t="shared" si="22"/>
        <v>0</v>
      </c>
      <c r="J44" s="152" t="str">
        <f t="shared" si="23"/>
        <v>Sem PO</v>
      </c>
      <c r="K44" s="162"/>
      <c r="L44" s="176"/>
      <c r="M44" s="173"/>
      <c r="N44" s="176"/>
      <c r="O44" s="157"/>
      <c r="P44" s="176"/>
      <c r="Q44" s="174"/>
      <c r="R44" s="176"/>
      <c r="S44" s="157"/>
      <c r="T44" s="176"/>
      <c r="U44" s="174"/>
      <c r="V44" s="176"/>
      <c r="W44" s="173"/>
      <c r="X44" s="176"/>
      <c r="Y44" s="157"/>
      <c r="Z44" s="176"/>
      <c r="AA44" s="177"/>
      <c r="AB44" s="176"/>
      <c r="AC44" s="173"/>
      <c r="AD44" s="176"/>
      <c r="AE44" s="157"/>
      <c r="AF44" s="176"/>
      <c r="AG44" s="157"/>
      <c r="AH44" s="178"/>
      <c r="AI44" s="179"/>
      <c r="AJ44" s="160"/>
      <c r="AK44" s="176"/>
      <c r="AL44" s="180"/>
      <c r="AM44" s="176"/>
      <c r="AN44" s="181"/>
      <c r="AO44" s="176"/>
      <c r="AP44" s="180"/>
      <c r="AQ44" s="176"/>
      <c r="AR44" s="180"/>
      <c r="AS44" s="176"/>
      <c r="AT44" s="180"/>
      <c r="AU44" s="176"/>
      <c r="AV44" s="181"/>
      <c r="AW44" s="176"/>
      <c r="AX44" s="157"/>
      <c r="AY44" s="176"/>
      <c r="AZ44" s="181"/>
      <c r="BA44" s="176"/>
      <c r="BB44" s="180"/>
      <c r="BC44" s="176"/>
      <c r="BD44" s="157"/>
      <c r="BE44" s="176"/>
      <c r="BF44" s="157"/>
      <c r="BG44" s="182"/>
    </row>
    <row r="45" spans="2:59" s="1" customFormat="1" ht="6" customHeight="1">
      <c r="B45" s="102"/>
      <c r="C45" s="103"/>
      <c r="D45" s="103"/>
      <c r="E45" s="103"/>
      <c r="F45" s="103"/>
      <c r="G45" s="104"/>
      <c r="H45" s="103"/>
      <c r="I45" s="103"/>
      <c r="J45" s="103"/>
      <c r="K45" s="105"/>
      <c r="L45" s="105"/>
      <c r="M45" s="106"/>
      <c r="N45" s="106"/>
      <c r="O45" s="107"/>
      <c r="P45" s="108"/>
      <c r="Q45" s="108"/>
      <c r="R45" s="108"/>
      <c r="S45" s="107"/>
      <c r="T45" s="108"/>
      <c r="U45" s="108"/>
      <c r="V45" s="108"/>
      <c r="W45" s="106"/>
      <c r="X45" s="106"/>
      <c r="Y45" s="107"/>
      <c r="Z45" s="105"/>
      <c r="AA45" s="105"/>
      <c r="AB45" s="105"/>
      <c r="AC45" s="106"/>
      <c r="AD45" s="106"/>
      <c r="AE45" s="107"/>
      <c r="AF45" s="106"/>
      <c r="AG45" s="109"/>
      <c r="AH45" s="110"/>
      <c r="AI45" s="129"/>
      <c r="AJ45" s="110"/>
      <c r="AK45" s="123"/>
      <c r="AL45" s="111"/>
      <c r="AM45" s="111"/>
      <c r="AN45" s="111"/>
      <c r="AO45" s="111"/>
      <c r="AP45" s="111"/>
      <c r="AQ45" s="111"/>
      <c r="AR45" s="111"/>
      <c r="AS45" s="111"/>
      <c r="AT45" s="111"/>
      <c r="AU45" s="111"/>
      <c r="AV45" s="111"/>
      <c r="AW45" s="111"/>
      <c r="AX45" s="107"/>
      <c r="AY45" s="111"/>
      <c r="AZ45" s="111"/>
      <c r="BA45" s="111"/>
      <c r="BB45" s="111"/>
      <c r="BC45" s="111"/>
      <c r="BD45" s="107"/>
      <c r="BE45" s="106"/>
      <c r="BF45" s="112"/>
      <c r="BG45" s="125"/>
    </row>
    <row r="46" spans="2:59" s="1" customFormat="1" ht="14.1">
      <c r="B46" s="468" t="s">
        <v>405</v>
      </c>
      <c r="C46" s="469"/>
      <c r="D46" s="146"/>
      <c r="E46" s="146"/>
      <c r="F46" s="146"/>
      <c r="G46" s="88">
        <f t="shared" ref="G46:BF46" si="25">SUBTOTAL(9,G19:G45)</f>
        <v>0</v>
      </c>
      <c r="H46" s="146"/>
      <c r="I46" s="146"/>
      <c r="J46" s="146"/>
      <c r="K46" s="88">
        <f t="shared" si="25"/>
        <v>0</v>
      </c>
      <c r="L46" s="88"/>
      <c r="M46" s="88">
        <f t="shared" si="25"/>
        <v>0</v>
      </c>
      <c r="N46" s="88"/>
      <c r="O46" s="88">
        <f t="shared" si="25"/>
        <v>0</v>
      </c>
      <c r="P46" s="88"/>
      <c r="Q46" s="88">
        <f t="shared" si="25"/>
        <v>0</v>
      </c>
      <c r="R46" s="88"/>
      <c r="S46" s="88">
        <f t="shared" si="25"/>
        <v>0</v>
      </c>
      <c r="T46" s="88"/>
      <c r="U46" s="88">
        <f t="shared" si="25"/>
        <v>0</v>
      </c>
      <c r="V46" s="88"/>
      <c r="W46" s="88">
        <f t="shared" si="25"/>
        <v>0</v>
      </c>
      <c r="X46" s="88"/>
      <c r="Y46" s="88">
        <f t="shared" si="25"/>
        <v>0</v>
      </c>
      <c r="Z46" s="88"/>
      <c r="AA46" s="88">
        <f t="shared" si="25"/>
        <v>0</v>
      </c>
      <c r="AB46" s="88"/>
      <c r="AC46" s="88">
        <f t="shared" si="25"/>
        <v>0</v>
      </c>
      <c r="AD46" s="88"/>
      <c r="AE46" s="88">
        <f t="shared" si="25"/>
        <v>0</v>
      </c>
      <c r="AF46" s="88"/>
      <c r="AG46" s="88">
        <f t="shared" si="25"/>
        <v>0</v>
      </c>
      <c r="AH46" s="88"/>
      <c r="AI46" s="129"/>
      <c r="AJ46" s="88">
        <f t="shared" si="25"/>
        <v>0</v>
      </c>
      <c r="AK46" s="88"/>
      <c r="AL46" s="113">
        <f t="shared" si="25"/>
        <v>0</v>
      </c>
      <c r="AM46" s="113"/>
      <c r="AN46" s="113">
        <f t="shared" si="25"/>
        <v>0</v>
      </c>
      <c r="AO46" s="113"/>
      <c r="AP46" s="113">
        <f t="shared" si="25"/>
        <v>0</v>
      </c>
      <c r="AQ46" s="113"/>
      <c r="AR46" s="113">
        <f t="shared" si="25"/>
        <v>0</v>
      </c>
      <c r="AS46" s="113"/>
      <c r="AT46" s="113">
        <f t="shared" si="25"/>
        <v>0</v>
      </c>
      <c r="AU46" s="113"/>
      <c r="AV46" s="113">
        <f t="shared" si="25"/>
        <v>0</v>
      </c>
      <c r="AW46" s="88"/>
      <c r="AX46" s="88">
        <f t="shared" si="25"/>
        <v>0</v>
      </c>
      <c r="AY46" s="88"/>
      <c r="AZ46" s="113">
        <f t="shared" si="25"/>
        <v>0</v>
      </c>
      <c r="BA46" s="113"/>
      <c r="BB46" s="113">
        <f t="shared" si="25"/>
        <v>0</v>
      </c>
      <c r="BC46" s="88"/>
      <c r="BD46" s="88">
        <f t="shared" si="25"/>
        <v>0</v>
      </c>
      <c r="BE46" s="88"/>
      <c r="BF46" s="88">
        <f t="shared" si="25"/>
        <v>0</v>
      </c>
      <c r="BG46" s="87"/>
    </row>
    <row r="48" spans="2:59" s="1" customFormat="1">
      <c r="B48" s="74" t="s">
        <v>570</v>
      </c>
      <c r="C48" s="74"/>
      <c r="D48" s="74"/>
      <c r="E48" s="74"/>
      <c r="F48" s="74"/>
      <c r="G48" s="74"/>
      <c r="H48" s="74"/>
      <c r="I48" s="74"/>
      <c r="J48" s="74"/>
    </row>
    <row r="49" spans="2:59" s="83" customFormat="1" ht="14.1">
      <c r="B49" s="75" t="s">
        <v>581</v>
      </c>
      <c r="C49" s="76" t="s">
        <v>568</v>
      </c>
      <c r="D49" s="76" t="s">
        <v>573</v>
      </c>
      <c r="E49" s="76" t="s">
        <v>436</v>
      </c>
      <c r="F49" s="77" t="s">
        <v>582</v>
      </c>
      <c r="G49" s="78" t="s">
        <v>583</v>
      </c>
      <c r="H49" s="76" t="s">
        <v>576</v>
      </c>
      <c r="I49" s="82" t="s">
        <v>584</v>
      </c>
      <c r="J49" s="76" t="s">
        <v>585</v>
      </c>
      <c r="K49" s="79">
        <v>41275</v>
      </c>
      <c r="L49" s="79" t="s">
        <v>580</v>
      </c>
      <c r="M49" s="80">
        <v>41306</v>
      </c>
      <c r="N49" s="80" t="s">
        <v>580</v>
      </c>
      <c r="O49" s="80">
        <v>41334</v>
      </c>
      <c r="P49" s="80" t="s">
        <v>580</v>
      </c>
      <c r="Q49" s="80">
        <v>41365</v>
      </c>
      <c r="R49" s="80" t="s">
        <v>580</v>
      </c>
      <c r="S49" s="80">
        <v>41395</v>
      </c>
      <c r="T49" s="80" t="s">
        <v>580</v>
      </c>
      <c r="U49" s="80">
        <v>41426</v>
      </c>
      <c r="V49" s="80" t="s">
        <v>580</v>
      </c>
      <c r="W49" s="80">
        <v>41456</v>
      </c>
      <c r="X49" s="80" t="s">
        <v>580</v>
      </c>
      <c r="Y49" s="80">
        <v>41487</v>
      </c>
      <c r="Z49" s="80" t="s">
        <v>580</v>
      </c>
      <c r="AA49" s="80">
        <v>41518</v>
      </c>
      <c r="AB49" s="80" t="s">
        <v>580</v>
      </c>
      <c r="AC49" s="80">
        <v>41548</v>
      </c>
      <c r="AD49" s="80" t="s">
        <v>580</v>
      </c>
      <c r="AE49" s="80">
        <v>41579</v>
      </c>
      <c r="AF49" s="80" t="s">
        <v>580</v>
      </c>
      <c r="AG49" s="81">
        <v>41609</v>
      </c>
      <c r="AH49" s="80" t="s">
        <v>580</v>
      </c>
      <c r="AI49" s="126"/>
      <c r="AJ49" s="80">
        <v>41640</v>
      </c>
      <c r="AK49" s="80" t="s">
        <v>580</v>
      </c>
      <c r="AL49" s="81">
        <v>41671</v>
      </c>
      <c r="AM49" s="80" t="s">
        <v>580</v>
      </c>
      <c r="AN49" s="81">
        <v>41699</v>
      </c>
      <c r="AO49" s="80" t="s">
        <v>580</v>
      </c>
      <c r="AP49" s="81">
        <v>41730</v>
      </c>
      <c r="AQ49" s="80" t="s">
        <v>580</v>
      </c>
      <c r="AR49" s="81">
        <v>41760</v>
      </c>
      <c r="AS49" s="80" t="s">
        <v>580</v>
      </c>
      <c r="AT49" s="81">
        <v>41791</v>
      </c>
      <c r="AU49" s="80" t="s">
        <v>580</v>
      </c>
      <c r="AV49" s="81">
        <v>41821</v>
      </c>
      <c r="AW49" s="80" t="s">
        <v>580</v>
      </c>
      <c r="AX49" s="81">
        <v>41852</v>
      </c>
      <c r="AY49" s="80" t="s">
        <v>580</v>
      </c>
      <c r="AZ49" s="81">
        <v>41883</v>
      </c>
      <c r="BA49" s="80" t="s">
        <v>580</v>
      </c>
      <c r="BB49" s="81">
        <v>41913</v>
      </c>
      <c r="BC49" s="80" t="s">
        <v>580</v>
      </c>
      <c r="BD49" s="81">
        <v>41944</v>
      </c>
      <c r="BE49" s="80" t="s">
        <v>580</v>
      </c>
      <c r="BF49" s="81">
        <v>41974</v>
      </c>
      <c r="BG49" s="143" t="s">
        <v>580</v>
      </c>
    </row>
    <row r="50" spans="2:59" s="1" customFormat="1" ht="14.1">
      <c r="B50" s="84"/>
      <c r="C50" s="85" t="s">
        <v>405</v>
      </c>
      <c r="D50" s="85"/>
      <c r="E50" s="85"/>
      <c r="F50" s="86"/>
      <c r="G50" s="144">
        <f t="shared" ref="G50:BG50" si="26">SUM(G51:G77)</f>
        <v>0</v>
      </c>
      <c r="H50" s="85"/>
      <c r="I50" s="85"/>
      <c r="J50" s="85"/>
      <c r="K50" s="88">
        <f t="shared" si="26"/>
        <v>0</v>
      </c>
      <c r="L50" s="88">
        <f t="shared" si="26"/>
        <v>0</v>
      </c>
      <c r="M50" s="88">
        <f t="shared" si="26"/>
        <v>0</v>
      </c>
      <c r="N50" s="88">
        <f t="shared" si="26"/>
        <v>0</v>
      </c>
      <c r="O50" s="88">
        <f t="shared" si="26"/>
        <v>0</v>
      </c>
      <c r="P50" s="88">
        <f t="shared" si="26"/>
        <v>0</v>
      </c>
      <c r="Q50" s="88">
        <f t="shared" si="26"/>
        <v>0</v>
      </c>
      <c r="R50" s="88">
        <f t="shared" si="26"/>
        <v>0</v>
      </c>
      <c r="S50" s="88">
        <f t="shared" si="26"/>
        <v>0</v>
      </c>
      <c r="T50" s="88">
        <f t="shared" si="26"/>
        <v>0</v>
      </c>
      <c r="U50" s="88">
        <f t="shared" si="26"/>
        <v>0</v>
      </c>
      <c r="V50" s="88">
        <f t="shared" si="26"/>
        <v>0</v>
      </c>
      <c r="W50" s="88">
        <f t="shared" si="26"/>
        <v>0</v>
      </c>
      <c r="X50" s="88">
        <f t="shared" si="26"/>
        <v>0</v>
      </c>
      <c r="Y50" s="88">
        <f t="shared" si="26"/>
        <v>0</v>
      </c>
      <c r="Z50" s="88">
        <f t="shared" si="26"/>
        <v>0</v>
      </c>
      <c r="AA50" s="88">
        <f t="shared" si="26"/>
        <v>0</v>
      </c>
      <c r="AB50" s="88">
        <f t="shared" si="26"/>
        <v>0</v>
      </c>
      <c r="AC50" s="88">
        <f t="shared" si="26"/>
        <v>0</v>
      </c>
      <c r="AD50" s="88">
        <f t="shared" si="26"/>
        <v>0</v>
      </c>
      <c r="AE50" s="88">
        <f t="shared" si="26"/>
        <v>0</v>
      </c>
      <c r="AF50" s="88">
        <f t="shared" si="26"/>
        <v>0</v>
      </c>
      <c r="AG50" s="120">
        <f t="shared" si="26"/>
        <v>0</v>
      </c>
      <c r="AH50" s="88">
        <f t="shared" si="26"/>
        <v>0</v>
      </c>
      <c r="AI50" s="127"/>
      <c r="AJ50" s="88">
        <f t="shared" si="26"/>
        <v>0</v>
      </c>
      <c r="AK50" s="88">
        <f t="shared" si="26"/>
        <v>0</v>
      </c>
      <c r="AL50" s="88">
        <f t="shared" si="26"/>
        <v>0</v>
      </c>
      <c r="AM50" s="88">
        <f t="shared" si="26"/>
        <v>0</v>
      </c>
      <c r="AN50" s="88">
        <f t="shared" si="26"/>
        <v>0</v>
      </c>
      <c r="AO50" s="88">
        <f t="shared" si="26"/>
        <v>0</v>
      </c>
      <c r="AP50" s="88">
        <f t="shared" si="26"/>
        <v>0</v>
      </c>
      <c r="AQ50" s="88">
        <f t="shared" si="26"/>
        <v>0</v>
      </c>
      <c r="AR50" s="88">
        <f t="shared" si="26"/>
        <v>0</v>
      </c>
      <c r="AS50" s="88">
        <f t="shared" si="26"/>
        <v>0</v>
      </c>
      <c r="AT50" s="88">
        <f t="shared" si="26"/>
        <v>0</v>
      </c>
      <c r="AU50" s="88">
        <f t="shared" si="26"/>
        <v>0</v>
      </c>
      <c r="AV50" s="88">
        <f t="shared" si="26"/>
        <v>0</v>
      </c>
      <c r="AW50" s="88">
        <f t="shared" si="26"/>
        <v>0</v>
      </c>
      <c r="AX50" s="88">
        <f t="shared" si="26"/>
        <v>0</v>
      </c>
      <c r="AY50" s="88">
        <f t="shared" si="26"/>
        <v>0</v>
      </c>
      <c r="AZ50" s="88">
        <f t="shared" si="26"/>
        <v>0</v>
      </c>
      <c r="BA50" s="88">
        <f t="shared" si="26"/>
        <v>0</v>
      </c>
      <c r="BB50" s="88">
        <f t="shared" si="26"/>
        <v>0</v>
      </c>
      <c r="BC50" s="88">
        <f t="shared" si="26"/>
        <v>0</v>
      </c>
      <c r="BD50" s="88">
        <f t="shared" si="26"/>
        <v>0</v>
      </c>
      <c r="BE50" s="88">
        <f t="shared" si="26"/>
        <v>0</v>
      </c>
      <c r="BF50" s="88">
        <f t="shared" si="26"/>
        <v>0</v>
      </c>
      <c r="BG50" s="144">
        <f t="shared" si="26"/>
        <v>0</v>
      </c>
    </row>
    <row r="51" spans="2:59" s="1" customFormat="1">
      <c r="B51" s="135"/>
      <c r="C51" s="136"/>
      <c r="D51" s="136"/>
      <c r="E51" s="136"/>
      <c r="F51" s="137"/>
      <c r="G51" s="139"/>
      <c r="H51" s="153">
        <f>SUMIF($K$49:$BG$49,"REAL",K51:BG51)</f>
        <v>0</v>
      </c>
      <c r="I51" s="154">
        <f>G51-H51</f>
        <v>0</v>
      </c>
      <c r="J51" s="152" t="str">
        <f t="shared" ref="J51:J76" si="27">IF(C51="","Sem PO",IF(I51=G51,"Sem Fatura",IF(OR(H51=G51,H51&gt;G51),"Concluido","Em Andamento")))</f>
        <v>Sem PO</v>
      </c>
      <c r="K51" s="89"/>
      <c r="L51" s="114"/>
      <c r="M51" s="90"/>
      <c r="N51" s="114"/>
      <c r="O51" s="90"/>
      <c r="P51" s="114"/>
      <c r="Q51" s="90"/>
      <c r="R51" s="114"/>
      <c r="S51" s="90"/>
      <c r="T51" s="114"/>
      <c r="U51" s="90"/>
      <c r="V51" s="114"/>
      <c r="W51" s="90"/>
      <c r="X51" s="114"/>
      <c r="Y51" s="90"/>
      <c r="Z51" s="114"/>
      <c r="AA51" s="90"/>
      <c r="AB51" s="114"/>
      <c r="AC51" s="90"/>
      <c r="AD51" s="114"/>
      <c r="AE51" s="90"/>
      <c r="AF51" s="114"/>
      <c r="AG51" s="90"/>
      <c r="AH51" s="114"/>
      <c r="AI51" s="130"/>
      <c r="AJ51" s="98"/>
      <c r="AK51" s="114"/>
      <c r="AL51" s="90"/>
      <c r="AM51" s="114"/>
      <c r="AN51" s="90"/>
      <c r="AO51" s="114"/>
      <c r="AP51" s="90"/>
      <c r="AQ51" s="114"/>
      <c r="AR51" s="90"/>
      <c r="AS51" s="114"/>
      <c r="AT51" s="90"/>
      <c r="AU51" s="114"/>
      <c r="AV51" s="90"/>
      <c r="AW51" s="114"/>
      <c r="AX51" s="90"/>
      <c r="AY51" s="114"/>
      <c r="AZ51" s="90"/>
      <c r="BA51" s="114"/>
      <c r="BB51" s="90"/>
      <c r="BC51" s="114"/>
      <c r="BD51" s="90"/>
      <c r="BE51" s="114"/>
      <c r="BF51" s="90"/>
      <c r="BG51" s="141"/>
    </row>
    <row r="52" spans="2:59" s="1" customFormat="1">
      <c r="B52" s="135"/>
      <c r="C52" s="136"/>
      <c r="D52" s="136"/>
      <c r="E52" s="136"/>
      <c r="F52" s="137"/>
      <c r="G52" s="139"/>
      <c r="H52" s="153">
        <f t="shared" ref="H52:H76" si="28">SUMIF($K$49:$BG$49,"REAL",K52:BG52)</f>
        <v>0</v>
      </c>
      <c r="I52" s="154">
        <f t="shared" ref="I52:I76" si="29">G52-H52</f>
        <v>0</v>
      </c>
      <c r="J52" s="152" t="str">
        <f t="shared" si="27"/>
        <v>Sem PO</v>
      </c>
      <c r="K52" s="91"/>
      <c r="L52" s="115"/>
      <c r="M52" s="92"/>
      <c r="N52" s="115"/>
      <c r="O52" s="92"/>
      <c r="P52" s="115"/>
      <c r="Q52" s="92"/>
      <c r="R52" s="115"/>
      <c r="S52" s="92"/>
      <c r="T52" s="115"/>
      <c r="U52" s="92"/>
      <c r="V52" s="115"/>
      <c r="W52" s="92"/>
      <c r="X52" s="115"/>
      <c r="Y52" s="92"/>
      <c r="Z52" s="115"/>
      <c r="AA52" s="92"/>
      <c r="AB52" s="115"/>
      <c r="AC52" s="92"/>
      <c r="AD52" s="115"/>
      <c r="AE52" s="92"/>
      <c r="AF52" s="115"/>
      <c r="AG52" s="92"/>
      <c r="AH52" s="115"/>
      <c r="AI52" s="129"/>
      <c r="AJ52" s="95"/>
      <c r="AK52" s="115"/>
      <c r="AL52" s="92"/>
      <c r="AM52" s="115"/>
      <c r="AN52" s="92"/>
      <c r="AO52" s="115"/>
      <c r="AP52" s="92"/>
      <c r="AQ52" s="115"/>
      <c r="AR52" s="92"/>
      <c r="AS52" s="115"/>
      <c r="AT52" s="92"/>
      <c r="AU52" s="115"/>
      <c r="AV52" s="92"/>
      <c r="AW52" s="115"/>
      <c r="AX52" s="92"/>
      <c r="AY52" s="115"/>
      <c r="AZ52" s="92"/>
      <c r="BA52" s="115"/>
      <c r="BB52" s="92"/>
      <c r="BC52" s="115"/>
      <c r="BD52" s="92"/>
      <c r="BE52" s="115"/>
      <c r="BF52" s="92"/>
      <c r="BG52" s="140"/>
    </row>
    <row r="53" spans="2:59" s="1" customFormat="1">
      <c r="B53" s="135"/>
      <c r="C53" s="136"/>
      <c r="D53" s="136"/>
      <c r="E53" s="136"/>
      <c r="F53" s="137"/>
      <c r="G53" s="139"/>
      <c r="H53" s="153">
        <f t="shared" si="28"/>
        <v>0</v>
      </c>
      <c r="I53" s="154">
        <f t="shared" si="29"/>
        <v>0</v>
      </c>
      <c r="J53" s="152" t="str">
        <f t="shared" si="27"/>
        <v>Sem PO</v>
      </c>
      <c r="K53" s="91"/>
      <c r="L53" s="115"/>
      <c r="M53" s="92"/>
      <c r="N53" s="115"/>
      <c r="O53" s="92"/>
      <c r="P53" s="115"/>
      <c r="Q53" s="92"/>
      <c r="R53" s="115"/>
      <c r="S53" s="92"/>
      <c r="T53" s="115"/>
      <c r="U53" s="92"/>
      <c r="V53" s="115"/>
      <c r="W53" s="92"/>
      <c r="X53" s="115"/>
      <c r="Y53" s="92"/>
      <c r="Z53" s="115"/>
      <c r="AA53" s="92"/>
      <c r="AB53" s="115"/>
      <c r="AC53" s="92"/>
      <c r="AD53" s="115"/>
      <c r="AE53" s="92"/>
      <c r="AF53" s="115"/>
      <c r="AG53" s="92"/>
      <c r="AH53" s="115"/>
      <c r="AI53" s="129"/>
      <c r="AJ53" s="95"/>
      <c r="AK53" s="115"/>
      <c r="AL53" s="92"/>
      <c r="AM53" s="115"/>
      <c r="AN53" s="92"/>
      <c r="AO53" s="115"/>
      <c r="AP53" s="92"/>
      <c r="AQ53" s="115"/>
      <c r="AR53" s="92"/>
      <c r="AS53" s="115"/>
      <c r="AT53" s="92"/>
      <c r="AU53" s="115"/>
      <c r="AV53" s="92"/>
      <c r="AW53" s="115"/>
      <c r="AX53" s="92"/>
      <c r="AY53" s="115"/>
      <c r="AZ53" s="92"/>
      <c r="BA53" s="115"/>
      <c r="BB53" s="92"/>
      <c r="BC53" s="115"/>
      <c r="BD53" s="92"/>
      <c r="BE53" s="115"/>
      <c r="BF53" s="92"/>
      <c r="BG53" s="140"/>
    </row>
    <row r="54" spans="2:59" s="1" customFormat="1">
      <c r="B54" s="135"/>
      <c r="C54" s="136"/>
      <c r="D54" s="136"/>
      <c r="E54" s="136"/>
      <c r="F54" s="137"/>
      <c r="G54" s="139"/>
      <c r="H54" s="153">
        <f t="shared" si="28"/>
        <v>0</v>
      </c>
      <c r="I54" s="154">
        <f t="shared" si="29"/>
        <v>0</v>
      </c>
      <c r="J54" s="152" t="str">
        <f t="shared" si="27"/>
        <v>Sem PO</v>
      </c>
      <c r="K54" s="91"/>
      <c r="L54" s="115"/>
      <c r="M54" s="92"/>
      <c r="N54" s="115"/>
      <c r="O54" s="92"/>
      <c r="P54" s="115"/>
      <c r="Q54" s="92"/>
      <c r="R54" s="115"/>
      <c r="S54" s="92"/>
      <c r="T54" s="115"/>
      <c r="U54" s="92"/>
      <c r="V54" s="115"/>
      <c r="W54" s="92"/>
      <c r="X54" s="115"/>
      <c r="Y54" s="92"/>
      <c r="Z54" s="115"/>
      <c r="AA54" s="92"/>
      <c r="AB54" s="115"/>
      <c r="AC54" s="92"/>
      <c r="AD54" s="115"/>
      <c r="AE54" s="92"/>
      <c r="AF54" s="115"/>
      <c r="AG54" s="92"/>
      <c r="AH54" s="115"/>
      <c r="AI54" s="129"/>
      <c r="AJ54" s="95"/>
      <c r="AK54" s="115"/>
      <c r="AL54" s="92"/>
      <c r="AM54" s="115"/>
      <c r="AN54" s="92"/>
      <c r="AO54" s="115"/>
      <c r="AP54" s="92"/>
      <c r="AQ54" s="115"/>
      <c r="AR54" s="92"/>
      <c r="AS54" s="115"/>
      <c r="AT54" s="92"/>
      <c r="AU54" s="115"/>
      <c r="AV54" s="92"/>
      <c r="AW54" s="115"/>
      <c r="AX54" s="92"/>
      <c r="AY54" s="115"/>
      <c r="AZ54" s="92"/>
      <c r="BA54" s="115"/>
      <c r="BB54" s="92"/>
      <c r="BC54" s="115"/>
      <c r="BD54" s="92"/>
      <c r="BE54" s="115"/>
      <c r="BF54" s="92"/>
      <c r="BG54" s="140"/>
    </row>
    <row r="55" spans="2:59" s="1" customFormat="1">
      <c r="B55" s="135"/>
      <c r="C55" s="136"/>
      <c r="D55" s="136"/>
      <c r="E55" s="136"/>
      <c r="F55" s="137"/>
      <c r="G55" s="139"/>
      <c r="H55" s="153">
        <f t="shared" si="28"/>
        <v>0</v>
      </c>
      <c r="I55" s="154">
        <f t="shared" si="29"/>
        <v>0</v>
      </c>
      <c r="J55" s="152" t="str">
        <f t="shared" si="27"/>
        <v>Sem PO</v>
      </c>
      <c r="K55" s="91"/>
      <c r="L55" s="115"/>
      <c r="M55" s="92"/>
      <c r="N55" s="115"/>
      <c r="O55" s="92"/>
      <c r="P55" s="115"/>
      <c r="Q55" s="92"/>
      <c r="R55" s="115"/>
      <c r="S55" s="92"/>
      <c r="T55" s="115"/>
      <c r="U55" s="92"/>
      <c r="V55" s="115"/>
      <c r="W55" s="92"/>
      <c r="X55" s="115"/>
      <c r="Y55" s="92"/>
      <c r="Z55" s="115"/>
      <c r="AA55" s="92"/>
      <c r="AB55" s="115"/>
      <c r="AC55" s="92"/>
      <c r="AD55" s="115"/>
      <c r="AE55" s="92"/>
      <c r="AF55" s="115"/>
      <c r="AG55" s="92"/>
      <c r="AH55" s="115"/>
      <c r="AI55" s="129"/>
      <c r="AJ55" s="95"/>
      <c r="AK55" s="115"/>
      <c r="AL55" s="92"/>
      <c r="AM55" s="115"/>
      <c r="AN55" s="92"/>
      <c r="AO55" s="115"/>
      <c r="AP55" s="92"/>
      <c r="AQ55" s="115"/>
      <c r="AR55" s="92"/>
      <c r="AS55" s="115"/>
      <c r="AT55" s="92"/>
      <c r="AU55" s="115"/>
      <c r="AV55" s="92"/>
      <c r="AW55" s="115"/>
      <c r="AX55" s="92"/>
      <c r="AY55" s="115"/>
      <c r="AZ55" s="92"/>
      <c r="BA55" s="115"/>
      <c r="BB55" s="92"/>
      <c r="BC55" s="115"/>
      <c r="BD55" s="92"/>
      <c r="BE55" s="115"/>
      <c r="BF55" s="92"/>
      <c r="BG55" s="140"/>
    </row>
    <row r="56" spans="2:59" s="1" customFormat="1">
      <c r="B56" s="135"/>
      <c r="C56" s="136"/>
      <c r="D56" s="136"/>
      <c r="E56" s="136"/>
      <c r="F56" s="137"/>
      <c r="G56" s="139"/>
      <c r="H56" s="153">
        <f t="shared" si="28"/>
        <v>0</v>
      </c>
      <c r="I56" s="154">
        <f t="shared" si="29"/>
        <v>0</v>
      </c>
      <c r="J56" s="152" t="str">
        <f t="shared" si="27"/>
        <v>Sem PO</v>
      </c>
      <c r="K56" s="91"/>
      <c r="L56" s="115"/>
      <c r="M56" s="92"/>
      <c r="N56" s="115"/>
      <c r="O56" s="92"/>
      <c r="P56" s="115"/>
      <c r="Q56" s="92"/>
      <c r="R56" s="115"/>
      <c r="S56" s="92"/>
      <c r="T56" s="115"/>
      <c r="U56" s="92"/>
      <c r="V56" s="115"/>
      <c r="W56" s="92"/>
      <c r="X56" s="115"/>
      <c r="Y56" s="92"/>
      <c r="Z56" s="115"/>
      <c r="AA56" s="92"/>
      <c r="AB56" s="115"/>
      <c r="AC56" s="92"/>
      <c r="AD56" s="115"/>
      <c r="AE56" s="92"/>
      <c r="AF56" s="115"/>
      <c r="AG56" s="92"/>
      <c r="AH56" s="115"/>
      <c r="AI56" s="129"/>
      <c r="AJ56" s="95"/>
      <c r="AK56" s="115"/>
      <c r="AL56" s="92"/>
      <c r="AM56" s="115"/>
      <c r="AN56" s="92"/>
      <c r="AO56" s="115"/>
      <c r="AP56" s="92"/>
      <c r="AQ56" s="115"/>
      <c r="AR56" s="92"/>
      <c r="AS56" s="115"/>
      <c r="AT56" s="92"/>
      <c r="AU56" s="115"/>
      <c r="AV56" s="92"/>
      <c r="AW56" s="115"/>
      <c r="AX56" s="92"/>
      <c r="AY56" s="115"/>
      <c r="AZ56" s="92"/>
      <c r="BA56" s="115"/>
      <c r="BB56" s="92"/>
      <c r="BC56" s="115"/>
      <c r="BD56" s="92"/>
      <c r="BE56" s="115"/>
      <c r="BF56" s="92"/>
      <c r="BG56" s="140"/>
    </row>
    <row r="57" spans="2:59" s="1" customFormat="1" ht="15" customHeight="1">
      <c r="B57" s="135"/>
      <c r="C57" s="136"/>
      <c r="D57" s="136"/>
      <c r="E57" s="136"/>
      <c r="F57" s="137"/>
      <c r="G57" s="139"/>
      <c r="H57" s="153">
        <f t="shared" si="28"/>
        <v>0</v>
      </c>
      <c r="I57" s="154">
        <f t="shared" si="29"/>
        <v>0</v>
      </c>
      <c r="J57" s="152" t="str">
        <f t="shared" si="27"/>
        <v>Sem PO</v>
      </c>
      <c r="K57" s="91"/>
      <c r="L57" s="115"/>
      <c r="M57" s="92"/>
      <c r="N57" s="115"/>
      <c r="O57" s="92"/>
      <c r="P57" s="115"/>
      <c r="Q57" s="92"/>
      <c r="R57" s="115"/>
      <c r="S57" s="92"/>
      <c r="T57" s="115"/>
      <c r="U57" s="92"/>
      <c r="V57" s="115"/>
      <c r="W57" s="92"/>
      <c r="X57" s="115"/>
      <c r="Y57" s="92"/>
      <c r="Z57" s="115"/>
      <c r="AA57" s="92"/>
      <c r="AB57" s="115"/>
      <c r="AC57" s="92"/>
      <c r="AD57" s="115"/>
      <c r="AE57" s="92"/>
      <c r="AF57" s="115"/>
      <c r="AG57" s="92"/>
      <c r="AH57" s="115"/>
      <c r="AI57" s="129"/>
      <c r="AJ57" s="95"/>
      <c r="AK57" s="115"/>
      <c r="AL57" s="92"/>
      <c r="AM57" s="115"/>
      <c r="AN57" s="92"/>
      <c r="AO57" s="115"/>
      <c r="AP57" s="92"/>
      <c r="AQ57" s="115"/>
      <c r="AR57" s="92"/>
      <c r="AS57" s="115"/>
      <c r="AT57" s="92"/>
      <c r="AU57" s="115"/>
      <c r="AV57" s="92"/>
      <c r="AW57" s="115"/>
      <c r="AX57" s="92"/>
      <c r="AY57" s="115"/>
      <c r="AZ57" s="92"/>
      <c r="BA57" s="115"/>
      <c r="BB57" s="92"/>
      <c r="BC57" s="115"/>
      <c r="BD57" s="92"/>
      <c r="BE57" s="115"/>
      <c r="BF57" s="92"/>
      <c r="BG57" s="140"/>
    </row>
    <row r="58" spans="2:59" s="1" customFormat="1">
      <c r="B58" s="135"/>
      <c r="C58" s="136"/>
      <c r="D58" s="136"/>
      <c r="E58" s="136"/>
      <c r="F58" s="137"/>
      <c r="G58" s="139"/>
      <c r="H58" s="153">
        <f t="shared" si="28"/>
        <v>0</v>
      </c>
      <c r="I58" s="154">
        <f t="shared" si="29"/>
        <v>0</v>
      </c>
      <c r="J58" s="152" t="str">
        <f t="shared" si="27"/>
        <v>Sem PO</v>
      </c>
      <c r="K58" s="91"/>
      <c r="L58" s="115"/>
      <c r="M58" s="92"/>
      <c r="N58" s="115"/>
      <c r="O58" s="92"/>
      <c r="P58" s="115"/>
      <c r="Q58" s="92"/>
      <c r="R58" s="115"/>
      <c r="S58" s="92"/>
      <c r="T58" s="115"/>
      <c r="U58" s="92"/>
      <c r="V58" s="115"/>
      <c r="W58" s="92"/>
      <c r="X58" s="115"/>
      <c r="Y58" s="92"/>
      <c r="Z58" s="115"/>
      <c r="AA58" s="92"/>
      <c r="AB58" s="115"/>
      <c r="AC58" s="92"/>
      <c r="AD58" s="115"/>
      <c r="AE58" s="92"/>
      <c r="AF58" s="115"/>
      <c r="AG58" s="92"/>
      <c r="AH58" s="115"/>
      <c r="AI58" s="129"/>
      <c r="AJ58" s="95"/>
      <c r="AK58" s="115"/>
      <c r="AL58" s="92"/>
      <c r="AM58" s="115"/>
      <c r="AN58" s="92"/>
      <c r="AO58" s="115"/>
      <c r="AP58" s="92"/>
      <c r="AQ58" s="115"/>
      <c r="AR58" s="92"/>
      <c r="AS58" s="115"/>
      <c r="AT58" s="92"/>
      <c r="AU58" s="115"/>
      <c r="AV58" s="92"/>
      <c r="AW58" s="115"/>
      <c r="AX58" s="92"/>
      <c r="AY58" s="115"/>
      <c r="AZ58" s="92"/>
      <c r="BA58" s="115"/>
      <c r="BB58" s="92"/>
      <c r="BC58" s="115"/>
      <c r="BD58" s="92"/>
      <c r="BE58" s="115"/>
      <c r="BF58" s="92"/>
      <c r="BG58" s="140"/>
    </row>
    <row r="59" spans="2:59" s="1" customFormat="1">
      <c r="B59" s="135"/>
      <c r="C59" s="136"/>
      <c r="D59" s="136"/>
      <c r="E59" s="136"/>
      <c r="F59" s="137"/>
      <c r="G59" s="139"/>
      <c r="H59" s="153">
        <f t="shared" si="28"/>
        <v>0</v>
      </c>
      <c r="I59" s="154">
        <f t="shared" si="29"/>
        <v>0</v>
      </c>
      <c r="J59" s="152" t="str">
        <f t="shared" si="27"/>
        <v>Sem PO</v>
      </c>
      <c r="K59" s="91"/>
      <c r="L59" s="115"/>
      <c r="M59" s="92"/>
      <c r="N59" s="115"/>
      <c r="O59" s="92"/>
      <c r="P59" s="115"/>
      <c r="Q59" s="92"/>
      <c r="R59" s="115"/>
      <c r="S59" s="92"/>
      <c r="T59" s="115"/>
      <c r="U59" s="92"/>
      <c r="V59" s="115"/>
      <c r="W59" s="92"/>
      <c r="X59" s="115"/>
      <c r="Y59" s="92"/>
      <c r="Z59" s="115"/>
      <c r="AA59" s="92"/>
      <c r="AB59" s="115"/>
      <c r="AC59" s="92"/>
      <c r="AD59" s="115"/>
      <c r="AE59" s="92"/>
      <c r="AF59" s="115"/>
      <c r="AG59" s="92"/>
      <c r="AH59" s="115"/>
      <c r="AI59" s="129"/>
      <c r="AJ59" s="95"/>
      <c r="AK59" s="115"/>
      <c r="AL59" s="92"/>
      <c r="AM59" s="115"/>
      <c r="AN59" s="92"/>
      <c r="AO59" s="115"/>
      <c r="AP59" s="92"/>
      <c r="AQ59" s="115"/>
      <c r="AR59" s="92"/>
      <c r="AS59" s="115"/>
      <c r="AT59" s="92"/>
      <c r="AU59" s="115"/>
      <c r="AV59" s="92"/>
      <c r="AW59" s="115"/>
      <c r="AX59" s="92"/>
      <c r="AY59" s="115"/>
      <c r="AZ59" s="92"/>
      <c r="BA59" s="115"/>
      <c r="BB59" s="92"/>
      <c r="BC59" s="115"/>
      <c r="BD59" s="92"/>
      <c r="BE59" s="115"/>
      <c r="BF59" s="92"/>
      <c r="BG59" s="140"/>
    </row>
    <row r="60" spans="2:59" s="1" customFormat="1">
      <c r="B60" s="135"/>
      <c r="C60" s="136"/>
      <c r="D60" s="136"/>
      <c r="E60" s="136"/>
      <c r="F60" s="137"/>
      <c r="G60" s="139"/>
      <c r="H60" s="153">
        <f t="shared" si="28"/>
        <v>0</v>
      </c>
      <c r="I60" s="154">
        <f t="shared" si="29"/>
        <v>0</v>
      </c>
      <c r="J60" s="152" t="str">
        <f t="shared" si="27"/>
        <v>Sem PO</v>
      </c>
      <c r="K60" s="91"/>
      <c r="L60" s="115"/>
      <c r="M60" s="92"/>
      <c r="N60" s="115"/>
      <c r="O60" s="92"/>
      <c r="P60" s="115"/>
      <c r="Q60" s="92"/>
      <c r="R60" s="115"/>
      <c r="S60" s="92"/>
      <c r="T60" s="115"/>
      <c r="U60" s="92"/>
      <c r="V60" s="115"/>
      <c r="W60" s="92"/>
      <c r="X60" s="115"/>
      <c r="Y60" s="92"/>
      <c r="Z60" s="115"/>
      <c r="AA60" s="92"/>
      <c r="AB60" s="115"/>
      <c r="AC60" s="92"/>
      <c r="AD60" s="115"/>
      <c r="AE60" s="92"/>
      <c r="AF60" s="115"/>
      <c r="AG60" s="92"/>
      <c r="AH60" s="115"/>
      <c r="AI60" s="129"/>
      <c r="AJ60" s="95"/>
      <c r="AK60" s="115"/>
      <c r="AL60" s="92"/>
      <c r="AM60" s="115"/>
      <c r="AN60" s="92"/>
      <c r="AO60" s="115"/>
      <c r="AP60" s="92"/>
      <c r="AQ60" s="115"/>
      <c r="AR60" s="92"/>
      <c r="AS60" s="115"/>
      <c r="AT60" s="92"/>
      <c r="AU60" s="115"/>
      <c r="AV60" s="92"/>
      <c r="AW60" s="115"/>
      <c r="AX60" s="92"/>
      <c r="AY60" s="115"/>
      <c r="AZ60" s="92"/>
      <c r="BA60" s="115"/>
      <c r="BB60" s="92"/>
      <c r="BC60" s="115"/>
      <c r="BD60" s="92"/>
      <c r="BE60" s="115"/>
      <c r="BF60" s="92"/>
      <c r="BG60" s="140"/>
    </row>
    <row r="61" spans="2:59" s="1" customFormat="1">
      <c r="B61" s="135"/>
      <c r="C61" s="136"/>
      <c r="D61" s="136"/>
      <c r="E61" s="136"/>
      <c r="F61" s="137"/>
      <c r="G61" s="138"/>
      <c r="H61" s="153">
        <f t="shared" si="28"/>
        <v>0</v>
      </c>
      <c r="I61" s="154">
        <f t="shared" si="29"/>
        <v>0</v>
      </c>
      <c r="J61" s="152" t="str">
        <f t="shared" si="27"/>
        <v>Sem PO</v>
      </c>
      <c r="K61" s="91"/>
      <c r="L61" s="115"/>
      <c r="M61" s="92"/>
      <c r="N61" s="115"/>
      <c r="O61" s="92"/>
      <c r="P61" s="115"/>
      <c r="Q61" s="92"/>
      <c r="R61" s="115"/>
      <c r="S61" s="92"/>
      <c r="T61" s="115"/>
      <c r="U61" s="92"/>
      <c r="V61" s="115"/>
      <c r="W61" s="92"/>
      <c r="X61" s="115"/>
      <c r="Y61" s="92"/>
      <c r="Z61" s="115"/>
      <c r="AA61" s="92"/>
      <c r="AB61" s="115"/>
      <c r="AC61" s="92"/>
      <c r="AD61" s="115"/>
      <c r="AE61" s="92"/>
      <c r="AF61" s="115"/>
      <c r="AG61" s="92"/>
      <c r="AH61" s="115"/>
      <c r="AI61" s="129"/>
      <c r="AJ61" s="95"/>
      <c r="AK61" s="115"/>
      <c r="AL61" s="92"/>
      <c r="AM61" s="115"/>
      <c r="AN61" s="92"/>
      <c r="AO61" s="115"/>
      <c r="AP61" s="92"/>
      <c r="AQ61" s="115"/>
      <c r="AR61" s="92"/>
      <c r="AS61" s="115"/>
      <c r="AT61" s="92"/>
      <c r="AU61" s="115"/>
      <c r="AV61" s="92"/>
      <c r="AW61" s="115"/>
      <c r="AX61" s="92"/>
      <c r="AY61" s="115"/>
      <c r="AZ61" s="92"/>
      <c r="BA61" s="115"/>
      <c r="BB61" s="92"/>
      <c r="BC61" s="115"/>
      <c r="BD61" s="92"/>
      <c r="BE61" s="115"/>
      <c r="BF61" s="92"/>
      <c r="BG61" s="140"/>
    </row>
    <row r="62" spans="2:59" s="1" customFormat="1" ht="15" customHeight="1">
      <c r="B62" s="135"/>
      <c r="C62" s="136"/>
      <c r="D62" s="136"/>
      <c r="E62" s="136"/>
      <c r="F62" s="137"/>
      <c r="G62" s="139"/>
      <c r="H62" s="153">
        <f t="shared" si="28"/>
        <v>0</v>
      </c>
      <c r="I62" s="154">
        <f t="shared" si="29"/>
        <v>0</v>
      </c>
      <c r="J62" s="152" t="str">
        <f t="shared" si="27"/>
        <v>Sem PO</v>
      </c>
      <c r="K62" s="91"/>
      <c r="L62" s="115"/>
      <c r="M62" s="92"/>
      <c r="N62" s="115"/>
      <c r="O62" s="92"/>
      <c r="P62" s="115"/>
      <c r="Q62" s="92"/>
      <c r="R62" s="115"/>
      <c r="S62" s="92"/>
      <c r="T62" s="115"/>
      <c r="U62" s="92"/>
      <c r="V62" s="115"/>
      <c r="W62" s="92"/>
      <c r="X62" s="115"/>
      <c r="Y62" s="92"/>
      <c r="Z62" s="115"/>
      <c r="AA62" s="92"/>
      <c r="AB62" s="115"/>
      <c r="AC62" s="92"/>
      <c r="AD62" s="115"/>
      <c r="AE62" s="92"/>
      <c r="AF62" s="115"/>
      <c r="AG62" s="92"/>
      <c r="AH62" s="115"/>
      <c r="AI62" s="129"/>
      <c r="AJ62" s="95"/>
      <c r="AK62" s="115"/>
      <c r="AL62" s="92"/>
      <c r="AM62" s="115"/>
      <c r="AN62" s="92"/>
      <c r="AO62" s="115"/>
      <c r="AP62" s="92"/>
      <c r="AQ62" s="115"/>
      <c r="AR62" s="92"/>
      <c r="AS62" s="115"/>
      <c r="AT62" s="92"/>
      <c r="AU62" s="115"/>
      <c r="AV62" s="92"/>
      <c r="AW62" s="115"/>
      <c r="AX62" s="92"/>
      <c r="AY62" s="115"/>
      <c r="AZ62" s="92"/>
      <c r="BA62" s="115"/>
      <c r="BB62" s="92"/>
      <c r="BC62" s="115"/>
      <c r="BD62" s="92"/>
      <c r="BE62" s="115"/>
      <c r="BF62" s="92"/>
      <c r="BG62" s="140"/>
    </row>
    <row r="63" spans="2:59" s="1" customFormat="1">
      <c r="B63" s="135"/>
      <c r="C63" s="136"/>
      <c r="D63" s="136"/>
      <c r="E63" s="136"/>
      <c r="F63" s="137"/>
      <c r="G63" s="139"/>
      <c r="H63" s="153">
        <f t="shared" si="28"/>
        <v>0</v>
      </c>
      <c r="I63" s="154">
        <f t="shared" si="29"/>
        <v>0</v>
      </c>
      <c r="J63" s="152" t="str">
        <f t="shared" si="27"/>
        <v>Sem PO</v>
      </c>
      <c r="K63" s="91"/>
      <c r="L63" s="115"/>
      <c r="M63" s="92"/>
      <c r="N63" s="115"/>
      <c r="O63" s="92"/>
      <c r="P63" s="115"/>
      <c r="Q63" s="92"/>
      <c r="R63" s="115"/>
      <c r="S63" s="92"/>
      <c r="T63" s="115"/>
      <c r="U63" s="92"/>
      <c r="V63" s="115"/>
      <c r="W63" s="92"/>
      <c r="X63" s="115"/>
      <c r="Y63" s="92"/>
      <c r="Z63" s="115"/>
      <c r="AA63" s="92"/>
      <c r="AB63" s="115"/>
      <c r="AC63" s="92"/>
      <c r="AD63" s="115"/>
      <c r="AE63" s="92"/>
      <c r="AF63" s="115"/>
      <c r="AG63" s="92"/>
      <c r="AH63" s="115"/>
      <c r="AI63" s="129"/>
      <c r="AJ63" s="95"/>
      <c r="AK63" s="115"/>
      <c r="AL63" s="92"/>
      <c r="AM63" s="115"/>
      <c r="AN63" s="92"/>
      <c r="AO63" s="115"/>
      <c r="AP63" s="92"/>
      <c r="AQ63" s="115"/>
      <c r="AR63" s="92"/>
      <c r="AS63" s="115"/>
      <c r="AT63" s="92"/>
      <c r="AU63" s="115"/>
      <c r="AV63" s="92"/>
      <c r="AW63" s="115"/>
      <c r="AX63" s="92"/>
      <c r="AY63" s="115"/>
      <c r="AZ63" s="92"/>
      <c r="BA63" s="115"/>
      <c r="BB63" s="92"/>
      <c r="BC63" s="115"/>
      <c r="BD63" s="92"/>
      <c r="BE63" s="115"/>
      <c r="BF63" s="92"/>
      <c r="BG63" s="140"/>
    </row>
    <row r="64" spans="2:59" s="1" customFormat="1">
      <c r="B64" s="135"/>
      <c r="C64" s="136"/>
      <c r="D64" s="136"/>
      <c r="E64" s="136"/>
      <c r="F64" s="137"/>
      <c r="G64" s="139"/>
      <c r="H64" s="153">
        <f t="shared" si="28"/>
        <v>0</v>
      </c>
      <c r="I64" s="154">
        <f t="shared" si="29"/>
        <v>0</v>
      </c>
      <c r="J64" s="152" t="str">
        <f t="shared" si="27"/>
        <v>Sem PO</v>
      </c>
      <c r="K64" s="91"/>
      <c r="L64" s="115"/>
      <c r="M64" s="92"/>
      <c r="N64" s="115"/>
      <c r="O64" s="92"/>
      <c r="P64" s="115"/>
      <c r="Q64" s="92"/>
      <c r="R64" s="115"/>
      <c r="S64" s="92"/>
      <c r="T64" s="115"/>
      <c r="U64" s="92"/>
      <c r="V64" s="115"/>
      <c r="W64" s="92"/>
      <c r="X64" s="115"/>
      <c r="Y64" s="92"/>
      <c r="Z64" s="115"/>
      <c r="AA64" s="92"/>
      <c r="AB64" s="115"/>
      <c r="AC64" s="92"/>
      <c r="AD64" s="115"/>
      <c r="AE64" s="92"/>
      <c r="AF64" s="115"/>
      <c r="AG64" s="92"/>
      <c r="AH64" s="115"/>
      <c r="AI64" s="129"/>
      <c r="AJ64" s="95"/>
      <c r="AK64" s="115"/>
      <c r="AL64" s="92"/>
      <c r="AM64" s="115"/>
      <c r="AN64" s="92"/>
      <c r="AO64" s="115"/>
      <c r="AP64" s="92"/>
      <c r="AQ64" s="115"/>
      <c r="AR64" s="92"/>
      <c r="AS64" s="115"/>
      <c r="AT64" s="92"/>
      <c r="AU64" s="115"/>
      <c r="AV64" s="92"/>
      <c r="AW64" s="115"/>
      <c r="AX64" s="92"/>
      <c r="AY64" s="115"/>
      <c r="AZ64" s="92"/>
      <c r="BA64" s="115"/>
      <c r="BB64" s="92"/>
      <c r="BC64" s="115"/>
      <c r="BD64" s="92"/>
      <c r="BE64" s="115"/>
      <c r="BF64" s="92"/>
      <c r="BG64" s="140"/>
    </row>
    <row r="65" spans="2:59" s="1" customFormat="1">
      <c r="B65" s="135"/>
      <c r="C65" s="136"/>
      <c r="D65" s="136"/>
      <c r="E65" s="136"/>
      <c r="F65" s="137"/>
      <c r="G65" s="139"/>
      <c r="H65" s="153">
        <f t="shared" si="28"/>
        <v>0</v>
      </c>
      <c r="I65" s="154">
        <f t="shared" si="29"/>
        <v>0</v>
      </c>
      <c r="J65" s="152" t="str">
        <f t="shared" si="27"/>
        <v>Sem PO</v>
      </c>
      <c r="K65" s="91"/>
      <c r="L65" s="115"/>
      <c r="M65" s="92"/>
      <c r="N65" s="115"/>
      <c r="O65" s="92"/>
      <c r="P65" s="115"/>
      <c r="Q65" s="92"/>
      <c r="R65" s="115"/>
      <c r="S65" s="92"/>
      <c r="T65" s="115"/>
      <c r="U65" s="92"/>
      <c r="V65" s="115"/>
      <c r="W65" s="92"/>
      <c r="X65" s="115"/>
      <c r="Y65" s="92"/>
      <c r="Z65" s="115"/>
      <c r="AA65" s="92"/>
      <c r="AB65" s="115"/>
      <c r="AC65" s="92"/>
      <c r="AD65" s="115"/>
      <c r="AE65" s="92"/>
      <c r="AF65" s="115"/>
      <c r="AG65" s="92"/>
      <c r="AH65" s="115"/>
      <c r="AI65" s="129"/>
      <c r="AJ65" s="95"/>
      <c r="AK65" s="115"/>
      <c r="AL65" s="92"/>
      <c r="AM65" s="115"/>
      <c r="AN65" s="92"/>
      <c r="AO65" s="115"/>
      <c r="AP65" s="92"/>
      <c r="AQ65" s="115"/>
      <c r="AR65" s="92"/>
      <c r="AS65" s="115"/>
      <c r="AT65" s="92"/>
      <c r="AU65" s="115"/>
      <c r="AV65" s="92"/>
      <c r="AW65" s="115"/>
      <c r="AX65" s="92"/>
      <c r="AY65" s="115"/>
      <c r="AZ65" s="92"/>
      <c r="BA65" s="115"/>
      <c r="BB65" s="92"/>
      <c r="BC65" s="115"/>
      <c r="BD65" s="92"/>
      <c r="BE65" s="115"/>
      <c r="BF65" s="92"/>
      <c r="BG65" s="140"/>
    </row>
    <row r="66" spans="2:59" s="1" customFormat="1">
      <c r="B66" s="135"/>
      <c r="C66" s="136"/>
      <c r="D66" s="136"/>
      <c r="E66" s="136"/>
      <c r="F66" s="137"/>
      <c r="G66" s="139"/>
      <c r="H66" s="153">
        <f t="shared" si="28"/>
        <v>0</v>
      </c>
      <c r="I66" s="154">
        <f t="shared" si="29"/>
        <v>0</v>
      </c>
      <c r="J66" s="152" t="str">
        <f t="shared" si="27"/>
        <v>Sem PO</v>
      </c>
      <c r="K66" s="91"/>
      <c r="L66" s="115"/>
      <c r="M66" s="92"/>
      <c r="N66" s="115"/>
      <c r="O66" s="92"/>
      <c r="P66" s="115"/>
      <c r="Q66" s="92"/>
      <c r="R66" s="115"/>
      <c r="S66" s="92"/>
      <c r="T66" s="115"/>
      <c r="U66" s="92"/>
      <c r="V66" s="115"/>
      <c r="W66" s="92"/>
      <c r="X66" s="115"/>
      <c r="Y66" s="92"/>
      <c r="Z66" s="115"/>
      <c r="AA66" s="92"/>
      <c r="AB66" s="115"/>
      <c r="AC66" s="92"/>
      <c r="AD66" s="115"/>
      <c r="AE66" s="92"/>
      <c r="AF66" s="115"/>
      <c r="AG66" s="92"/>
      <c r="AH66" s="115"/>
      <c r="AI66" s="129"/>
      <c r="AJ66" s="95"/>
      <c r="AK66" s="115"/>
      <c r="AL66" s="92"/>
      <c r="AM66" s="115"/>
      <c r="AN66" s="92"/>
      <c r="AO66" s="115"/>
      <c r="AP66" s="92"/>
      <c r="AQ66" s="115"/>
      <c r="AR66" s="92"/>
      <c r="AS66" s="115"/>
      <c r="AT66" s="92"/>
      <c r="AU66" s="115"/>
      <c r="AV66" s="92"/>
      <c r="AW66" s="115"/>
      <c r="AX66" s="92"/>
      <c r="AY66" s="115"/>
      <c r="AZ66" s="92"/>
      <c r="BA66" s="115"/>
      <c r="BB66" s="92"/>
      <c r="BC66" s="115"/>
      <c r="BD66" s="92"/>
      <c r="BE66" s="115"/>
      <c r="BF66" s="92"/>
      <c r="BG66" s="140"/>
    </row>
    <row r="67" spans="2:59" s="1" customFormat="1" ht="15" customHeight="1">
      <c r="B67" s="135"/>
      <c r="C67" s="136"/>
      <c r="D67" s="136"/>
      <c r="E67" s="136"/>
      <c r="F67" s="137"/>
      <c r="G67" s="139"/>
      <c r="H67" s="153">
        <f t="shared" si="28"/>
        <v>0</v>
      </c>
      <c r="I67" s="154">
        <f t="shared" si="29"/>
        <v>0</v>
      </c>
      <c r="J67" s="152" t="str">
        <f t="shared" si="27"/>
        <v>Sem PO</v>
      </c>
      <c r="K67" s="91"/>
      <c r="L67" s="115"/>
      <c r="M67" s="92"/>
      <c r="N67" s="115"/>
      <c r="O67" s="92"/>
      <c r="P67" s="115"/>
      <c r="Q67" s="92"/>
      <c r="R67" s="115"/>
      <c r="S67" s="92"/>
      <c r="T67" s="115"/>
      <c r="U67" s="92"/>
      <c r="V67" s="115"/>
      <c r="W67" s="92"/>
      <c r="X67" s="115"/>
      <c r="Y67" s="92"/>
      <c r="Z67" s="115"/>
      <c r="AA67" s="92"/>
      <c r="AB67" s="115"/>
      <c r="AC67" s="92"/>
      <c r="AD67" s="115"/>
      <c r="AE67" s="92"/>
      <c r="AF67" s="115"/>
      <c r="AG67" s="92"/>
      <c r="AH67" s="115"/>
      <c r="AI67" s="129"/>
      <c r="AJ67" s="95"/>
      <c r="AK67" s="115"/>
      <c r="AL67" s="92"/>
      <c r="AM67" s="115"/>
      <c r="AN67" s="92"/>
      <c r="AO67" s="115"/>
      <c r="AP67" s="92"/>
      <c r="AQ67" s="115"/>
      <c r="AR67" s="92"/>
      <c r="AS67" s="115"/>
      <c r="AT67" s="92"/>
      <c r="AU67" s="115"/>
      <c r="AV67" s="92"/>
      <c r="AW67" s="115"/>
      <c r="AX67" s="92"/>
      <c r="AY67" s="115"/>
      <c r="AZ67" s="92"/>
      <c r="BA67" s="115"/>
      <c r="BB67" s="92"/>
      <c r="BC67" s="115"/>
      <c r="BD67" s="92"/>
      <c r="BE67" s="115"/>
      <c r="BF67" s="92"/>
      <c r="BG67" s="140"/>
    </row>
    <row r="68" spans="2:59" s="1" customFormat="1">
      <c r="B68" s="135"/>
      <c r="C68" s="136"/>
      <c r="D68" s="136"/>
      <c r="E68" s="136"/>
      <c r="F68" s="137"/>
      <c r="G68" s="139"/>
      <c r="H68" s="153">
        <f t="shared" si="28"/>
        <v>0</v>
      </c>
      <c r="I68" s="154">
        <f t="shared" si="29"/>
        <v>0</v>
      </c>
      <c r="J68" s="152" t="str">
        <f t="shared" si="27"/>
        <v>Sem PO</v>
      </c>
      <c r="K68" s="91"/>
      <c r="L68" s="115"/>
      <c r="M68" s="92"/>
      <c r="N68" s="115"/>
      <c r="O68" s="92"/>
      <c r="P68" s="115"/>
      <c r="Q68" s="92"/>
      <c r="R68" s="115"/>
      <c r="S68" s="92"/>
      <c r="T68" s="115"/>
      <c r="U68" s="92"/>
      <c r="V68" s="115"/>
      <c r="W68" s="92"/>
      <c r="X68" s="115"/>
      <c r="Y68" s="92"/>
      <c r="Z68" s="115"/>
      <c r="AA68" s="92"/>
      <c r="AB68" s="115"/>
      <c r="AC68" s="92"/>
      <c r="AD68" s="115"/>
      <c r="AE68" s="92"/>
      <c r="AF68" s="115"/>
      <c r="AG68" s="92"/>
      <c r="AH68" s="115"/>
      <c r="AI68" s="129"/>
      <c r="AJ68" s="95"/>
      <c r="AK68" s="115"/>
      <c r="AL68" s="92"/>
      <c r="AM68" s="115"/>
      <c r="AN68" s="92"/>
      <c r="AO68" s="115"/>
      <c r="AP68" s="92"/>
      <c r="AQ68" s="115"/>
      <c r="AR68" s="92"/>
      <c r="AS68" s="115"/>
      <c r="AT68" s="92"/>
      <c r="AU68" s="115"/>
      <c r="AV68" s="92"/>
      <c r="AW68" s="115"/>
      <c r="AX68" s="92"/>
      <c r="AY68" s="115"/>
      <c r="AZ68" s="92"/>
      <c r="BA68" s="115"/>
      <c r="BB68" s="92"/>
      <c r="BC68" s="115"/>
      <c r="BD68" s="92"/>
      <c r="BE68" s="115"/>
      <c r="BF68" s="92"/>
      <c r="BG68" s="140"/>
    </row>
    <row r="69" spans="2:59" s="1" customFormat="1">
      <c r="B69" s="135"/>
      <c r="C69" s="136"/>
      <c r="D69" s="136"/>
      <c r="E69" s="136"/>
      <c r="F69" s="137"/>
      <c r="G69" s="139"/>
      <c r="H69" s="153">
        <f t="shared" si="28"/>
        <v>0</v>
      </c>
      <c r="I69" s="154">
        <f t="shared" si="29"/>
        <v>0</v>
      </c>
      <c r="J69" s="152" t="str">
        <f t="shared" si="27"/>
        <v>Sem PO</v>
      </c>
      <c r="K69" s="91"/>
      <c r="L69" s="115"/>
      <c r="M69" s="92"/>
      <c r="N69" s="115"/>
      <c r="O69" s="92"/>
      <c r="P69" s="115"/>
      <c r="Q69" s="92"/>
      <c r="R69" s="115"/>
      <c r="S69" s="92"/>
      <c r="T69" s="115"/>
      <c r="U69" s="92"/>
      <c r="V69" s="115"/>
      <c r="W69" s="92"/>
      <c r="X69" s="115"/>
      <c r="Y69" s="92"/>
      <c r="Z69" s="115"/>
      <c r="AA69" s="92"/>
      <c r="AB69" s="115"/>
      <c r="AC69" s="92"/>
      <c r="AD69" s="115"/>
      <c r="AE69" s="92"/>
      <c r="AF69" s="115"/>
      <c r="AG69" s="92"/>
      <c r="AH69" s="115"/>
      <c r="AI69" s="129"/>
      <c r="AJ69" s="95"/>
      <c r="AK69" s="115"/>
      <c r="AL69" s="92"/>
      <c r="AM69" s="115"/>
      <c r="AN69" s="92"/>
      <c r="AO69" s="115"/>
      <c r="AP69" s="92"/>
      <c r="AQ69" s="115"/>
      <c r="AR69" s="92"/>
      <c r="AS69" s="115"/>
      <c r="AT69" s="92"/>
      <c r="AU69" s="115"/>
      <c r="AV69" s="92"/>
      <c r="AW69" s="115"/>
      <c r="AX69" s="92"/>
      <c r="AY69" s="115"/>
      <c r="AZ69" s="92"/>
      <c r="BA69" s="115"/>
      <c r="BB69" s="92"/>
      <c r="BC69" s="115"/>
      <c r="BD69" s="92"/>
      <c r="BE69" s="115"/>
      <c r="BF69" s="92"/>
      <c r="BG69" s="140"/>
    </row>
    <row r="70" spans="2:59" s="1" customFormat="1">
      <c r="B70" s="135"/>
      <c r="C70" s="136"/>
      <c r="D70" s="136"/>
      <c r="E70" s="136"/>
      <c r="F70" s="137"/>
      <c r="G70" s="139"/>
      <c r="H70" s="153">
        <f t="shared" si="28"/>
        <v>0</v>
      </c>
      <c r="I70" s="154">
        <f t="shared" si="29"/>
        <v>0</v>
      </c>
      <c r="J70" s="152" t="str">
        <f t="shared" si="27"/>
        <v>Sem PO</v>
      </c>
      <c r="K70" s="91"/>
      <c r="L70" s="115"/>
      <c r="M70" s="92"/>
      <c r="N70" s="115"/>
      <c r="O70" s="92"/>
      <c r="P70" s="115"/>
      <c r="Q70" s="92"/>
      <c r="R70" s="115"/>
      <c r="S70" s="92"/>
      <c r="T70" s="115"/>
      <c r="U70" s="92"/>
      <c r="V70" s="115"/>
      <c r="W70" s="92"/>
      <c r="X70" s="115"/>
      <c r="Y70" s="92"/>
      <c r="Z70" s="115"/>
      <c r="AA70" s="92"/>
      <c r="AB70" s="115"/>
      <c r="AC70" s="92"/>
      <c r="AD70" s="115"/>
      <c r="AE70" s="92"/>
      <c r="AF70" s="115"/>
      <c r="AG70" s="92"/>
      <c r="AH70" s="115"/>
      <c r="AI70" s="129"/>
      <c r="AJ70" s="95"/>
      <c r="AK70" s="115"/>
      <c r="AL70" s="92"/>
      <c r="AM70" s="115"/>
      <c r="AN70" s="92"/>
      <c r="AO70" s="115"/>
      <c r="AP70" s="92"/>
      <c r="AQ70" s="115"/>
      <c r="AR70" s="92"/>
      <c r="AS70" s="115"/>
      <c r="AT70" s="92"/>
      <c r="AU70" s="115"/>
      <c r="AV70" s="92"/>
      <c r="AW70" s="115"/>
      <c r="AX70" s="92"/>
      <c r="AY70" s="115"/>
      <c r="AZ70" s="92"/>
      <c r="BA70" s="115"/>
      <c r="BB70" s="92"/>
      <c r="BC70" s="115"/>
      <c r="BD70" s="92"/>
      <c r="BE70" s="115"/>
      <c r="BF70" s="92"/>
      <c r="BG70" s="140"/>
    </row>
    <row r="71" spans="2:59" s="1" customFormat="1">
      <c r="B71" s="135"/>
      <c r="C71" s="136"/>
      <c r="D71" s="136"/>
      <c r="E71" s="136"/>
      <c r="F71" s="137"/>
      <c r="G71" s="139"/>
      <c r="H71" s="153">
        <f t="shared" si="28"/>
        <v>0</v>
      </c>
      <c r="I71" s="154">
        <f t="shared" si="29"/>
        <v>0</v>
      </c>
      <c r="J71" s="152" t="str">
        <f t="shared" si="27"/>
        <v>Sem PO</v>
      </c>
      <c r="K71" s="91"/>
      <c r="L71" s="115"/>
      <c r="M71" s="92"/>
      <c r="N71" s="115"/>
      <c r="O71" s="92"/>
      <c r="P71" s="115"/>
      <c r="Q71" s="92"/>
      <c r="R71" s="115"/>
      <c r="S71" s="92"/>
      <c r="T71" s="115"/>
      <c r="U71" s="92"/>
      <c r="V71" s="115"/>
      <c r="W71" s="92"/>
      <c r="X71" s="115"/>
      <c r="Y71" s="92"/>
      <c r="Z71" s="115"/>
      <c r="AA71" s="92"/>
      <c r="AB71" s="115"/>
      <c r="AC71" s="92"/>
      <c r="AD71" s="115"/>
      <c r="AE71" s="92"/>
      <c r="AF71" s="115"/>
      <c r="AG71" s="92"/>
      <c r="AH71" s="115"/>
      <c r="AI71" s="129"/>
      <c r="AJ71" s="95"/>
      <c r="AK71" s="115"/>
      <c r="AL71" s="92"/>
      <c r="AM71" s="115"/>
      <c r="AN71" s="92"/>
      <c r="AO71" s="115"/>
      <c r="AP71" s="92"/>
      <c r="AQ71" s="115"/>
      <c r="AR71" s="92"/>
      <c r="AS71" s="115"/>
      <c r="AT71" s="92"/>
      <c r="AU71" s="115"/>
      <c r="AV71" s="92"/>
      <c r="AW71" s="115"/>
      <c r="AX71" s="92"/>
      <c r="AY71" s="115"/>
      <c r="AZ71" s="92"/>
      <c r="BA71" s="115"/>
      <c r="BB71" s="92"/>
      <c r="BC71" s="115"/>
      <c r="BD71" s="92"/>
      <c r="BE71" s="115"/>
      <c r="BF71" s="92"/>
      <c r="BG71" s="140"/>
    </row>
    <row r="72" spans="2:59" s="1" customFormat="1" ht="15" customHeight="1">
      <c r="B72" s="135"/>
      <c r="C72" s="136"/>
      <c r="D72" s="136"/>
      <c r="E72" s="136"/>
      <c r="F72" s="137"/>
      <c r="G72" s="138"/>
      <c r="H72" s="153">
        <f t="shared" si="28"/>
        <v>0</v>
      </c>
      <c r="I72" s="154">
        <f t="shared" si="29"/>
        <v>0</v>
      </c>
      <c r="J72" s="152" t="str">
        <f t="shared" si="27"/>
        <v>Sem PO</v>
      </c>
      <c r="K72" s="91"/>
      <c r="L72" s="115"/>
      <c r="M72" s="92"/>
      <c r="N72" s="115"/>
      <c r="O72" s="92"/>
      <c r="P72" s="115"/>
      <c r="Q72" s="92"/>
      <c r="R72" s="115"/>
      <c r="S72" s="92"/>
      <c r="T72" s="115"/>
      <c r="U72" s="92"/>
      <c r="V72" s="115"/>
      <c r="W72" s="92"/>
      <c r="X72" s="115"/>
      <c r="Y72" s="92"/>
      <c r="Z72" s="115"/>
      <c r="AA72" s="92"/>
      <c r="AB72" s="115"/>
      <c r="AC72" s="92"/>
      <c r="AD72" s="115"/>
      <c r="AE72" s="92"/>
      <c r="AF72" s="115"/>
      <c r="AG72" s="92"/>
      <c r="AH72" s="115"/>
      <c r="AI72" s="129"/>
      <c r="AJ72" s="95"/>
      <c r="AK72" s="115"/>
      <c r="AL72" s="92"/>
      <c r="AM72" s="115"/>
      <c r="AN72" s="92"/>
      <c r="AO72" s="115"/>
      <c r="AP72" s="92"/>
      <c r="AQ72" s="115"/>
      <c r="AR72" s="92"/>
      <c r="AS72" s="115"/>
      <c r="AT72" s="92"/>
      <c r="AU72" s="115"/>
      <c r="AV72" s="92"/>
      <c r="AW72" s="115"/>
      <c r="AX72" s="92"/>
      <c r="AY72" s="115"/>
      <c r="AZ72" s="92"/>
      <c r="BA72" s="115"/>
      <c r="BB72" s="92"/>
      <c r="BC72" s="115"/>
      <c r="BD72" s="92"/>
      <c r="BE72" s="115"/>
      <c r="BF72" s="92"/>
      <c r="BG72" s="140"/>
    </row>
    <row r="73" spans="2:59" s="1" customFormat="1">
      <c r="B73" s="135"/>
      <c r="C73" s="136"/>
      <c r="D73" s="136"/>
      <c r="E73" s="136"/>
      <c r="F73" s="137"/>
      <c r="G73" s="139"/>
      <c r="H73" s="153">
        <f t="shared" si="28"/>
        <v>0</v>
      </c>
      <c r="I73" s="154">
        <f t="shared" si="29"/>
        <v>0</v>
      </c>
      <c r="J73" s="152" t="str">
        <f t="shared" si="27"/>
        <v>Sem PO</v>
      </c>
      <c r="K73" s="91"/>
      <c r="L73" s="116"/>
      <c r="M73" s="94"/>
      <c r="N73" s="116"/>
      <c r="O73" s="92"/>
      <c r="P73" s="116"/>
      <c r="Q73" s="93"/>
      <c r="R73" s="116"/>
      <c r="S73" s="92"/>
      <c r="T73" s="116"/>
      <c r="U73" s="93"/>
      <c r="V73" s="116"/>
      <c r="W73" s="94"/>
      <c r="X73" s="116"/>
      <c r="Y73" s="92"/>
      <c r="Z73" s="116"/>
      <c r="AA73" s="93"/>
      <c r="AB73" s="116"/>
      <c r="AC73" s="94"/>
      <c r="AD73" s="116"/>
      <c r="AE73" s="92"/>
      <c r="AF73" s="116"/>
      <c r="AG73" s="92"/>
      <c r="AH73" s="116"/>
      <c r="AI73" s="129"/>
      <c r="AJ73" s="95"/>
      <c r="AK73" s="116"/>
      <c r="AL73" s="92"/>
      <c r="AM73" s="116"/>
      <c r="AN73" s="95"/>
      <c r="AO73" s="116"/>
      <c r="AP73" s="92"/>
      <c r="AQ73" s="116"/>
      <c r="AR73" s="92"/>
      <c r="AS73" s="116"/>
      <c r="AT73" s="92"/>
      <c r="AU73" s="116"/>
      <c r="AV73" s="95"/>
      <c r="AW73" s="116"/>
      <c r="AX73" s="92"/>
      <c r="AY73" s="116"/>
      <c r="AZ73" s="95"/>
      <c r="BA73" s="116"/>
      <c r="BB73" s="92"/>
      <c r="BC73" s="116"/>
      <c r="BD73" s="92"/>
      <c r="BE73" s="116"/>
      <c r="BF73" s="92"/>
      <c r="BG73" s="140"/>
    </row>
    <row r="74" spans="2:59" s="1" customFormat="1">
      <c r="B74" s="135"/>
      <c r="C74" s="136"/>
      <c r="D74" s="136"/>
      <c r="E74" s="136"/>
      <c r="F74" s="137"/>
      <c r="G74" s="139"/>
      <c r="H74" s="153">
        <f t="shared" si="28"/>
        <v>0</v>
      </c>
      <c r="I74" s="154">
        <f t="shared" si="29"/>
        <v>0</v>
      </c>
      <c r="J74" s="152" t="str">
        <f t="shared" si="27"/>
        <v>Sem PO</v>
      </c>
      <c r="K74" s="91"/>
      <c r="L74" s="117"/>
      <c r="M74" s="96"/>
      <c r="N74" s="117"/>
      <c r="O74" s="90"/>
      <c r="P74" s="117"/>
      <c r="Q74" s="97"/>
      <c r="R74" s="117"/>
      <c r="S74" s="90"/>
      <c r="T74" s="117"/>
      <c r="U74" s="97"/>
      <c r="V74" s="117"/>
      <c r="W74" s="96"/>
      <c r="X74" s="117"/>
      <c r="Y74" s="90"/>
      <c r="Z74" s="117"/>
      <c r="AA74" s="92"/>
      <c r="AB74" s="117"/>
      <c r="AC74" s="96"/>
      <c r="AD74" s="117"/>
      <c r="AE74" s="90"/>
      <c r="AF74" s="117"/>
      <c r="AG74" s="90"/>
      <c r="AH74" s="117"/>
      <c r="AI74" s="129"/>
      <c r="AJ74" s="98"/>
      <c r="AK74" s="117"/>
      <c r="AL74" s="92"/>
      <c r="AM74" s="117"/>
      <c r="AN74" s="95"/>
      <c r="AO74" s="117"/>
      <c r="AP74" s="92"/>
      <c r="AQ74" s="117"/>
      <c r="AR74" s="92"/>
      <c r="AS74" s="117"/>
      <c r="AT74" s="92"/>
      <c r="AU74" s="117"/>
      <c r="AV74" s="95"/>
      <c r="AW74" s="117"/>
      <c r="AX74" s="92"/>
      <c r="AY74" s="117"/>
      <c r="AZ74" s="95"/>
      <c r="BA74" s="117"/>
      <c r="BB74" s="92"/>
      <c r="BC74" s="117"/>
      <c r="BD74" s="92"/>
      <c r="BE74" s="117"/>
      <c r="BF74" s="90"/>
      <c r="BG74" s="141"/>
    </row>
    <row r="75" spans="2:59" s="1" customFormat="1">
      <c r="B75" s="135"/>
      <c r="C75" s="136"/>
      <c r="D75" s="136"/>
      <c r="E75" s="136"/>
      <c r="F75" s="137"/>
      <c r="G75" s="139"/>
      <c r="H75" s="153">
        <f t="shared" si="28"/>
        <v>0</v>
      </c>
      <c r="I75" s="154">
        <f t="shared" si="29"/>
        <v>0</v>
      </c>
      <c r="J75" s="152" t="str">
        <f t="shared" si="27"/>
        <v>Sem PO</v>
      </c>
      <c r="K75" s="91"/>
      <c r="L75" s="117"/>
      <c r="M75" s="96"/>
      <c r="N75" s="117"/>
      <c r="O75" s="90"/>
      <c r="P75" s="117"/>
      <c r="Q75" s="97"/>
      <c r="R75" s="117"/>
      <c r="S75" s="90"/>
      <c r="T75" s="117"/>
      <c r="U75" s="97"/>
      <c r="V75" s="117"/>
      <c r="W75" s="96"/>
      <c r="X75" s="117"/>
      <c r="Y75" s="90"/>
      <c r="Z75" s="117"/>
      <c r="AA75" s="90"/>
      <c r="AB75" s="117"/>
      <c r="AC75" s="96"/>
      <c r="AD75" s="117"/>
      <c r="AE75" s="90"/>
      <c r="AF75" s="117"/>
      <c r="AG75" s="90"/>
      <c r="AH75" s="117"/>
      <c r="AI75" s="129"/>
      <c r="AJ75" s="98"/>
      <c r="AK75" s="117"/>
      <c r="AL75" s="90"/>
      <c r="AM75" s="117"/>
      <c r="AN75" s="98"/>
      <c r="AO75" s="117"/>
      <c r="AP75" s="90"/>
      <c r="AQ75" s="117"/>
      <c r="AR75" s="90"/>
      <c r="AS75" s="117"/>
      <c r="AT75" s="90"/>
      <c r="AU75" s="117"/>
      <c r="AV75" s="98"/>
      <c r="AW75" s="117"/>
      <c r="AX75" s="90"/>
      <c r="AY75" s="117"/>
      <c r="AZ75" s="98"/>
      <c r="BA75" s="117"/>
      <c r="BB75" s="90"/>
      <c r="BC75" s="117"/>
      <c r="BD75" s="90"/>
      <c r="BE75" s="117"/>
      <c r="BF75" s="90"/>
      <c r="BG75" s="141"/>
    </row>
    <row r="76" spans="2:59" s="1" customFormat="1">
      <c r="B76" s="135"/>
      <c r="C76" s="136"/>
      <c r="D76" s="136"/>
      <c r="E76" s="136"/>
      <c r="F76" s="137"/>
      <c r="G76" s="139"/>
      <c r="H76" s="153">
        <f t="shared" si="28"/>
        <v>0</v>
      </c>
      <c r="I76" s="154">
        <f t="shared" si="29"/>
        <v>0</v>
      </c>
      <c r="J76" s="152" t="str">
        <f t="shared" si="27"/>
        <v>Sem PO</v>
      </c>
      <c r="K76" s="91"/>
      <c r="L76" s="118"/>
      <c r="M76" s="96"/>
      <c r="N76" s="118"/>
      <c r="O76" s="90"/>
      <c r="P76" s="118"/>
      <c r="Q76" s="97"/>
      <c r="R76" s="118"/>
      <c r="S76" s="90"/>
      <c r="T76" s="118"/>
      <c r="U76" s="97"/>
      <c r="V76" s="118"/>
      <c r="W76" s="96"/>
      <c r="X76" s="118"/>
      <c r="Y76" s="90"/>
      <c r="Z76" s="118"/>
      <c r="AA76" s="99"/>
      <c r="AB76" s="118"/>
      <c r="AC76" s="96"/>
      <c r="AD76" s="118"/>
      <c r="AE76" s="90"/>
      <c r="AF76" s="118"/>
      <c r="AG76" s="90"/>
      <c r="AH76" s="118"/>
      <c r="AI76" s="128"/>
      <c r="AJ76" s="98"/>
      <c r="AK76" s="118"/>
      <c r="AL76" s="100"/>
      <c r="AM76" s="118"/>
      <c r="AN76" s="101"/>
      <c r="AO76" s="118"/>
      <c r="AP76" s="100"/>
      <c r="AQ76" s="118"/>
      <c r="AR76" s="100"/>
      <c r="AS76" s="118"/>
      <c r="AT76" s="100"/>
      <c r="AU76" s="118"/>
      <c r="AV76" s="101"/>
      <c r="AW76" s="118"/>
      <c r="AX76" s="90"/>
      <c r="AY76" s="118"/>
      <c r="AZ76" s="101"/>
      <c r="BA76" s="118"/>
      <c r="BB76" s="100"/>
      <c r="BC76" s="118"/>
      <c r="BD76" s="90"/>
      <c r="BE76" s="118"/>
      <c r="BF76" s="90"/>
      <c r="BG76" s="142"/>
    </row>
    <row r="77" spans="2:59" s="1" customFormat="1" ht="6" customHeight="1">
      <c r="B77" s="102"/>
      <c r="C77" s="103"/>
      <c r="D77" s="103"/>
      <c r="E77" s="103"/>
      <c r="F77" s="103"/>
      <c r="G77" s="104"/>
      <c r="H77" s="103"/>
      <c r="I77" s="103"/>
      <c r="J77" s="103"/>
      <c r="K77" s="105"/>
      <c r="L77" s="105"/>
      <c r="M77" s="106"/>
      <c r="N77" s="106"/>
      <c r="O77" s="107"/>
      <c r="P77" s="108"/>
      <c r="Q77" s="108"/>
      <c r="R77" s="108"/>
      <c r="S77" s="107"/>
      <c r="T77" s="108"/>
      <c r="U77" s="108"/>
      <c r="V77" s="108"/>
      <c r="W77" s="106"/>
      <c r="X77" s="106"/>
      <c r="Y77" s="107"/>
      <c r="Z77" s="105"/>
      <c r="AA77" s="105"/>
      <c r="AB77" s="105"/>
      <c r="AC77" s="106"/>
      <c r="AD77" s="106"/>
      <c r="AE77" s="107"/>
      <c r="AF77" s="106"/>
      <c r="AG77" s="109"/>
      <c r="AH77" s="122"/>
      <c r="AI77" s="129"/>
      <c r="AJ77" s="110"/>
      <c r="AK77" s="123"/>
      <c r="AL77" s="111"/>
      <c r="AM77" s="111"/>
      <c r="AN77" s="111"/>
      <c r="AO77" s="111"/>
      <c r="AP77" s="111"/>
      <c r="AQ77" s="111"/>
      <c r="AR77" s="111"/>
      <c r="AS77" s="111"/>
      <c r="AT77" s="111"/>
      <c r="AU77" s="111"/>
      <c r="AV77" s="111"/>
      <c r="AW77" s="111"/>
      <c r="AX77" s="107"/>
      <c r="AY77" s="111"/>
      <c r="AZ77" s="111"/>
      <c r="BA77" s="111"/>
      <c r="BB77" s="111"/>
      <c r="BC77" s="111"/>
      <c r="BD77" s="107"/>
      <c r="BE77" s="106"/>
      <c r="BF77" s="112"/>
      <c r="BG77" s="125"/>
    </row>
    <row r="78" spans="2:59" s="1" customFormat="1" ht="14.1">
      <c r="B78" s="468" t="s">
        <v>405</v>
      </c>
      <c r="C78" s="469"/>
      <c r="D78" s="146"/>
      <c r="E78" s="146"/>
      <c r="F78" s="146"/>
      <c r="G78" s="88">
        <f t="shared" ref="G78:K78" si="30">SUBTOTAL(9,G51:G77)</f>
        <v>0</v>
      </c>
      <c r="H78" s="146"/>
      <c r="I78" s="146"/>
      <c r="J78" s="146"/>
      <c r="K78" s="88">
        <f t="shared" si="30"/>
        <v>0</v>
      </c>
      <c r="L78" s="88"/>
      <c r="M78" s="88">
        <f t="shared" ref="M78" si="31">SUBTOTAL(9,M51:M77)</f>
        <v>0</v>
      </c>
      <c r="N78" s="88"/>
      <c r="O78" s="88">
        <f t="shared" ref="O78" si="32">SUBTOTAL(9,O51:O77)</f>
        <v>0</v>
      </c>
      <c r="P78" s="88"/>
      <c r="Q78" s="88">
        <f t="shared" ref="Q78" si="33">SUBTOTAL(9,Q51:Q77)</f>
        <v>0</v>
      </c>
      <c r="R78" s="88"/>
      <c r="S78" s="88">
        <f t="shared" ref="S78" si="34">SUBTOTAL(9,S51:S77)</f>
        <v>0</v>
      </c>
      <c r="T78" s="88"/>
      <c r="U78" s="88">
        <f t="shared" ref="U78" si="35">SUBTOTAL(9,U51:U77)</f>
        <v>0</v>
      </c>
      <c r="V78" s="88"/>
      <c r="W78" s="88">
        <f t="shared" ref="W78" si="36">SUBTOTAL(9,W51:W77)</f>
        <v>0</v>
      </c>
      <c r="X78" s="88"/>
      <c r="Y78" s="88">
        <f t="shared" ref="Y78" si="37">SUBTOTAL(9,Y51:Y77)</f>
        <v>0</v>
      </c>
      <c r="Z78" s="88"/>
      <c r="AA78" s="88">
        <f t="shared" ref="AA78" si="38">SUBTOTAL(9,AA51:AA77)</f>
        <v>0</v>
      </c>
      <c r="AB78" s="88"/>
      <c r="AC78" s="88">
        <f t="shared" ref="AC78" si="39">SUBTOTAL(9,AC51:AC77)</f>
        <v>0</v>
      </c>
      <c r="AD78" s="88"/>
      <c r="AE78" s="88">
        <f t="shared" ref="AE78" si="40">SUBTOTAL(9,AE51:AE77)</f>
        <v>0</v>
      </c>
      <c r="AF78" s="88"/>
      <c r="AG78" s="88">
        <f t="shared" ref="AG78" si="41">SUBTOTAL(9,AG51:AG77)</f>
        <v>0</v>
      </c>
      <c r="AH78" s="121"/>
      <c r="AI78" s="129"/>
      <c r="AJ78" s="88">
        <f t="shared" ref="AJ78" si="42">SUBTOTAL(9,AJ51:AJ77)</f>
        <v>0</v>
      </c>
      <c r="AK78" s="88"/>
      <c r="AL78" s="113">
        <f t="shared" ref="AL78" si="43">SUBTOTAL(9,AL51:AL77)</f>
        <v>0</v>
      </c>
      <c r="AM78" s="113"/>
      <c r="AN78" s="113">
        <f t="shared" ref="AN78" si="44">SUBTOTAL(9,AN51:AN77)</f>
        <v>0</v>
      </c>
      <c r="AO78" s="113"/>
      <c r="AP78" s="113">
        <f t="shared" ref="AP78" si="45">SUBTOTAL(9,AP51:AP77)</f>
        <v>0</v>
      </c>
      <c r="AQ78" s="113"/>
      <c r="AR78" s="113">
        <f t="shared" ref="AR78" si="46">SUBTOTAL(9,AR51:AR77)</f>
        <v>0</v>
      </c>
      <c r="AS78" s="113"/>
      <c r="AT78" s="113">
        <f t="shared" ref="AT78" si="47">SUBTOTAL(9,AT51:AT77)</f>
        <v>0</v>
      </c>
      <c r="AU78" s="113"/>
      <c r="AV78" s="113">
        <f t="shared" ref="AV78" si="48">SUBTOTAL(9,AV51:AV77)</f>
        <v>0</v>
      </c>
      <c r="AW78" s="88"/>
      <c r="AX78" s="88">
        <f t="shared" ref="AX78" si="49">SUBTOTAL(9,AX51:AX77)</f>
        <v>0</v>
      </c>
      <c r="AY78" s="88"/>
      <c r="AZ78" s="113">
        <f t="shared" ref="AZ78" si="50">SUBTOTAL(9,AZ51:AZ77)</f>
        <v>0</v>
      </c>
      <c r="BA78" s="113"/>
      <c r="BB78" s="113">
        <f t="shared" ref="BB78" si="51">SUBTOTAL(9,BB51:BB77)</f>
        <v>0</v>
      </c>
      <c r="BC78" s="88"/>
      <c r="BD78" s="88">
        <f t="shared" ref="BD78" si="52">SUBTOTAL(9,BD51:BD77)</f>
        <v>0</v>
      </c>
      <c r="BE78" s="88"/>
      <c r="BF78" s="88">
        <f t="shared" ref="BF78" si="53">SUBTOTAL(9,BF51:BF77)</f>
        <v>0</v>
      </c>
      <c r="BG78" s="87"/>
    </row>
  </sheetData>
  <mergeCells count="2">
    <mergeCell ref="B46:C46"/>
    <mergeCell ref="B78:C78"/>
  </mergeCells>
  <conditionalFormatting sqref="J51:J76 J19:J22 J37:J44">
    <cfRule type="containsText" dxfId="7" priority="5" operator="containsText" text="Sem Fatura">
      <formula>NOT(ISERROR(SEARCH("Sem Fatura",J19)))</formula>
    </cfRule>
    <cfRule type="containsText" dxfId="6" priority="6" operator="containsText" text="Sem PO">
      <formula>NOT(ISERROR(SEARCH("Sem PO",J19)))</formula>
    </cfRule>
    <cfRule type="containsText" dxfId="5" priority="7" operator="containsText" text="Concluido">
      <formula>NOT(ISERROR(SEARCH("Concluido",J19)))</formula>
    </cfRule>
    <cfRule type="containsText" dxfId="4" priority="8" operator="containsText" text="Em Andamento">
      <formula>NOT(ISERROR(SEARCH("Em Andamento",J19)))</formula>
    </cfRule>
  </conditionalFormatting>
  <conditionalFormatting sqref="J23:J36">
    <cfRule type="containsText" dxfId="3" priority="1" operator="containsText" text="Sem Fatura">
      <formula>NOT(ISERROR(SEARCH("Sem Fatura",J23)))</formula>
    </cfRule>
    <cfRule type="containsText" dxfId="2" priority="2" operator="containsText" text="Sem PO">
      <formula>NOT(ISERROR(SEARCH("Sem PO",J23)))</formula>
    </cfRule>
    <cfRule type="containsText" dxfId="1" priority="3" operator="containsText" text="Concluido">
      <formula>NOT(ISERROR(SEARCH("Concluido",J23)))</formula>
    </cfRule>
    <cfRule type="containsText" dxfId="0" priority="4" operator="containsText" text="Em Andamento">
      <formula>NOT(ISERROR(SEARCH("Em Andamento",J23)))</formula>
    </cfRule>
  </conditionalFormatting>
  <printOptions horizontalCentered="1"/>
  <pageMargins left="0.19685039370078741" right="0.19685039370078741" top="0.81" bottom="0.59" header="0.42" footer="0.34"/>
  <pageSetup paperSize="9" scale="59" orientation="landscape" r:id="rId1"/>
  <headerFooter>
    <oddHeader xml:space="preserve">&amp;C&amp;16DESEMBOLSO ECONÔMICO -  2012 </oddHeader>
    <oddFooter>&amp;L&amp;F&amp;C&amp;A&amp;R&amp;D</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7"/>
  <dimension ref="A1:K64"/>
  <sheetViews>
    <sheetView workbookViewId="0">
      <selection activeCell="A3" sqref="A3:H32"/>
    </sheetView>
  </sheetViews>
  <sheetFormatPr defaultRowHeight="14.45"/>
  <cols>
    <col min="1" max="1" width="15.85546875" customWidth="1"/>
    <col min="2" max="2" width="16.5703125" customWidth="1"/>
    <col min="3" max="3" width="19.5703125" customWidth="1"/>
    <col min="4" max="4" width="20.140625" customWidth="1"/>
    <col min="5" max="5" width="18.5703125" customWidth="1"/>
    <col min="6" max="6" width="19.5703125" customWidth="1"/>
  </cols>
  <sheetData>
    <row r="1" spans="1:11" ht="15" thickBot="1"/>
    <row r="2" spans="1:11" ht="21">
      <c r="A2" s="470" t="s">
        <v>586</v>
      </c>
      <c r="B2" s="471"/>
      <c r="C2" s="471"/>
      <c r="D2" s="471"/>
      <c r="E2" s="471"/>
      <c r="F2" s="471"/>
      <c r="G2" s="471"/>
      <c r="H2" s="472"/>
    </row>
    <row r="3" spans="1:11">
      <c r="A3" s="473" t="s">
        <v>587</v>
      </c>
      <c r="B3" s="474"/>
      <c r="C3" s="474"/>
      <c r="D3" s="474"/>
      <c r="E3" s="474"/>
      <c r="F3" s="474"/>
      <c r="G3" s="474"/>
      <c r="H3" s="475"/>
    </row>
    <row r="4" spans="1:11">
      <c r="A4" s="476"/>
      <c r="B4" s="477"/>
      <c r="C4" s="477"/>
      <c r="D4" s="477"/>
      <c r="E4" s="477"/>
      <c r="F4" s="477"/>
      <c r="G4" s="477"/>
      <c r="H4" s="478"/>
    </row>
    <row r="5" spans="1:11">
      <c r="A5" s="476"/>
      <c r="B5" s="477"/>
      <c r="C5" s="477"/>
      <c r="D5" s="477"/>
      <c r="E5" s="477"/>
      <c r="F5" s="477"/>
      <c r="G5" s="477"/>
      <c r="H5" s="478"/>
    </row>
    <row r="6" spans="1:11">
      <c r="A6" s="476"/>
      <c r="B6" s="477"/>
      <c r="C6" s="477"/>
      <c r="D6" s="477"/>
      <c r="E6" s="477"/>
      <c r="F6" s="477"/>
      <c r="G6" s="477"/>
      <c r="H6" s="478"/>
    </row>
    <row r="7" spans="1:11">
      <c r="A7" s="476"/>
      <c r="B7" s="477"/>
      <c r="C7" s="477"/>
      <c r="D7" s="477"/>
      <c r="E7" s="477"/>
      <c r="F7" s="477"/>
      <c r="G7" s="477"/>
      <c r="H7" s="478"/>
    </row>
    <row r="8" spans="1:11">
      <c r="A8" s="476"/>
      <c r="B8" s="477"/>
      <c r="C8" s="477"/>
      <c r="D8" s="477"/>
      <c r="E8" s="477"/>
      <c r="F8" s="477"/>
      <c r="G8" s="477"/>
      <c r="H8" s="478"/>
    </row>
    <row r="9" spans="1:11">
      <c r="A9" s="476"/>
      <c r="B9" s="477"/>
      <c r="C9" s="477"/>
      <c r="D9" s="477"/>
      <c r="E9" s="477"/>
      <c r="F9" s="477"/>
      <c r="G9" s="477"/>
      <c r="H9" s="478"/>
    </row>
    <row r="10" spans="1:11">
      <c r="A10" s="476"/>
      <c r="B10" s="477"/>
      <c r="C10" s="477"/>
      <c r="D10" s="477"/>
      <c r="E10" s="477"/>
      <c r="F10" s="477"/>
      <c r="G10" s="477"/>
      <c r="H10" s="478"/>
    </row>
    <row r="11" spans="1:11">
      <c r="A11" s="476"/>
      <c r="B11" s="477"/>
      <c r="C11" s="477"/>
      <c r="D11" s="477"/>
      <c r="E11" s="477"/>
      <c r="F11" s="477"/>
      <c r="G11" s="477"/>
      <c r="H11" s="478"/>
    </row>
    <row r="12" spans="1:11">
      <c r="A12" s="476"/>
      <c r="B12" s="477"/>
      <c r="C12" s="477"/>
      <c r="D12" s="477"/>
      <c r="E12" s="477"/>
      <c r="F12" s="477"/>
      <c r="G12" s="477"/>
      <c r="H12" s="478"/>
    </row>
    <row r="13" spans="1:11" ht="15" customHeight="1">
      <c r="A13" s="476"/>
      <c r="B13" s="477"/>
      <c r="C13" s="477"/>
      <c r="D13" s="477"/>
      <c r="E13" s="477"/>
      <c r="F13" s="477"/>
      <c r="G13" s="477"/>
      <c r="H13" s="478"/>
      <c r="I13" s="4"/>
      <c r="J13" s="4"/>
    </row>
    <row r="14" spans="1:11" ht="15" customHeight="1">
      <c r="A14" s="476"/>
      <c r="B14" s="477"/>
      <c r="C14" s="477"/>
      <c r="D14" s="477"/>
      <c r="E14" s="477"/>
      <c r="F14" s="477"/>
      <c r="G14" s="477"/>
      <c r="H14" s="478"/>
      <c r="I14" s="4"/>
      <c r="J14" s="4"/>
    </row>
    <row r="15" spans="1:11" ht="15" customHeight="1">
      <c r="A15" s="476"/>
      <c r="B15" s="477"/>
      <c r="C15" s="477"/>
      <c r="D15" s="477"/>
      <c r="E15" s="477"/>
      <c r="F15" s="477"/>
      <c r="G15" s="477"/>
      <c r="H15" s="478"/>
      <c r="I15" s="4"/>
      <c r="J15" s="4"/>
    </row>
    <row r="16" spans="1:11" ht="15" customHeight="1">
      <c r="A16" s="476"/>
      <c r="B16" s="477"/>
      <c r="C16" s="477"/>
      <c r="D16" s="477"/>
      <c r="E16" s="477"/>
      <c r="F16" s="477"/>
      <c r="G16" s="477"/>
      <c r="H16" s="478"/>
      <c r="I16" s="4"/>
      <c r="J16" s="4"/>
      <c r="K16" s="4"/>
    </row>
    <row r="17" spans="1:11" ht="15" customHeight="1">
      <c r="A17" s="476"/>
      <c r="B17" s="477"/>
      <c r="C17" s="477"/>
      <c r="D17" s="477"/>
      <c r="E17" s="477"/>
      <c r="F17" s="477"/>
      <c r="G17" s="477"/>
      <c r="H17" s="478"/>
      <c r="I17" s="4"/>
      <c r="J17" s="4"/>
      <c r="K17" s="4"/>
    </row>
    <row r="18" spans="1:11" ht="15" customHeight="1">
      <c r="A18" s="476"/>
      <c r="B18" s="477"/>
      <c r="C18" s="477"/>
      <c r="D18" s="477"/>
      <c r="E18" s="477"/>
      <c r="F18" s="477"/>
      <c r="G18" s="477"/>
      <c r="H18" s="478"/>
      <c r="I18" s="4"/>
      <c r="J18" s="4"/>
      <c r="K18" s="4"/>
    </row>
    <row r="19" spans="1:11" ht="15" customHeight="1">
      <c r="A19" s="476"/>
      <c r="B19" s="477"/>
      <c r="C19" s="477"/>
      <c r="D19" s="477"/>
      <c r="E19" s="477"/>
      <c r="F19" s="477"/>
      <c r="G19" s="477"/>
      <c r="H19" s="478"/>
      <c r="I19" s="4"/>
      <c r="J19" s="4"/>
      <c r="K19" s="4"/>
    </row>
    <row r="20" spans="1:11" ht="15" customHeight="1">
      <c r="A20" s="476"/>
      <c r="B20" s="477"/>
      <c r="C20" s="477"/>
      <c r="D20" s="477"/>
      <c r="E20" s="477"/>
      <c r="F20" s="477"/>
      <c r="G20" s="477"/>
      <c r="H20" s="478"/>
      <c r="I20" s="4"/>
      <c r="J20" s="4"/>
      <c r="K20" s="4"/>
    </row>
    <row r="21" spans="1:11" ht="15" customHeight="1">
      <c r="A21" s="476"/>
      <c r="B21" s="477"/>
      <c r="C21" s="477"/>
      <c r="D21" s="477"/>
      <c r="E21" s="477"/>
      <c r="F21" s="477"/>
      <c r="G21" s="477"/>
      <c r="H21" s="478"/>
      <c r="I21" s="4"/>
      <c r="J21" s="4"/>
      <c r="K21" s="4"/>
    </row>
    <row r="22" spans="1:11" ht="15" customHeight="1">
      <c r="A22" s="476"/>
      <c r="B22" s="477"/>
      <c r="C22" s="477"/>
      <c r="D22" s="477"/>
      <c r="E22" s="477"/>
      <c r="F22" s="477"/>
      <c r="G22" s="477"/>
      <c r="H22" s="478"/>
      <c r="I22" s="4"/>
      <c r="J22" s="4"/>
      <c r="K22" s="4"/>
    </row>
    <row r="23" spans="1:11" ht="15" customHeight="1">
      <c r="A23" s="476"/>
      <c r="B23" s="477"/>
      <c r="C23" s="477"/>
      <c r="D23" s="477"/>
      <c r="E23" s="477"/>
      <c r="F23" s="477"/>
      <c r="G23" s="477"/>
      <c r="H23" s="478"/>
      <c r="I23" s="4"/>
      <c r="J23" s="4"/>
      <c r="K23" s="4"/>
    </row>
    <row r="24" spans="1:11" ht="15" customHeight="1">
      <c r="A24" s="476"/>
      <c r="B24" s="477"/>
      <c r="C24" s="477"/>
      <c r="D24" s="477"/>
      <c r="E24" s="477"/>
      <c r="F24" s="477"/>
      <c r="G24" s="477"/>
      <c r="H24" s="478"/>
      <c r="I24" s="4"/>
      <c r="J24" s="4"/>
      <c r="K24" s="4"/>
    </row>
    <row r="25" spans="1:11" ht="15" customHeight="1">
      <c r="A25" s="476"/>
      <c r="B25" s="477"/>
      <c r="C25" s="477"/>
      <c r="D25" s="477"/>
      <c r="E25" s="477"/>
      <c r="F25" s="477"/>
      <c r="G25" s="477"/>
      <c r="H25" s="478"/>
    </row>
    <row r="26" spans="1:11" ht="15" customHeight="1">
      <c r="A26" s="476"/>
      <c r="B26" s="477"/>
      <c r="C26" s="477"/>
      <c r="D26" s="477"/>
      <c r="E26" s="477"/>
      <c r="F26" s="477"/>
      <c r="G26" s="477"/>
      <c r="H26" s="478"/>
    </row>
    <row r="27" spans="1:11">
      <c r="A27" s="476"/>
      <c r="B27" s="477"/>
      <c r="C27" s="477"/>
      <c r="D27" s="477"/>
      <c r="E27" s="477"/>
      <c r="F27" s="477"/>
      <c r="G27" s="477"/>
      <c r="H27" s="478"/>
    </row>
    <row r="28" spans="1:11">
      <c r="A28" s="476"/>
      <c r="B28" s="477"/>
      <c r="C28" s="477"/>
      <c r="D28" s="477"/>
      <c r="E28" s="477"/>
      <c r="F28" s="477"/>
      <c r="G28" s="477"/>
      <c r="H28" s="478"/>
    </row>
    <row r="29" spans="1:11">
      <c r="A29" s="476"/>
      <c r="B29" s="477"/>
      <c r="C29" s="477"/>
      <c r="D29" s="477"/>
      <c r="E29" s="477"/>
      <c r="F29" s="477"/>
      <c r="G29" s="477"/>
      <c r="H29" s="478"/>
    </row>
    <row r="30" spans="1:11">
      <c r="A30" s="476"/>
      <c r="B30" s="477"/>
      <c r="C30" s="477"/>
      <c r="D30" s="477"/>
      <c r="E30" s="477"/>
      <c r="F30" s="477"/>
      <c r="G30" s="477"/>
      <c r="H30" s="478"/>
    </row>
    <row r="31" spans="1:11">
      <c r="A31" s="476"/>
      <c r="B31" s="477"/>
      <c r="C31" s="477"/>
      <c r="D31" s="477"/>
      <c r="E31" s="477"/>
      <c r="F31" s="477"/>
      <c r="G31" s="477"/>
      <c r="H31" s="478"/>
    </row>
    <row r="32" spans="1:11" ht="15" thickBot="1">
      <c r="A32" s="479"/>
      <c r="B32" s="480"/>
      <c r="C32" s="480"/>
      <c r="D32" s="480"/>
      <c r="E32" s="480"/>
      <c r="F32" s="480"/>
      <c r="G32" s="480"/>
      <c r="H32" s="481"/>
    </row>
    <row r="34" spans="1:8" ht="15" thickBot="1"/>
    <row r="35" spans="1:8" ht="21">
      <c r="A35" s="470" t="s">
        <v>588</v>
      </c>
      <c r="B35" s="471"/>
      <c r="C35" s="471"/>
      <c r="D35" s="471"/>
      <c r="E35" s="471"/>
      <c r="F35" s="471"/>
      <c r="G35" s="471"/>
      <c r="H35" s="472"/>
    </row>
    <row r="36" spans="1:8">
      <c r="A36" s="200"/>
      <c r="B36" s="64"/>
      <c r="C36" s="64"/>
      <c r="D36" s="64"/>
      <c r="E36" s="64"/>
      <c r="F36" s="64"/>
      <c r="G36" s="64"/>
      <c r="H36" s="201"/>
    </row>
    <row r="37" spans="1:8">
      <c r="A37" s="200"/>
      <c r="B37" s="64"/>
      <c r="C37" s="64"/>
      <c r="D37" s="64"/>
      <c r="E37" s="64"/>
      <c r="F37" s="64"/>
      <c r="G37" s="64"/>
      <c r="H37" s="201"/>
    </row>
    <row r="38" spans="1:8">
      <c r="A38" s="200"/>
      <c r="B38" s="64"/>
      <c r="C38" s="64"/>
      <c r="D38" s="64"/>
      <c r="E38" s="64"/>
      <c r="F38" s="64"/>
      <c r="G38" s="64"/>
      <c r="H38" s="201"/>
    </row>
    <row r="39" spans="1:8">
      <c r="A39" s="200"/>
      <c r="B39" s="64"/>
      <c r="C39" s="64"/>
      <c r="D39" s="64"/>
      <c r="E39" s="64"/>
      <c r="F39" s="64"/>
      <c r="G39" s="64"/>
      <c r="H39" s="201"/>
    </row>
    <row r="40" spans="1:8">
      <c r="A40" s="200"/>
      <c r="B40" s="64"/>
      <c r="C40" s="64"/>
      <c r="D40" s="64"/>
      <c r="E40" s="64"/>
      <c r="F40" s="64"/>
      <c r="G40" s="64"/>
      <c r="H40" s="201"/>
    </row>
    <row r="41" spans="1:8">
      <c r="A41" s="200"/>
      <c r="B41" s="64"/>
      <c r="C41" s="64"/>
      <c r="D41" s="64"/>
      <c r="E41" s="64"/>
      <c r="F41" s="64"/>
      <c r="G41" s="64"/>
      <c r="H41" s="201"/>
    </row>
    <row r="42" spans="1:8">
      <c r="A42" s="200"/>
      <c r="B42" s="64"/>
      <c r="C42" s="64"/>
      <c r="D42" s="64"/>
      <c r="E42" s="64"/>
      <c r="F42" s="64"/>
      <c r="G42" s="64"/>
      <c r="H42" s="201"/>
    </row>
    <row r="43" spans="1:8">
      <c r="A43" s="200"/>
      <c r="B43" s="64"/>
      <c r="C43" s="64"/>
      <c r="D43" s="64"/>
      <c r="E43" s="64"/>
      <c r="F43" s="64"/>
      <c r="G43" s="64"/>
      <c r="H43" s="201"/>
    </row>
    <row r="44" spans="1:8">
      <c r="A44" s="200"/>
      <c r="B44" s="64"/>
      <c r="C44" s="64"/>
      <c r="D44" s="64"/>
      <c r="E44" s="64"/>
      <c r="F44" s="64"/>
      <c r="G44" s="64"/>
      <c r="H44" s="201"/>
    </row>
    <row r="45" spans="1:8">
      <c r="A45" s="200"/>
      <c r="B45" s="64"/>
      <c r="C45" s="64"/>
      <c r="D45" s="64"/>
      <c r="E45" s="64"/>
      <c r="F45" s="64"/>
      <c r="G45" s="64"/>
      <c r="H45" s="201"/>
    </row>
    <row r="46" spans="1:8">
      <c r="A46" s="200"/>
      <c r="B46" s="64"/>
      <c r="C46" s="64"/>
      <c r="D46" s="64"/>
      <c r="E46" s="64"/>
      <c r="F46" s="64"/>
      <c r="G46" s="64"/>
      <c r="H46" s="201"/>
    </row>
    <row r="47" spans="1:8">
      <c r="A47" s="200"/>
      <c r="B47" s="64"/>
      <c r="C47" s="64"/>
      <c r="D47" s="64"/>
      <c r="E47" s="64"/>
      <c r="F47" s="64"/>
      <c r="G47" s="64"/>
      <c r="H47" s="201"/>
    </row>
    <row r="48" spans="1:8">
      <c r="A48" s="200"/>
      <c r="B48" s="64"/>
      <c r="C48" s="64"/>
      <c r="D48" s="64"/>
      <c r="E48" s="64"/>
      <c r="F48" s="64"/>
      <c r="G48" s="64"/>
      <c r="H48" s="201"/>
    </row>
    <row r="49" spans="1:8">
      <c r="A49" s="200"/>
      <c r="B49" s="64"/>
      <c r="C49" s="64"/>
      <c r="D49" s="64"/>
      <c r="E49" s="64"/>
      <c r="F49" s="64"/>
      <c r="G49" s="64"/>
      <c r="H49" s="201"/>
    </row>
    <row r="50" spans="1:8">
      <c r="A50" s="200"/>
      <c r="B50" s="64"/>
      <c r="C50" s="64"/>
      <c r="D50" s="64"/>
      <c r="E50" s="64"/>
      <c r="F50" s="64"/>
      <c r="G50" s="64"/>
      <c r="H50" s="201"/>
    </row>
    <row r="51" spans="1:8">
      <c r="A51" s="200"/>
      <c r="B51" s="64"/>
      <c r="C51" s="64"/>
      <c r="D51" s="64"/>
      <c r="E51" s="64"/>
      <c r="F51" s="64"/>
      <c r="G51" s="64"/>
      <c r="H51" s="201"/>
    </row>
    <row r="52" spans="1:8">
      <c r="A52" s="200"/>
      <c r="B52" s="64"/>
      <c r="C52" s="64"/>
      <c r="D52" s="64"/>
      <c r="E52" s="64"/>
      <c r="F52" s="64"/>
      <c r="G52" s="64"/>
      <c r="H52" s="201"/>
    </row>
    <row r="53" spans="1:8">
      <c r="A53" s="200"/>
      <c r="B53" s="64"/>
      <c r="C53" s="64"/>
      <c r="D53" s="64"/>
      <c r="E53" s="64"/>
      <c r="F53" s="64"/>
      <c r="G53" s="64"/>
      <c r="H53" s="201"/>
    </row>
    <row r="54" spans="1:8">
      <c r="A54" s="200"/>
      <c r="B54" s="64"/>
      <c r="C54" s="64"/>
      <c r="D54" s="64"/>
      <c r="E54" s="64"/>
      <c r="F54" s="64"/>
      <c r="G54" s="64"/>
      <c r="H54" s="201"/>
    </row>
    <row r="55" spans="1:8">
      <c r="A55" s="200"/>
      <c r="B55" s="64"/>
      <c r="C55" s="64"/>
      <c r="D55" s="64"/>
      <c r="E55" s="64"/>
      <c r="F55" s="64"/>
      <c r="G55" s="64"/>
      <c r="H55" s="201"/>
    </row>
    <row r="56" spans="1:8">
      <c r="A56" s="200"/>
      <c r="B56" s="64"/>
      <c r="C56" s="64"/>
      <c r="D56" s="64"/>
      <c r="E56" s="64"/>
      <c r="F56" s="64"/>
      <c r="G56" s="64"/>
      <c r="H56" s="201"/>
    </row>
    <row r="57" spans="1:8">
      <c r="A57" s="200"/>
      <c r="B57" s="64"/>
      <c r="C57" s="64"/>
      <c r="D57" s="64"/>
      <c r="E57" s="64"/>
      <c r="F57" s="64"/>
      <c r="G57" s="64"/>
      <c r="H57" s="201"/>
    </row>
    <row r="58" spans="1:8">
      <c r="A58" s="200"/>
      <c r="B58" s="64"/>
      <c r="C58" s="64"/>
      <c r="D58" s="64"/>
      <c r="E58" s="64"/>
      <c r="F58" s="64"/>
      <c r="G58" s="64"/>
      <c r="H58" s="201"/>
    </row>
    <row r="59" spans="1:8">
      <c r="A59" s="200"/>
      <c r="B59" s="64"/>
      <c r="C59" s="64"/>
      <c r="D59" s="64"/>
      <c r="E59" s="64"/>
      <c r="F59" s="64"/>
      <c r="G59" s="64"/>
      <c r="H59" s="201"/>
    </row>
    <row r="60" spans="1:8">
      <c r="A60" s="200"/>
      <c r="B60" s="64"/>
      <c r="C60" s="64"/>
      <c r="D60" s="64"/>
      <c r="E60" s="64"/>
      <c r="F60" s="64"/>
      <c r="G60" s="64"/>
      <c r="H60" s="201"/>
    </row>
    <row r="61" spans="1:8">
      <c r="A61" s="200"/>
      <c r="B61" s="64"/>
      <c r="C61" s="64"/>
      <c r="D61" s="64"/>
      <c r="E61" s="64"/>
      <c r="F61" s="64"/>
      <c r="G61" s="64"/>
      <c r="H61" s="201"/>
    </row>
    <row r="62" spans="1:8">
      <c r="A62" s="200"/>
      <c r="B62" s="64"/>
      <c r="C62" s="64"/>
      <c r="D62" s="64"/>
      <c r="E62" s="64"/>
      <c r="F62" s="64"/>
      <c r="G62" s="64"/>
      <c r="H62" s="201"/>
    </row>
    <row r="63" spans="1:8">
      <c r="A63" s="200"/>
      <c r="B63" s="64"/>
      <c r="C63" s="64"/>
      <c r="D63" s="64"/>
      <c r="E63" s="64"/>
      <c r="F63" s="64"/>
      <c r="G63" s="64"/>
      <c r="H63" s="201"/>
    </row>
    <row r="64" spans="1:8" ht="15" thickBot="1">
      <c r="A64" s="202"/>
      <c r="B64" s="203"/>
      <c r="C64" s="203"/>
      <c r="D64" s="203"/>
      <c r="E64" s="203"/>
      <c r="F64" s="203"/>
      <c r="G64" s="203"/>
      <c r="H64" s="204"/>
    </row>
  </sheetData>
  <mergeCells count="3">
    <mergeCell ref="A2:H2"/>
    <mergeCell ref="A3:H32"/>
    <mergeCell ref="A35:H35"/>
  </mergeCells>
  <pageMargins left="0.511811024" right="0.511811024" top="0.78740157499999996" bottom="0.78740157499999996" header="0.31496062000000002" footer="0.31496062000000002"/>
  <pageSetup paperSize="9" orientation="landscape"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2"/>
  <dimension ref="A1:J46"/>
  <sheetViews>
    <sheetView showGridLines="0" workbookViewId="0">
      <selection activeCell="P18" sqref="P18"/>
    </sheetView>
  </sheetViews>
  <sheetFormatPr defaultRowHeight="14.45"/>
  <sheetData>
    <row r="1" spans="1:10" ht="15" thickTop="1">
      <c r="A1" s="334"/>
      <c r="B1" s="333"/>
      <c r="C1" s="333"/>
      <c r="D1" s="333"/>
      <c r="E1" s="333"/>
      <c r="F1" s="333"/>
      <c r="G1" s="333"/>
      <c r="H1" s="333"/>
      <c r="I1" s="333"/>
      <c r="J1" s="332"/>
    </row>
    <row r="2" spans="1:10">
      <c r="A2" s="331"/>
      <c r="J2" s="330"/>
    </row>
    <row r="3" spans="1:10">
      <c r="A3" s="331"/>
      <c r="J3" s="330"/>
    </row>
    <row r="4" spans="1:10">
      <c r="A4" s="331"/>
      <c r="J4" s="330"/>
    </row>
    <row r="5" spans="1:10">
      <c r="A5" s="331"/>
      <c r="J5" s="330"/>
    </row>
    <row r="6" spans="1:10">
      <c r="A6" s="331"/>
      <c r="J6" s="330"/>
    </row>
    <row r="7" spans="1:10">
      <c r="A7" s="331"/>
      <c r="J7" s="330"/>
    </row>
    <row r="8" spans="1:10">
      <c r="A8" s="331"/>
      <c r="J8" s="330"/>
    </row>
    <row r="9" spans="1:10">
      <c r="A9" s="331"/>
      <c r="J9" s="330"/>
    </row>
    <row r="10" spans="1:10">
      <c r="A10" s="331"/>
      <c r="J10" s="330"/>
    </row>
    <row r="11" spans="1:10">
      <c r="A11" s="331"/>
      <c r="J11" s="330"/>
    </row>
    <row r="12" spans="1:10">
      <c r="A12" s="331"/>
      <c r="J12" s="330"/>
    </row>
    <row r="13" spans="1:10">
      <c r="A13" s="331"/>
      <c r="J13" s="330"/>
    </row>
    <row r="14" spans="1:10">
      <c r="A14" s="331"/>
      <c r="J14" s="330"/>
    </row>
    <row r="15" spans="1:10">
      <c r="A15" s="331"/>
      <c r="J15" s="330"/>
    </row>
    <row r="16" spans="1:10">
      <c r="A16" s="331"/>
      <c r="J16" s="330"/>
    </row>
    <row r="17" spans="1:10">
      <c r="A17" s="331"/>
      <c r="J17" s="330"/>
    </row>
    <row r="18" spans="1:10">
      <c r="A18" s="331"/>
      <c r="J18" s="330"/>
    </row>
    <row r="19" spans="1:10">
      <c r="A19" s="331"/>
      <c r="J19" s="330"/>
    </row>
    <row r="20" spans="1:10">
      <c r="A20" s="331"/>
      <c r="J20" s="330"/>
    </row>
    <row r="21" spans="1:10">
      <c r="A21" s="331"/>
      <c r="J21" s="330"/>
    </row>
    <row r="22" spans="1:10">
      <c r="A22" s="331"/>
      <c r="J22" s="330"/>
    </row>
    <row r="23" spans="1:10">
      <c r="A23" s="331"/>
      <c r="J23" s="330"/>
    </row>
    <row r="24" spans="1:10">
      <c r="A24" s="331"/>
      <c r="J24" s="330"/>
    </row>
    <row r="25" spans="1:10">
      <c r="A25" s="331"/>
      <c r="J25" s="330"/>
    </row>
    <row r="26" spans="1:10">
      <c r="A26" s="331"/>
      <c r="J26" s="330"/>
    </row>
    <row r="27" spans="1:10">
      <c r="A27" s="331"/>
      <c r="J27" s="330"/>
    </row>
    <row r="28" spans="1:10">
      <c r="A28" s="331"/>
      <c r="J28" s="330"/>
    </row>
    <row r="29" spans="1:10">
      <c r="A29" s="331"/>
      <c r="J29" s="330"/>
    </row>
    <row r="30" spans="1:10">
      <c r="A30" s="331"/>
      <c r="J30" s="330"/>
    </row>
    <row r="31" spans="1:10">
      <c r="A31" s="331"/>
      <c r="J31" s="330"/>
    </row>
    <row r="32" spans="1:10">
      <c r="A32" s="331"/>
      <c r="J32" s="330"/>
    </row>
    <row r="33" spans="1:10">
      <c r="A33" s="331"/>
      <c r="J33" s="330"/>
    </row>
    <row r="34" spans="1:10">
      <c r="A34" s="331"/>
      <c r="J34" s="330"/>
    </row>
    <row r="35" spans="1:10">
      <c r="A35" s="331"/>
      <c r="J35" s="330"/>
    </row>
    <row r="36" spans="1:10">
      <c r="A36" s="331"/>
      <c r="J36" s="330"/>
    </row>
    <row r="37" spans="1:10">
      <c r="A37" s="331"/>
      <c r="J37" s="330"/>
    </row>
    <row r="38" spans="1:10">
      <c r="A38" s="331"/>
      <c r="J38" s="330"/>
    </row>
    <row r="39" spans="1:10">
      <c r="A39" s="331"/>
      <c r="J39" s="330"/>
    </row>
    <row r="40" spans="1:10">
      <c r="A40" s="331"/>
      <c r="J40" s="330"/>
    </row>
    <row r="41" spans="1:10">
      <c r="A41" s="331"/>
      <c r="J41" s="330"/>
    </row>
    <row r="42" spans="1:10">
      <c r="A42" s="331"/>
      <c r="J42" s="330"/>
    </row>
    <row r="43" spans="1:10">
      <c r="A43" s="331"/>
      <c r="J43" s="330"/>
    </row>
    <row r="44" spans="1:10">
      <c r="A44" s="331"/>
      <c r="J44" s="330"/>
    </row>
    <row r="45" spans="1:10" ht="15" thickBot="1">
      <c r="A45" s="329"/>
      <c r="B45" s="328"/>
      <c r="C45" s="328"/>
      <c r="D45" s="328"/>
      <c r="E45" s="328"/>
      <c r="F45" s="328"/>
      <c r="G45" s="328"/>
      <c r="H45" s="328"/>
      <c r="I45" s="328"/>
      <c r="J45" s="327"/>
    </row>
    <row r="46" spans="1:10" ht="15" thickTop="1"/>
  </sheetData>
  <pageMargins left="0.511811024" right="0.511811024" top="0.78740157499999996" bottom="0.78740157499999996" header="0.31496062000000002" footer="0.31496062000000002"/>
  <pageSetup paperSize="9" orientation="portrait" r:id="rId1"/>
  <drawing r:id="rId2"/>
  <legacyDrawing r:id="rId3"/>
  <oleObjects>
    <mc:AlternateContent xmlns:mc="http://schemas.openxmlformats.org/markup-compatibility/2006">
      <mc:Choice Requires="x14">
        <oleObject progId="Documento" shapeId="18433" r:id="rId4">
          <objectPr defaultSize="0" autoPict="0" r:id="rId5">
            <anchor moveWithCells="1">
              <from>
                <xdr:col>0</xdr:col>
                <xdr:colOff>279400</xdr:colOff>
                <xdr:row>1</xdr:row>
                <xdr:rowOff>19050</xdr:rowOff>
              </from>
              <to>
                <xdr:col>9</xdr:col>
                <xdr:colOff>438150</xdr:colOff>
                <xdr:row>44</xdr:row>
                <xdr:rowOff>19050</xdr:rowOff>
              </to>
            </anchor>
          </objectPr>
        </oleObject>
      </mc:Choice>
      <mc:Fallback>
        <oleObject progId="Documento" shapeId="18433" r:id="rId4"/>
      </mc:Fallback>
    </mc:AlternateContent>
  </oleObjec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3"/>
  <dimension ref="A1:J45"/>
  <sheetViews>
    <sheetView showGridLines="0" workbookViewId="0">
      <selection activeCell="N5" sqref="N5"/>
    </sheetView>
  </sheetViews>
  <sheetFormatPr defaultRowHeight="14.45"/>
  <sheetData>
    <row r="1" spans="1:10" ht="15" thickTop="1">
      <c r="A1" s="334"/>
      <c r="B1" s="333"/>
      <c r="C1" s="333"/>
      <c r="D1" s="333"/>
      <c r="E1" s="333"/>
      <c r="F1" s="333"/>
      <c r="G1" s="333"/>
      <c r="H1" s="333"/>
      <c r="I1" s="333"/>
      <c r="J1" s="332"/>
    </row>
    <row r="2" spans="1:10">
      <c r="A2" s="331"/>
      <c r="J2" s="330"/>
    </row>
    <row r="3" spans="1:10">
      <c r="A3" s="331"/>
      <c r="J3" s="330"/>
    </row>
    <row r="4" spans="1:10">
      <c r="A4" s="331"/>
      <c r="J4" s="330"/>
    </row>
    <row r="5" spans="1:10">
      <c r="A5" s="331"/>
      <c r="J5" s="330"/>
    </row>
    <row r="6" spans="1:10">
      <c r="A6" s="331"/>
      <c r="J6" s="330"/>
    </row>
    <row r="7" spans="1:10">
      <c r="A7" s="331"/>
      <c r="J7" s="330"/>
    </row>
    <row r="8" spans="1:10">
      <c r="A8" s="331"/>
      <c r="J8" s="330"/>
    </row>
    <row r="9" spans="1:10">
      <c r="A9" s="331"/>
      <c r="J9" s="330"/>
    </row>
    <row r="10" spans="1:10">
      <c r="A10" s="331"/>
      <c r="J10" s="330"/>
    </row>
    <row r="11" spans="1:10">
      <c r="A11" s="331"/>
      <c r="J11" s="330"/>
    </row>
    <row r="12" spans="1:10">
      <c r="A12" s="331"/>
      <c r="J12" s="330"/>
    </row>
    <row r="13" spans="1:10">
      <c r="A13" s="331"/>
      <c r="J13" s="330"/>
    </row>
    <row r="14" spans="1:10">
      <c r="A14" s="331"/>
      <c r="J14" s="330"/>
    </row>
    <row r="15" spans="1:10">
      <c r="A15" s="331"/>
      <c r="J15" s="330"/>
    </row>
    <row r="16" spans="1:10">
      <c r="A16" s="331"/>
      <c r="J16" s="330"/>
    </row>
    <row r="17" spans="1:10">
      <c r="A17" s="331"/>
      <c r="J17" s="330"/>
    </row>
    <row r="18" spans="1:10">
      <c r="A18" s="331"/>
      <c r="J18" s="330"/>
    </row>
    <row r="19" spans="1:10">
      <c r="A19" s="331"/>
      <c r="J19" s="330"/>
    </row>
    <row r="20" spans="1:10">
      <c r="A20" s="331"/>
      <c r="J20" s="330"/>
    </row>
    <row r="21" spans="1:10">
      <c r="A21" s="331"/>
      <c r="J21" s="330"/>
    </row>
    <row r="22" spans="1:10">
      <c r="A22" s="331"/>
      <c r="J22" s="330"/>
    </row>
    <row r="23" spans="1:10">
      <c r="A23" s="331"/>
      <c r="J23" s="330"/>
    </row>
    <row r="24" spans="1:10">
      <c r="A24" s="331"/>
      <c r="J24" s="330"/>
    </row>
    <row r="25" spans="1:10">
      <c r="A25" s="331"/>
      <c r="J25" s="330"/>
    </row>
    <row r="26" spans="1:10">
      <c r="A26" s="331"/>
      <c r="J26" s="330"/>
    </row>
    <row r="27" spans="1:10">
      <c r="A27" s="331"/>
      <c r="J27" s="330"/>
    </row>
    <row r="28" spans="1:10">
      <c r="A28" s="331"/>
      <c r="J28" s="330"/>
    </row>
    <row r="29" spans="1:10">
      <c r="A29" s="331"/>
      <c r="J29" s="330"/>
    </row>
    <row r="30" spans="1:10">
      <c r="A30" s="331"/>
      <c r="J30" s="330"/>
    </row>
    <row r="31" spans="1:10">
      <c r="A31" s="331"/>
      <c r="J31" s="330"/>
    </row>
    <row r="32" spans="1:10">
      <c r="A32" s="331"/>
      <c r="J32" s="330"/>
    </row>
    <row r="33" spans="1:10">
      <c r="A33" s="331"/>
      <c r="J33" s="330"/>
    </row>
    <row r="34" spans="1:10">
      <c r="A34" s="331"/>
      <c r="J34" s="330"/>
    </row>
    <row r="35" spans="1:10">
      <c r="A35" s="331"/>
      <c r="J35" s="330"/>
    </row>
    <row r="36" spans="1:10">
      <c r="A36" s="331"/>
      <c r="J36" s="330"/>
    </row>
    <row r="37" spans="1:10">
      <c r="A37" s="331"/>
      <c r="J37" s="330"/>
    </row>
    <row r="38" spans="1:10">
      <c r="A38" s="331"/>
      <c r="J38" s="330"/>
    </row>
    <row r="39" spans="1:10">
      <c r="A39" s="331"/>
      <c r="J39" s="330"/>
    </row>
    <row r="40" spans="1:10">
      <c r="A40" s="331"/>
      <c r="J40" s="330"/>
    </row>
    <row r="41" spans="1:10">
      <c r="A41" s="331"/>
      <c r="J41" s="330"/>
    </row>
    <row r="42" spans="1:10">
      <c r="A42" s="331"/>
      <c r="J42" s="330"/>
    </row>
    <row r="43" spans="1:10">
      <c r="A43" s="331"/>
      <c r="J43" s="330"/>
    </row>
    <row r="44" spans="1:10" ht="15" thickBot="1">
      <c r="A44" s="329"/>
      <c r="B44" s="328"/>
      <c r="C44" s="328"/>
      <c r="D44" s="328"/>
      <c r="E44" s="328"/>
      <c r="F44" s="328"/>
      <c r="G44" s="328"/>
      <c r="H44" s="328"/>
      <c r="I44" s="328"/>
      <c r="J44" s="327"/>
    </row>
    <row r="45" spans="1:10" ht="15" thickTop="1"/>
  </sheetData>
  <pageMargins left="0.511811024" right="0.511811024" top="0.78740157499999996" bottom="0.78740157499999996" header="0.31496062000000002" footer="0.31496062000000002"/>
  <pageSetup paperSize="9" orientation="portrait" r:id="rId1"/>
  <drawing r:id="rId2"/>
  <legacyDrawing r:id="rId3"/>
  <oleObjects>
    <mc:AlternateContent xmlns:mc="http://schemas.openxmlformats.org/markup-compatibility/2006">
      <mc:Choice Requires="x14">
        <oleObject progId="Documento" shapeId="19457" r:id="rId4">
          <objectPr locked="0" defaultSize="0" autoPict="0" r:id="rId5">
            <anchor moveWithCells="1">
              <from>
                <xdr:col>0</xdr:col>
                <xdr:colOff>241300</xdr:colOff>
                <xdr:row>1</xdr:row>
                <xdr:rowOff>19050</xdr:rowOff>
              </from>
              <to>
                <xdr:col>9</xdr:col>
                <xdr:colOff>514350</xdr:colOff>
                <xdr:row>42</xdr:row>
                <xdr:rowOff>76200</xdr:rowOff>
              </to>
            </anchor>
          </objectPr>
        </oleObject>
      </mc:Choice>
      <mc:Fallback>
        <oleObject progId="Documento" shapeId="19457" r:id="rId4"/>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8"/>
  <dimension ref="A1:G28"/>
  <sheetViews>
    <sheetView topLeftCell="A7" zoomScale="90" zoomScaleNormal="90" workbookViewId="0">
      <selection activeCell="D23" sqref="D23"/>
    </sheetView>
  </sheetViews>
  <sheetFormatPr defaultRowHeight="14.45"/>
  <cols>
    <col min="1" max="1" width="9.42578125" customWidth="1"/>
    <col min="2" max="2" width="100.42578125" customWidth="1"/>
    <col min="3" max="3" width="39.85546875" customWidth="1"/>
    <col min="4" max="4" width="8.5703125" bestFit="1" customWidth="1"/>
    <col min="5" max="5" width="17.85546875" bestFit="1" customWidth="1"/>
    <col min="6" max="6" width="42.5703125" bestFit="1" customWidth="1"/>
  </cols>
  <sheetData>
    <row r="1" spans="1:7">
      <c r="B1" s="5" t="s">
        <v>589</v>
      </c>
      <c r="C1" s="5"/>
      <c r="D1" s="5"/>
      <c r="E1" s="5"/>
      <c r="F1" s="5"/>
    </row>
    <row r="2" spans="1:7">
      <c r="B2" s="6" t="s">
        <v>590</v>
      </c>
      <c r="C2" s="6"/>
      <c r="D2" s="6"/>
      <c r="E2" s="6"/>
      <c r="F2" s="6"/>
    </row>
    <row r="3" spans="1:7">
      <c r="B3" s="6" t="s">
        <v>591</v>
      </c>
      <c r="C3" s="6"/>
      <c r="D3" s="6"/>
      <c r="E3" s="6"/>
      <c r="F3" s="6"/>
    </row>
    <row r="4" spans="1:7">
      <c r="B4" s="6" t="s">
        <v>592</v>
      </c>
      <c r="C4" s="6"/>
      <c r="D4" s="6"/>
      <c r="E4" s="6"/>
      <c r="F4" s="6"/>
    </row>
    <row r="5" spans="1:7">
      <c r="B5" s="6" t="s">
        <v>593</v>
      </c>
      <c r="C5" s="6"/>
      <c r="D5" s="6"/>
      <c r="E5" s="6"/>
      <c r="F5" s="6"/>
    </row>
    <row r="6" spans="1:7">
      <c r="B6" s="6" t="s">
        <v>594</v>
      </c>
      <c r="C6" s="6"/>
      <c r="D6" s="6"/>
      <c r="E6" s="6"/>
      <c r="F6" s="6"/>
    </row>
    <row r="7" spans="1:7">
      <c r="B7" s="6"/>
      <c r="C7" s="6"/>
      <c r="D7" s="6"/>
      <c r="E7" s="6"/>
      <c r="F7" s="6"/>
    </row>
    <row r="8" spans="1:7" ht="21.6" thickBot="1">
      <c r="B8" s="7"/>
      <c r="C8" s="7" t="s">
        <v>595</v>
      </c>
      <c r="D8" s="7" t="s">
        <v>596</v>
      </c>
      <c r="E8" s="7" t="s">
        <v>597</v>
      </c>
      <c r="F8" s="7" t="s">
        <v>598</v>
      </c>
      <c r="G8" s="8" t="s">
        <v>434</v>
      </c>
    </row>
    <row r="9" spans="1:7" ht="15" customHeight="1">
      <c r="A9" s="9" t="str">
        <f>LEFT(B9,4)&amp;D9</f>
        <v>1.01OPEX</v>
      </c>
      <c r="B9" s="487" t="s">
        <v>599</v>
      </c>
      <c r="C9" s="9" t="s">
        <v>600</v>
      </c>
      <c r="D9" s="9" t="s">
        <v>570</v>
      </c>
      <c r="E9" s="10" t="s">
        <v>601</v>
      </c>
      <c r="F9" s="11" t="s">
        <v>602</v>
      </c>
      <c r="G9" t="s">
        <v>467</v>
      </c>
    </row>
    <row r="10" spans="1:7" ht="15" thickBot="1">
      <c r="A10" s="12" t="str">
        <f>LEFT(B9,4)&amp;D10</f>
        <v>1.01CAPEX</v>
      </c>
      <c r="B10" s="488"/>
      <c r="C10" s="12" t="s">
        <v>603</v>
      </c>
      <c r="D10" s="12" t="s">
        <v>541</v>
      </c>
      <c r="E10" s="13" t="s">
        <v>604</v>
      </c>
      <c r="F10" s="14" t="s">
        <v>602</v>
      </c>
    </row>
    <row r="11" spans="1:7">
      <c r="A11" s="15" t="str">
        <f>LEFT(B11,4)&amp;D11</f>
        <v>1.02OPEX</v>
      </c>
      <c r="B11" s="484" t="s">
        <v>605</v>
      </c>
      <c r="C11" s="15" t="s">
        <v>600</v>
      </c>
      <c r="D11" s="15" t="s">
        <v>570</v>
      </c>
      <c r="E11" s="16" t="s">
        <v>606</v>
      </c>
      <c r="F11" s="17" t="s">
        <v>607</v>
      </c>
      <c r="G11" t="s">
        <v>608</v>
      </c>
    </row>
    <row r="12" spans="1:7" ht="15" thickBot="1">
      <c r="A12" s="18" t="str">
        <f>LEFT(B11,4)&amp;D12</f>
        <v>1.02CAPEX</v>
      </c>
      <c r="B12" s="483"/>
      <c r="C12" s="18" t="s">
        <v>609</v>
      </c>
      <c r="D12" s="18" t="s">
        <v>541</v>
      </c>
      <c r="E12" s="19" t="s">
        <v>606</v>
      </c>
      <c r="F12" s="20" t="s">
        <v>607</v>
      </c>
    </row>
    <row r="13" spans="1:7">
      <c r="A13" s="15" t="str">
        <f>LEFT(B13,4)&amp;D13</f>
        <v>1.03CAPEX</v>
      </c>
      <c r="B13" s="484" t="s">
        <v>610</v>
      </c>
      <c r="C13" s="15" t="s">
        <v>609</v>
      </c>
      <c r="D13" s="15" t="s">
        <v>541</v>
      </c>
      <c r="E13" s="16" t="s">
        <v>606</v>
      </c>
      <c r="F13" s="21" t="s">
        <v>611</v>
      </c>
      <c r="G13" t="s">
        <v>612</v>
      </c>
    </row>
    <row r="14" spans="1:7" ht="15" thickBot="1">
      <c r="A14" s="18" t="str">
        <f>LEFT(B13,4)&amp;D14</f>
        <v>1.03OPEX</v>
      </c>
      <c r="B14" s="483"/>
      <c r="C14" s="18" t="s">
        <v>600</v>
      </c>
      <c r="D14" s="18" t="s">
        <v>570</v>
      </c>
      <c r="E14" s="19" t="s">
        <v>606</v>
      </c>
      <c r="F14" s="22" t="s">
        <v>611</v>
      </c>
    </row>
    <row r="15" spans="1:7">
      <c r="A15" s="9" t="str">
        <f>LEFT(B15,4)&amp;D15</f>
        <v>1.04OPEX</v>
      </c>
      <c r="B15" s="487" t="s">
        <v>613</v>
      </c>
      <c r="C15" s="9" t="s">
        <v>600</v>
      </c>
      <c r="D15" s="9" t="s">
        <v>570</v>
      </c>
      <c r="E15" s="10" t="s">
        <v>614</v>
      </c>
      <c r="F15" s="23" t="s">
        <v>615</v>
      </c>
      <c r="G15" t="s">
        <v>504</v>
      </c>
    </row>
    <row r="16" spans="1:7" ht="15" thickBot="1">
      <c r="A16" s="12" t="str">
        <f>LEFT(B15,4)&amp;D16</f>
        <v>1.04CAPEX</v>
      </c>
      <c r="B16" s="488"/>
      <c r="C16" s="12" t="s">
        <v>609</v>
      </c>
      <c r="D16" s="12" t="s">
        <v>541</v>
      </c>
      <c r="E16" s="13" t="s">
        <v>616</v>
      </c>
      <c r="F16" s="24" t="s">
        <v>615</v>
      </c>
    </row>
    <row r="17" spans="1:7">
      <c r="A17" s="56" t="str">
        <f>LEFT(B17,4)&amp;D17</f>
        <v>1.05OPEX</v>
      </c>
      <c r="B17" s="487" t="s">
        <v>617</v>
      </c>
      <c r="C17" s="56">
        <v>3121030205</v>
      </c>
      <c r="D17" s="25" t="s">
        <v>570</v>
      </c>
      <c r="E17" s="26" t="s">
        <v>618</v>
      </c>
      <c r="F17" s="27" t="s">
        <v>619</v>
      </c>
      <c r="G17" t="s">
        <v>620</v>
      </c>
    </row>
    <row r="18" spans="1:7" ht="15" thickBot="1">
      <c r="A18" s="12" t="str">
        <f>LEFT(B17,4)&amp;D18</f>
        <v>1.05CAPEX</v>
      </c>
      <c r="B18" s="488"/>
      <c r="C18" s="12" t="s">
        <v>609</v>
      </c>
      <c r="D18" s="12" t="s">
        <v>541</v>
      </c>
      <c r="E18" s="28" t="s">
        <v>621</v>
      </c>
      <c r="F18" s="29" t="s">
        <v>619</v>
      </c>
    </row>
    <row r="19" spans="1:7">
      <c r="A19" s="9" t="str">
        <f>LEFT(B19,4)&amp;D19</f>
        <v>1.06CAPEX</v>
      </c>
      <c r="B19" s="487" t="s">
        <v>622</v>
      </c>
      <c r="C19" s="9" t="s">
        <v>609</v>
      </c>
      <c r="D19" s="30" t="s">
        <v>541</v>
      </c>
      <c r="E19" s="31" t="s">
        <v>623</v>
      </c>
      <c r="F19" s="32" t="s">
        <v>611</v>
      </c>
      <c r="G19" t="s">
        <v>624</v>
      </c>
    </row>
    <row r="20" spans="1:7" ht="15" thickBot="1">
      <c r="A20" s="45" t="str">
        <f>LEFT(B19,4)&amp;D20</f>
        <v>1.06OPEX</v>
      </c>
      <c r="B20" s="489"/>
      <c r="C20" s="45" t="s">
        <v>600</v>
      </c>
      <c r="D20" s="45" t="s">
        <v>570</v>
      </c>
      <c r="E20" s="46" t="s">
        <v>625</v>
      </c>
      <c r="F20" s="47" t="s">
        <v>611</v>
      </c>
    </row>
    <row r="21" spans="1:7">
      <c r="A21" s="33" t="str">
        <f>LEFT(B21,4)&amp;D21</f>
        <v>1.07OPEX</v>
      </c>
      <c r="B21" s="485" t="s">
        <v>626</v>
      </c>
      <c r="C21" s="33" t="s">
        <v>627</v>
      </c>
      <c r="D21" s="34" t="s">
        <v>570</v>
      </c>
      <c r="E21" s="35" t="s">
        <v>628</v>
      </c>
      <c r="F21" s="36" t="s">
        <v>629</v>
      </c>
      <c r="G21" t="s">
        <v>630</v>
      </c>
    </row>
    <row r="22" spans="1:7" ht="15" thickBot="1">
      <c r="A22" s="37" t="str">
        <f>LEFT(B21,4)&amp;D22</f>
        <v>1.07CAPEX</v>
      </c>
      <c r="B22" s="486"/>
      <c r="C22" s="37" t="s">
        <v>600</v>
      </c>
      <c r="D22" s="37" t="s">
        <v>541</v>
      </c>
      <c r="E22" s="38" t="s">
        <v>631</v>
      </c>
      <c r="F22" s="39" t="s">
        <v>632</v>
      </c>
    </row>
    <row r="23" spans="1:7">
      <c r="A23" s="48" t="str">
        <f>LEFT(B23,4)&amp;D23</f>
        <v>1.08OPEX</v>
      </c>
      <c r="B23" s="482" t="s">
        <v>633</v>
      </c>
      <c r="C23" s="48" t="s">
        <v>600</v>
      </c>
      <c r="D23" s="48" t="s">
        <v>570</v>
      </c>
      <c r="E23" s="49" t="s">
        <v>606</v>
      </c>
      <c r="F23" s="50" t="s">
        <v>634</v>
      </c>
      <c r="G23" t="s">
        <v>635</v>
      </c>
    </row>
    <row r="24" spans="1:7" ht="15" thickBot="1">
      <c r="A24" s="18" t="str">
        <f>LEFT(B23,4)&amp;D24</f>
        <v>1.08CAPEX</v>
      </c>
      <c r="B24" s="483"/>
      <c r="C24" s="18" t="s">
        <v>609</v>
      </c>
      <c r="D24" s="18" t="s">
        <v>541</v>
      </c>
      <c r="E24" s="19" t="s">
        <v>606</v>
      </c>
      <c r="F24" s="22" t="s">
        <v>636</v>
      </c>
    </row>
    <row r="25" spans="1:7" ht="29.25" customHeight="1" thickBot="1">
      <c r="A25" s="51" t="str">
        <f>LEFT(B25,4)&amp;D25</f>
        <v>14.0OPEX</v>
      </c>
      <c r="B25" s="40" t="s">
        <v>637</v>
      </c>
      <c r="C25" s="51" t="s">
        <v>638</v>
      </c>
      <c r="D25" s="52" t="s">
        <v>570</v>
      </c>
      <c r="E25" s="53" t="s">
        <v>639</v>
      </c>
      <c r="F25" s="54" t="s">
        <v>640</v>
      </c>
      <c r="G25" t="s">
        <v>641</v>
      </c>
    </row>
    <row r="26" spans="1:7" ht="30.75" customHeight="1" thickBot="1">
      <c r="A26" s="41" t="str">
        <f>LEFT(B26,4)&amp;D26</f>
        <v>16.0OPEX</v>
      </c>
      <c r="B26" s="55" t="s">
        <v>642</v>
      </c>
      <c r="C26" s="41" t="s">
        <v>643</v>
      </c>
      <c r="D26" s="42" t="s">
        <v>570</v>
      </c>
      <c r="E26" s="43" t="s">
        <v>644</v>
      </c>
      <c r="F26" s="44" t="s">
        <v>645</v>
      </c>
    </row>
    <row r="27" spans="1:7" ht="30.75" customHeight="1" thickBot="1">
      <c r="A27" s="41" t="s">
        <v>467</v>
      </c>
      <c r="B27" s="55" t="s">
        <v>646</v>
      </c>
      <c r="C27" s="41" t="s">
        <v>647</v>
      </c>
      <c r="D27" s="42" t="s">
        <v>570</v>
      </c>
      <c r="E27" s="43" t="s">
        <v>648</v>
      </c>
      <c r="F27" s="44" t="s">
        <v>649</v>
      </c>
      <c r="G27" t="s">
        <v>467</v>
      </c>
    </row>
    <row r="28" spans="1:7" ht="30.75" customHeight="1" thickBot="1">
      <c r="A28" s="41" t="s">
        <v>624</v>
      </c>
      <c r="B28" s="55" t="s">
        <v>650</v>
      </c>
      <c r="C28" s="41" t="s">
        <v>647</v>
      </c>
      <c r="D28" s="42" t="s">
        <v>570</v>
      </c>
      <c r="E28" s="43" t="s">
        <v>651</v>
      </c>
      <c r="F28" s="44" t="s">
        <v>649</v>
      </c>
      <c r="G28" t="s">
        <v>624</v>
      </c>
    </row>
  </sheetData>
  <mergeCells count="8">
    <mergeCell ref="B23:B24"/>
    <mergeCell ref="B13:B14"/>
    <mergeCell ref="B11:B12"/>
    <mergeCell ref="B21:B22"/>
    <mergeCell ref="B9:B10"/>
    <mergeCell ref="B15:B16"/>
    <mergeCell ref="B19:B20"/>
    <mergeCell ref="B17:B18"/>
  </mergeCells>
  <pageMargins left="0.511811024" right="0.511811024" top="0.78740157499999996" bottom="0.78740157499999996" header="0.31496062000000002" footer="0.31496062000000002"/>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9" filterMode="1"/>
  <dimension ref="A1:H8484"/>
  <sheetViews>
    <sheetView workbookViewId="0">
      <selection activeCell="B6" sqref="B6"/>
    </sheetView>
  </sheetViews>
  <sheetFormatPr defaultRowHeight="14.45"/>
  <cols>
    <col min="1" max="1" width="10" customWidth="1"/>
    <col min="2" max="2" width="40" bestFit="1" customWidth="1"/>
    <col min="3" max="3" width="9.42578125" customWidth="1"/>
    <col min="5" max="5" width="9.5703125" bestFit="1" customWidth="1"/>
    <col min="6" max="6" width="12.28515625" bestFit="1" customWidth="1"/>
  </cols>
  <sheetData>
    <row r="1" spans="1:8">
      <c r="A1" s="58" t="s">
        <v>589</v>
      </c>
      <c r="B1" s="58"/>
      <c r="C1" s="58"/>
      <c r="D1" s="61"/>
      <c r="E1" s="61"/>
      <c r="F1" s="61"/>
      <c r="G1" s="61"/>
      <c r="H1" s="61"/>
    </row>
    <row r="2" spans="1:8">
      <c r="A2" s="59" t="s">
        <v>652</v>
      </c>
      <c r="B2" s="59"/>
      <c r="C2" s="59"/>
      <c r="D2" s="62"/>
      <c r="E2" s="62"/>
      <c r="F2" s="62"/>
      <c r="G2" s="62"/>
      <c r="H2" s="62"/>
    </row>
    <row r="3" spans="1:8">
      <c r="A3" s="59" t="s">
        <v>653</v>
      </c>
      <c r="B3" s="59"/>
      <c r="C3" s="59"/>
      <c r="D3" s="62"/>
      <c r="E3" s="62"/>
      <c r="F3" s="62"/>
      <c r="G3" s="62"/>
      <c r="H3" s="62"/>
    </row>
    <row r="4" spans="1:8">
      <c r="A4" s="59" t="s">
        <v>654</v>
      </c>
      <c r="B4" s="59"/>
      <c r="C4" s="59"/>
      <c r="D4" s="62"/>
      <c r="E4" s="62"/>
      <c r="F4" s="62"/>
      <c r="G4" s="62"/>
      <c r="H4" s="62"/>
    </row>
    <row r="5" spans="1:8">
      <c r="A5" s="59" t="s">
        <v>655</v>
      </c>
      <c r="B5" s="59"/>
      <c r="C5" s="59"/>
      <c r="D5" s="62"/>
      <c r="E5" s="62"/>
      <c r="F5" s="62"/>
      <c r="G5" s="62"/>
      <c r="H5" s="62"/>
    </row>
    <row r="7" spans="1:8">
      <c r="A7" s="60" t="s">
        <v>656</v>
      </c>
      <c r="B7" s="60" t="s">
        <v>657</v>
      </c>
      <c r="C7" s="60" t="s">
        <v>658</v>
      </c>
      <c r="D7" s="57"/>
      <c r="E7" s="57"/>
    </row>
    <row r="8" spans="1:8" hidden="1">
      <c r="A8" s="65">
        <v>9000000</v>
      </c>
      <c r="B8" s="65" t="s">
        <v>659</v>
      </c>
      <c r="C8" s="65" t="s">
        <v>660</v>
      </c>
      <c r="D8" s="63"/>
      <c r="E8" s="63"/>
    </row>
    <row r="9" spans="1:8" hidden="1">
      <c r="A9" s="65">
        <v>9000001</v>
      </c>
      <c r="B9" s="65" t="s">
        <v>661</v>
      </c>
      <c r="C9" s="65" t="s">
        <v>662</v>
      </c>
      <c r="D9" s="57"/>
      <c r="E9" s="57"/>
    </row>
    <row r="10" spans="1:8" hidden="1">
      <c r="A10" s="65">
        <v>9000002</v>
      </c>
      <c r="B10" s="65" t="s">
        <v>663</v>
      </c>
      <c r="C10" s="65" t="s">
        <v>664</v>
      </c>
      <c r="D10" s="57"/>
      <c r="E10" s="57"/>
    </row>
    <row r="11" spans="1:8" hidden="1">
      <c r="A11" s="65">
        <v>9000003</v>
      </c>
      <c r="B11" s="65" t="s">
        <v>665</v>
      </c>
      <c r="C11" s="65" t="s">
        <v>666</v>
      </c>
      <c r="D11" s="57"/>
      <c r="E11" s="57"/>
    </row>
    <row r="12" spans="1:8" hidden="1">
      <c r="A12" s="65">
        <v>9000004</v>
      </c>
      <c r="B12" s="65" t="s">
        <v>667</v>
      </c>
      <c r="C12" s="65" t="s">
        <v>666</v>
      </c>
      <c r="D12" s="57"/>
      <c r="E12" s="57"/>
    </row>
    <row r="13" spans="1:8" hidden="1">
      <c r="A13" s="65">
        <v>9000005</v>
      </c>
      <c r="B13" s="65" t="s">
        <v>668</v>
      </c>
      <c r="C13" s="65" t="s">
        <v>666</v>
      </c>
      <c r="D13" s="57"/>
      <c r="E13" s="57"/>
    </row>
    <row r="14" spans="1:8" hidden="1">
      <c r="A14" s="65">
        <v>9000006</v>
      </c>
      <c r="B14" s="65" t="s">
        <v>669</v>
      </c>
      <c r="C14" s="65" t="s">
        <v>670</v>
      </c>
      <c r="D14" s="57"/>
      <c r="E14" s="57"/>
    </row>
    <row r="15" spans="1:8" hidden="1">
      <c r="A15" s="65">
        <v>9000007</v>
      </c>
      <c r="B15" s="65" t="s">
        <v>671</v>
      </c>
      <c r="C15" s="65" t="s">
        <v>672</v>
      </c>
      <c r="D15" s="57"/>
      <c r="E15" s="57"/>
    </row>
    <row r="16" spans="1:8" hidden="1">
      <c r="A16" s="65">
        <v>9000008</v>
      </c>
      <c r="B16" s="65" t="s">
        <v>673</v>
      </c>
      <c r="C16" s="65" t="s">
        <v>674</v>
      </c>
      <c r="D16" s="57"/>
      <c r="E16" s="57"/>
    </row>
    <row r="17" spans="1:3" hidden="1">
      <c r="A17" s="65">
        <v>9000009</v>
      </c>
      <c r="B17" s="65" t="s">
        <v>675</v>
      </c>
      <c r="C17" s="65" t="s">
        <v>674</v>
      </c>
    </row>
    <row r="18" spans="1:3" hidden="1">
      <c r="A18" s="65">
        <v>9000010</v>
      </c>
      <c r="B18" s="65" t="s">
        <v>676</v>
      </c>
      <c r="C18" s="65" t="s">
        <v>677</v>
      </c>
    </row>
    <row r="19" spans="1:3" hidden="1">
      <c r="A19" s="65">
        <v>9000011</v>
      </c>
      <c r="B19" s="65" t="s">
        <v>678</v>
      </c>
      <c r="C19" s="65" t="s">
        <v>679</v>
      </c>
    </row>
    <row r="20" spans="1:3" hidden="1">
      <c r="A20" s="65">
        <v>9000012</v>
      </c>
      <c r="B20" s="65" t="s">
        <v>680</v>
      </c>
      <c r="C20" s="65" t="s">
        <v>664</v>
      </c>
    </row>
    <row r="21" spans="1:3" hidden="1">
      <c r="A21" s="65">
        <v>9000013</v>
      </c>
      <c r="B21" s="65" t="s">
        <v>681</v>
      </c>
      <c r="C21" s="65" t="s">
        <v>677</v>
      </c>
    </row>
    <row r="22" spans="1:3" hidden="1">
      <c r="A22" s="65">
        <v>9000014</v>
      </c>
      <c r="B22" s="65" t="s">
        <v>682</v>
      </c>
      <c r="C22" s="65" t="s">
        <v>683</v>
      </c>
    </row>
    <row r="23" spans="1:3" hidden="1">
      <c r="A23" s="65">
        <v>9000015</v>
      </c>
      <c r="B23" s="65" t="s">
        <v>684</v>
      </c>
      <c r="C23" s="65" t="s">
        <v>677</v>
      </c>
    </row>
    <row r="24" spans="1:3" hidden="1">
      <c r="A24" s="65">
        <v>9000016</v>
      </c>
      <c r="B24" s="65" t="s">
        <v>685</v>
      </c>
      <c r="C24" s="65" t="s">
        <v>686</v>
      </c>
    </row>
    <row r="25" spans="1:3" hidden="1">
      <c r="A25" s="65">
        <v>9000017</v>
      </c>
      <c r="B25" s="65" t="s">
        <v>687</v>
      </c>
      <c r="C25" s="65" t="s">
        <v>686</v>
      </c>
    </row>
    <row r="26" spans="1:3" hidden="1">
      <c r="A26" s="65">
        <v>9000018</v>
      </c>
      <c r="B26" s="65" t="s">
        <v>688</v>
      </c>
      <c r="C26" s="65" t="s">
        <v>686</v>
      </c>
    </row>
    <row r="27" spans="1:3" hidden="1">
      <c r="A27" s="65">
        <v>9000019</v>
      </c>
      <c r="B27" s="65" t="s">
        <v>689</v>
      </c>
      <c r="C27" s="65" t="s">
        <v>690</v>
      </c>
    </row>
    <row r="28" spans="1:3" hidden="1">
      <c r="A28" s="65">
        <v>9000020</v>
      </c>
      <c r="B28" s="65" t="s">
        <v>691</v>
      </c>
      <c r="C28" s="65" t="s">
        <v>690</v>
      </c>
    </row>
    <row r="29" spans="1:3" hidden="1">
      <c r="A29" s="65">
        <v>9000021</v>
      </c>
      <c r="B29" s="65" t="s">
        <v>692</v>
      </c>
      <c r="C29" s="65" t="s">
        <v>693</v>
      </c>
    </row>
    <row r="30" spans="1:3" hidden="1">
      <c r="A30" s="65">
        <v>9000022</v>
      </c>
      <c r="B30" s="65" t="s">
        <v>694</v>
      </c>
      <c r="C30" s="65" t="s">
        <v>695</v>
      </c>
    </row>
    <row r="31" spans="1:3" hidden="1">
      <c r="A31" s="65">
        <v>9000023</v>
      </c>
      <c r="B31" s="65" t="s">
        <v>696</v>
      </c>
      <c r="C31" s="65" t="s">
        <v>664</v>
      </c>
    </row>
    <row r="32" spans="1:3" hidden="1">
      <c r="A32" s="65">
        <v>9000024</v>
      </c>
      <c r="B32" s="65" t="s">
        <v>697</v>
      </c>
      <c r="C32" s="65" t="s">
        <v>698</v>
      </c>
    </row>
    <row r="33" spans="1:3" hidden="1">
      <c r="A33" s="65">
        <v>9000025</v>
      </c>
      <c r="B33" s="65" t="s">
        <v>699</v>
      </c>
      <c r="C33" s="65" t="s">
        <v>698</v>
      </c>
    </row>
    <row r="34" spans="1:3" hidden="1">
      <c r="A34" s="65">
        <v>9000026</v>
      </c>
      <c r="B34" s="65" t="s">
        <v>700</v>
      </c>
      <c r="C34" s="65" t="s">
        <v>664</v>
      </c>
    </row>
    <row r="35" spans="1:3" hidden="1">
      <c r="A35" s="65">
        <v>9000027</v>
      </c>
      <c r="B35" s="65" t="s">
        <v>701</v>
      </c>
      <c r="C35" s="65" t="s">
        <v>702</v>
      </c>
    </row>
    <row r="36" spans="1:3" hidden="1">
      <c r="A36" s="65">
        <v>9000028</v>
      </c>
      <c r="B36" s="65" t="s">
        <v>703</v>
      </c>
      <c r="C36" s="65" t="s">
        <v>677</v>
      </c>
    </row>
    <row r="37" spans="1:3" hidden="1">
      <c r="A37" s="65">
        <v>9000029</v>
      </c>
      <c r="B37" s="65" t="s">
        <v>704</v>
      </c>
      <c r="C37" s="65" t="s">
        <v>705</v>
      </c>
    </row>
    <row r="38" spans="1:3" hidden="1">
      <c r="A38" s="65">
        <v>9000030</v>
      </c>
      <c r="B38" s="65" t="s">
        <v>706</v>
      </c>
      <c r="C38" s="65" t="s">
        <v>707</v>
      </c>
    </row>
    <row r="39" spans="1:3" hidden="1">
      <c r="A39" s="65">
        <v>9000031</v>
      </c>
      <c r="B39" s="65" t="s">
        <v>708</v>
      </c>
      <c r="C39" s="65" t="s">
        <v>709</v>
      </c>
    </row>
    <row r="40" spans="1:3" hidden="1">
      <c r="A40" s="65">
        <v>9000032</v>
      </c>
      <c r="B40" s="65" t="s">
        <v>710</v>
      </c>
      <c r="C40" s="65" t="s">
        <v>711</v>
      </c>
    </row>
    <row r="41" spans="1:3" hidden="1">
      <c r="A41" s="65">
        <v>9000033</v>
      </c>
      <c r="B41" s="65" t="s">
        <v>712</v>
      </c>
      <c r="C41" s="65" t="s">
        <v>662</v>
      </c>
    </row>
    <row r="42" spans="1:3" hidden="1">
      <c r="A42" s="65">
        <v>9000034</v>
      </c>
      <c r="B42" s="65" t="s">
        <v>713</v>
      </c>
      <c r="C42" s="65" t="s">
        <v>662</v>
      </c>
    </row>
    <row r="43" spans="1:3" hidden="1">
      <c r="A43" s="65">
        <v>9000035</v>
      </c>
      <c r="B43" s="65" t="s">
        <v>714</v>
      </c>
      <c r="C43" s="65" t="s">
        <v>693</v>
      </c>
    </row>
    <row r="44" spans="1:3" hidden="1">
      <c r="A44" s="65">
        <v>9000036</v>
      </c>
      <c r="B44" s="65" t="s">
        <v>715</v>
      </c>
      <c r="C44" s="65" t="s">
        <v>677</v>
      </c>
    </row>
    <row r="45" spans="1:3" hidden="1">
      <c r="A45" s="65">
        <v>9000037</v>
      </c>
      <c r="B45" s="65" t="s">
        <v>716</v>
      </c>
      <c r="C45" s="65" t="s">
        <v>677</v>
      </c>
    </row>
    <row r="46" spans="1:3" hidden="1">
      <c r="A46" s="65">
        <v>9000038</v>
      </c>
      <c r="B46" s="65" t="s">
        <v>717</v>
      </c>
      <c r="C46" s="65" t="s">
        <v>677</v>
      </c>
    </row>
    <row r="47" spans="1:3" hidden="1">
      <c r="A47" s="65">
        <v>9000039</v>
      </c>
      <c r="B47" s="65" t="s">
        <v>718</v>
      </c>
      <c r="C47" s="65" t="s">
        <v>719</v>
      </c>
    </row>
    <row r="48" spans="1:3" hidden="1">
      <c r="A48" s="65">
        <v>9000040</v>
      </c>
      <c r="B48" s="65" t="s">
        <v>720</v>
      </c>
      <c r="C48" s="65" t="s">
        <v>721</v>
      </c>
    </row>
    <row r="49" spans="1:3" hidden="1">
      <c r="A49" s="65">
        <v>9000041</v>
      </c>
      <c r="B49" s="65" t="s">
        <v>722</v>
      </c>
      <c r="C49" s="65" t="s">
        <v>723</v>
      </c>
    </row>
    <row r="50" spans="1:3" hidden="1">
      <c r="A50" s="65">
        <v>9000042</v>
      </c>
      <c r="B50" s="65" t="s">
        <v>718</v>
      </c>
      <c r="C50" s="65" t="s">
        <v>719</v>
      </c>
    </row>
    <row r="51" spans="1:3" hidden="1">
      <c r="A51" s="65">
        <v>9000043</v>
      </c>
      <c r="B51" s="65" t="s">
        <v>724</v>
      </c>
      <c r="C51" s="65" t="s">
        <v>677</v>
      </c>
    </row>
    <row r="52" spans="1:3" hidden="1">
      <c r="A52" s="65">
        <v>9000044</v>
      </c>
      <c r="B52" s="65" t="s">
        <v>725</v>
      </c>
      <c r="C52" s="65" t="s">
        <v>723</v>
      </c>
    </row>
    <row r="53" spans="1:3" hidden="1">
      <c r="A53" s="65">
        <v>9000045</v>
      </c>
      <c r="B53" s="65" t="s">
        <v>726</v>
      </c>
      <c r="C53" s="65" t="s">
        <v>727</v>
      </c>
    </row>
    <row r="54" spans="1:3" hidden="1">
      <c r="A54" s="65">
        <v>9000046</v>
      </c>
      <c r="B54" s="65" t="s">
        <v>728</v>
      </c>
      <c r="C54" s="65" t="s">
        <v>677</v>
      </c>
    </row>
    <row r="55" spans="1:3" hidden="1">
      <c r="A55" s="65">
        <v>9000047</v>
      </c>
      <c r="B55" s="65" t="s">
        <v>729</v>
      </c>
      <c r="C55" s="65" t="s">
        <v>677</v>
      </c>
    </row>
    <row r="56" spans="1:3" hidden="1">
      <c r="A56" s="65">
        <v>9000048</v>
      </c>
      <c r="B56" s="65" t="s">
        <v>730</v>
      </c>
      <c r="C56" s="65" t="s">
        <v>727</v>
      </c>
    </row>
    <row r="57" spans="1:3" hidden="1">
      <c r="A57" s="65">
        <v>9000049</v>
      </c>
      <c r="B57" s="65" t="s">
        <v>731</v>
      </c>
      <c r="C57" s="65" t="s">
        <v>732</v>
      </c>
    </row>
    <row r="58" spans="1:3" hidden="1">
      <c r="A58" s="65">
        <v>9000050</v>
      </c>
      <c r="B58" s="65" t="s">
        <v>733</v>
      </c>
      <c r="C58" s="65" t="s">
        <v>732</v>
      </c>
    </row>
    <row r="59" spans="1:3" hidden="1">
      <c r="A59" s="65">
        <v>9000051</v>
      </c>
      <c r="B59" s="65" t="s">
        <v>734</v>
      </c>
      <c r="C59" s="65" t="s">
        <v>732</v>
      </c>
    </row>
    <row r="60" spans="1:3" hidden="1">
      <c r="A60" s="65">
        <v>9000052</v>
      </c>
      <c r="B60" s="65" t="s">
        <v>735</v>
      </c>
      <c r="C60" s="65" t="s">
        <v>664</v>
      </c>
    </row>
    <row r="61" spans="1:3" hidden="1">
      <c r="A61" s="65">
        <v>9000053</v>
      </c>
      <c r="B61" s="65" t="s">
        <v>736</v>
      </c>
      <c r="C61" s="65" t="s">
        <v>732</v>
      </c>
    </row>
    <row r="62" spans="1:3" hidden="1">
      <c r="A62" s="65">
        <v>9000054</v>
      </c>
      <c r="B62" s="65" t="s">
        <v>737</v>
      </c>
      <c r="C62" s="65" t="s">
        <v>738</v>
      </c>
    </row>
    <row r="63" spans="1:3" hidden="1">
      <c r="A63" s="65">
        <v>9000055</v>
      </c>
      <c r="B63" s="65" t="s">
        <v>739</v>
      </c>
      <c r="C63" s="65" t="s">
        <v>674</v>
      </c>
    </row>
    <row r="64" spans="1:3" hidden="1">
      <c r="A64" s="65">
        <v>9000056</v>
      </c>
      <c r="B64" s="65" t="s">
        <v>740</v>
      </c>
      <c r="C64" s="65" t="s">
        <v>741</v>
      </c>
    </row>
    <row r="65" spans="1:3" hidden="1">
      <c r="A65" s="65">
        <v>9000057</v>
      </c>
      <c r="B65" s="65" t="s">
        <v>742</v>
      </c>
      <c r="C65" s="65" t="s">
        <v>743</v>
      </c>
    </row>
    <row r="66" spans="1:3" hidden="1">
      <c r="A66" s="65">
        <v>9000058</v>
      </c>
      <c r="B66" s="65" t="s">
        <v>744</v>
      </c>
      <c r="C66" s="65" t="s">
        <v>745</v>
      </c>
    </row>
    <row r="67" spans="1:3" hidden="1">
      <c r="A67" s="65">
        <v>9000059</v>
      </c>
      <c r="B67" s="65" t="s">
        <v>746</v>
      </c>
      <c r="C67" s="65" t="s">
        <v>747</v>
      </c>
    </row>
    <row r="68" spans="1:3" hidden="1">
      <c r="A68" s="65">
        <v>9000060</v>
      </c>
      <c r="B68" s="65" t="s">
        <v>748</v>
      </c>
      <c r="C68" s="65" t="s">
        <v>674</v>
      </c>
    </row>
    <row r="69" spans="1:3" hidden="1">
      <c r="A69" s="65">
        <v>9000061</v>
      </c>
      <c r="B69" s="65" t="s">
        <v>749</v>
      </c>
      <c r="C69" s="65" t="s">
        <v>732</v>
      </c>
    </row>
    <row r="70" spans="1:3" hidden="1">
      <c r="A70" s="65">
        <v>9000062</v>
      </c>
      <c r="B70" s="65" t="s">
        <v>750</v>
      </c>
      <c r="C70" s="65" t="s">
        <v>751</v>
      </c>
    </row>
    <row r="71" spans="1:3" hidden="1">
      <c r="A71" s="65">
        <v>9000063</v>
      </c>
      <c r="B71" s="65" t="s">
        <v>752</v>
      </c>
      <c r="C71" s="65" t="s">
        <v>732</v>
      </c>
    </row>
    <row r="72" spans="1:3" hidden="1">
      <c r="A72" s="65">
        <v>9000064</v>
      </c>
      <c r="B72" s="65" t="s">
        <v>753</v>
      </c>
      <c r="C72" s="65" t="s">
        <v>743</v>
      </c>
    </row>
    <row r="73" spans="1:3" hidden="1">
      <c r="A73" s="65">
        <v>9000065</v>
      </c>
      <c r="B73" s="65" t="s">
        <v>754</v>
      </c>
      <c r="C73" s="65" t="s">
        <v>743</v>
      </c>
    </row>
    <row r="74" spans="1:3" hidden="1">
      <c r="A74" s="65">
        <v>9000066</v>
      </c>
      <c r="B74" s="65" t="s">
        <v>755</v>
      </c>
      <c r="C74" s="65" t="s">
        <v>677</v>
      </c>
    </row>
    <row r="75" spans="1:3" hidden="1">
      <c r="A75" s="65">
        <v>9000067</v>
      </c>
      <c r="B75" s="65" t="s">
        <v>756</v>
      </c>
      <c r="C75" s="65" t="s">
        <v>757</v>
      </c>
    </row>
    <row r="76" spans="1:3" hidden="1">
      <c r="A76" s="65">
        <v>9000068</v>
      </c>
      <c r="B76" s="65" t="s">
        <v>758</v>
      </c>
      <c r="C76" s="65" t="s">
        <v>723</v>
      </c>
    </row>
    <row r="77" spans="1:3" hidden="1">
      <c r="A77" s="65">
        <v>9000069</v>
      </c>
      <c r="B77" s="65" t="s">
        <v>759</v>
      </c>
      <c r="C77" s="65" t="s">
        <v>677</v>
      </c>
    </row>
    <row r="78" spans="1:3" hidden="1">
      <c r="A78" s="65">
        <v>9000070</v>
      </c>
      <c r="B78" s="65" t="s">
        <v>760</v>
      </c>
      <c r="C78" s="65" t="s">
        <v>677</v>
      </c>
    </row>
    <row r="79" spans="1:3" hidden="1">
      <c r="A79" s="65">
        <v>9000071</v>
      </c>
      <c r="B79" s="65" t="s">
        <v>761</v>
      </c>
      <c r="C79" s="65" t="s">
        <v>751</v>
      </c>
    </row>
    <row r="80" spans="1:3" hidden="1">
      <c r="A80" s="65">
        <v>9000072</v>
      </c>
      <c r="B80" s="65" t="s">
        <v>759</v>
      </c>
      <c r="C80" s="65" t="s">
        <v>677</v>
      </c>
    </row>
    <row r="81" spans="1:3" hidden="1">
      <c r="A81" s="65">
        <v>9000073</v>
      </c>
      <c r="B81" s="65" t="s">
        <v>762</v>
      </c>
      <c r="C81" s="65" t="s">
        <v>763</v>
      </c>
    </row>
    <row r="82" spans="1:3" hidden="1">
      <c r="A82" s="65">
        <v>9000074</v>
      </c>
      <c r="B82" s="65" t="s">
        <v>764</v>
      </c>
      <c r="C82" s="65" t="s">
        <v>765</v>
      </c>
    </row>
    <row r="83" spans="1:3" hidden="1">
      <c r="A83" s="65">
        <v>9000075</v>
      </c>
      <c r="B83" s="65" t="s">
        <v>766</v>
      </c>
      <c r="C83" s="65" t="s">
        <v>723</v>
      </c>
    </row>
    <row r="84" spans="1:3" hidden="1">
      <c r="A84" s="65">
        <v>9000076</v>
      </c>
      <c r="B84" s="65" t="s">
        <v>767</v>
      </c>
      <c r="C84" s="65" t="s">
        <v>723</v>
      </c>
    </row>
    <row r="85" spans="1:3" hidden="1">
      <c r="A85" s="65">
        <v>9000077</v>
      </c>
      <c r="B85" s="65" t="s">
        <v>768</v>
      </c>
      <c r="C85" s="65" t="s">
        <v>670</v>
      </c>
    </row>
    <row r="86" spans="1:3" hidden="1">
      <c r="A86" s="65">
        <v>9000078</v>
      </c>
      <c r="B86" s="65" t="s">
        <v>769</v>
      </c>
      <c r="C86" s="65" t="s">
        <v>723</v>
      </c>
    </row>
    <row r="87" spans="1:3" hidden="1">
      <c r="A87" s="65">
        <v>9000079</v>
      </c>
      <c r="B87" s="65" t="s">
        <v>770</v>
      </c>
      <c r="C87" s="65" t="s">
        <v>771</v>
      </c>
    </row>
    <row r="88" spans="1:3" hidden="1">
      <c r="A88" s="65">
        <v>9000080</v>
      </c>
      <c r="B88" s="65" t="s">
        <v>772</v>
      </c>
      <c r="C88" s="65" t="s">
        <v>771</v>
      </c>
    </row>
    <row r="89" spans="1:3" hidden="1">
      <c r="A89" s="65">
        <v>9000081</v>
      </c>
      <c r="B89" s="65" t="s">
        <v>773</v>
      </c>
      <c r="C89" s="65" t="s">
        <v>677</v>
      </c>
    </row>
    <row r="90" spans="1:3" hidden="1">
      <c r="A90" s="65">
        <v>9000082</v>
      </c>
      <c r="B90" s="65" t="s">
        <v>774</v>
      </c>
      <c r="C90" s="65" t="s">
        <v>775</v>
      </c>
    </row>
    <row r="91" spans="1:3" hidden="1">
      <c r="A91" s="65">
        <v>9000083</v>
      </c>
      <c r="B91" s="65" t="s">
        <v>776</v>
      </c>
      <c r="C91" s="65" t="s">
        <v>777</v>
      </c>
    </row>
    <row r="92" spans="1:3" hidden="1">
      <c r="A92" s="65">
        <v>9000084</v>
      </c>
      <c r="B92" s="65" t="s">
        <v>778</v>
      </c>
      <c r="C92" s="65" t="s">
        <v>779</v>
      </c>
    </row>
    <row r="93" spans="1:3" hidden="1">
      <c r="A93" s="65">
        <v>9000085</v>
      </c>
      <c r="B93" s="65" t="s">
        <v>780</v>
      </c>
      <c r="C93" s="65" t="s">
        <v>677</v>
      </c>
    </row>
    <row r="94" spans="1:3" hidden="1">
      <c r="A94" s="65">
        <v>9000086</v>
      </c>
      <c r="B94" s="65" t="s">
        <v>781</v>
      </c>
      <c r="C94" s="65" t="s">
        <v>677</v>
      </c>
    </row>
    <row r="95" spans="1:3" hidden="1">
      <c r="A95" s="65">
        <v>9000087</v>
      </c>
      <c r="B95" s="65" t="s">
        <v>782</v>
      </c>
      <c r="C95" s="65" t="s">
        <v>677</v>
      </c>
    </row>
    <row r="96" spans="1:3" hidden="1">
      <c r="A96" s="65">
        <v>9000088</v>
      </c>
      <c r="B96" s="65" t="s">
        <v>783</v>
      </c>
      <c r="C96" s="65" t="s">
        <v>677</v>
      </c>
    </row>
    <row r="97" spans="1:3" hidden="1">
      <c r="A97" s="65">
        <v>9000089</v>
      </c>
      <c r="B97" s="65" t="s">
        <v>784</v>
      </c>
      <c r="C97" s="65" t="s">
        <v>677</v>
      </c>
    </row>
    <row r="98" spans="1:3" hidden="1">
      <c r="A98" s="65">
        <v>9000090</v>
      </c>
      <c r="B98" s="65" t="s">
        <v>785</v>
      </c>
      <c r="C98" s="65" t="s">
        <v>786</v>
      </c>
    </row>
    <row r="99" spans="1:3" hidden="1">
      <c r="A99" s="65">
        <v>9000091</v>
      </c>
      <c r="B99" s="65" t="s">
        <v>787</v>
      </c>
      <c r="C99" s="65" t="s">
        <v>788</v>
      </c>
    </row>
    <row r="100" spans="1:3" hidden="1">
      <c r="A100" s="65">
        <v>9000092</v>
      </c>
      <c r="B100" s="65" t="s">
        <v>789</v>
      </c>
      <c r="C100" s="65" t="s">
        <v>790</v>
      </c>
    </row>
    <row r="101" spans="1:3" hidden="1">
      <c r="A101" s="65">
        <v>9000093</v>
      </c>
      <c r="B101" s="65" t="s">
        <v>791</v>
      </c>
      <c r="C101" s="65" t="s">
        <v>698</v>
      </c>
    </row>
    <row r="102" spans="1:3" hidden="1">
      <c r="A102" s="65">
        <v>9000094</v>
      </c>
      <c r="B102" s="65" t="s">
        <v>792</v>
      </c>
      <c r="C102" s="65" t="s">
        <v>793</v>
      </c>
    </row>
    <row r="103" spans="1:3" hidden="1">
      <c r="A103" s="65">
        <v>9000095</v>
      </c>
      <c r="B103" s="65" t="s">
        <v>794</v>
      </c>
      <c r="C103" s="65" t="s">
        <v>795</v>
      </c>
    </row>
    <row r="104" spans="1:3" hidden="1">
      <c r="A104" s="65">
        <v>9000096</v>
      </c>
      <c r="B104" s="65" t="s">
        <v>796</v>
      </c>
      <c r="C104" s="65" t="s">
        <v>797</v>
      </c>
    </row>
    <row r="105" spans="1:3" hidden="1">
      <c r="A105" s="65">
        <v>9000097</v>
      </c>
      <c r="B105" s="65" t="s">
        <v>726</v>
      </c>
      <c r="C105" s="65" t="s">
        <v>727</v>
      </c>
    </row>
    <row r="106" spans="1:3" hidden="1">
      <c r="A106" s="65">
        <v>9000098</v>
      </c>
      <c r="B106" s="65" t="s">
        <v>798</v>
      </c>
      <c r="C106" s="65" t="s">
        <v>799</v>
      </c>
    </row>
    <row r="107" spans="1:3" hidden="1">
      <c r="A107" s="65">
        <v>9000099</v>
      </c>
      <c r="B107" s="65" t="s">
        <v>800</v>
      </c>
      <c r="C107" s="65" t="s">
        <v>747</v>
      </c>
    </row>
    <row r="108" spans="1:3" hidden="1">
      <c r="A108" s="65">
        <v>9000100</v>
      </c>
      <c r="B108" s="65" t="s">
        <v>801</v>
      </c>
      <c r="C108" s="65" t="s">
        <v>741</v>
      </c>
    </row>
    <row r="109" spans="1:3" hidden="1">
      <c r="A109" s="65">
        <v>9000101</v>
      </c>
      <c r="B109" s="65" t="s">
        <v>802</v>
      </c>
      <c r="C109" s="65" t="s">
        <v>686</v>
      </c>
    </row>
    <row r="110" spans="1:3" hidden="1">
      <c r="A110" s="65">
        <v>9000102</v>
      </c>
      <c r="B110" s="65" t="s">
        <v>803</v>
      </c>
      <c r="C110" s="65" t="s">
        <v>732</v>
      </c>
    </row>
    <row r="111" spans="1:3" hidden="1">
      <c r="A111" s="65">
        <v>9000103</v>
      </c>
      <c r="B111" s="65" t="s">
        <v>804</v>
      </c>
      <c r="C111" s="65" t="s">
        <v>805</v>
      </c>
    </row>
    <row r="112" spans="1:3" hidden="1">
      <c r="A112" s="65">
        <v>9000104</v>
      </c>
      <c r="B112" s="65" t="s">
        <v>806</v>
      </c>
      <c r="C112" s="65" t="s">
        <v>807</v>
      </c>
    </row>
    <row r="113" spans="1:3" hidden="1">
      <c r="A113" s="65">
        <v>9000105</v>
      </c>
      <c r="B113" s="65" t="s">
        <v>759</v>
      </c>
      <c r="C113" s="65" t="s">
        <v>677</v>
      </c>
    </row>
    <row r="114" spans="1:3" hidden="1">
      <c r="A114" s="65">
        <v>9000106</v>
      </c>
      <c r="B114" s="65" t="s">
        <v>808</v>
      </c>
      <c r="C114" s="65" t="s">
        <v>809</v>
      </c>
    </row>
    <row r="115" spans="1:3" hidden="1">
      <c r="A115" s="65">
        <v>9000107</v>
      </c>
      <c r="B115" s="65" t="s">
        <v>810</v>
      </c>
      <c r="C115" s="65" t="s">
        <v>809</v>
      </c>
    </row>
    <row r="116" spans="1:3" hidden="1">
      <c r="A116" s="65">
        <v>9000108</v>
      </c>
      <c r="B116" s="65" t="s">
        <v>811</v>
      </c>
      <c r="C116" s="65" t="s">
        <v>793</v>
      </c>
    </row>
    <row r="117" spans="1:3" hidden="1">
      <c r="A117" s="65">
        <v>9000109</v>
      </c>
      <c r="B117" s="65" t="s">
        <v>812</v>
      </c>
      <c r="C117" s="65" t="s">
        <v>813</v>
      </c>
    </row>
    <row r="118" spans="1:3" hidden="1">
      <c r="A118" s="65">
        <v>9000110</v>
      </c>
      <c r="B118" s="65" t="s">
        <v>814</v>
      </c>
      <c r="C118" s="65" t="s">
        <v>751</v>
      </c>
    </row>
    <row r="119" spans="1:3" hidden="1">
      <c r="A119" s="65">
        <v>9000111</v>
      </c>
      <c r="B119" s="65" t="s">
        <v>815</v>
      </c>
      <c r="C119" s="65" t="s">
        <v>816</v>
      </c>
    </row>
    <row r="120" spans="1:3" hidden="1">
      <c r="A120" s="65">
        <v>9000112</v>
      </c>
      <c r="B120" s="65" t="s">
        <v>817</v>
      </c>
      <c r="C120" s="65" t="s">
        <v>818</v>
      </c>
    </row>
    <row r="121" spans="1:3" hidden="1">
      <c r="A121" s="65">
        <v>9000113</v>
      </c>
      <c r="B121" s="65" t="s">
        <v>819</v>
      </c>
      <c r="C121" s="65" t="s">
        <v>786</v>
      </c>
    </row>
    <row r="122" spans="1:3" hidden="1">
      <c r="A122" s="65">
        <v>9000114</v>
      </c>
      <c r="B122" s="65" t="s">
        <v>820</v>
      </c>
      <c r="C122" s="65" t="s">
        <v>677</v>
      </c>
    </row>
    <row r="123" spans="1:3" hidden="1">
      <c r="A123" s="65">
        <v>9000115</v>
      </c>
      <c r="B123" s="65" t="s">
        <v>821</v>
      </c>
      <c r="C123" s="65" t="s">
        <v>805</v>
      </c>
    </row>
    <row r="124" spans="1:3" hidden="1">
      <c r="A124" s="65">
        <v>9000116</v>
      </c>
      <c r="B124" s="65" t="s">
        <v>822</v>
      </c>
      <c r="C124" s="65" t="s">
        <v>738</v>
      </c>
    </row>
    <row r="125" spans="1:3" hidden="1">
      <c r="A125" s="65">
        <v>9000118</v>
      </c>
      <c r="B125" s="65" t="s">
        <v>823</v>
      </c>
      <c r="C125" s="65" t="s">
        <v>813</v>
      </c>
    </row>
    <row r="126" spans="1:3" hidden="1">
      <c r="A126" s="65">
        <v>9000119</v>
      </c>
      <c r="B126" s="65" t="s">
        <v>824</v>
      </c>
      <c r="C126" s="65" t="s">
        <v>825</v>
      </c>
    </row>
    <row r="127" spans="1:3" hidden="1">
      <c r="A127" s="65">
        <v>9000120</v>
      </c>
      <c r="B127" s="65" t="s">
        <v>826</v>
      </c>
      <c r="C127" s="65" t="s">
        <v>827</v>
      </c>
    </row>
    <row r="128" spans="1:3" hidden="1">
      <c r="A128" s="65">
        <v>9000121</v>
      </c>
      <c r="B128" s="65" t="s">
        <v>828</v>
      </c>
      <c r="C128" s="65" t="s">
        <v>741</v>
      </c>
    </row>
    <row r="129" spans="1:3" hidden="1">
      <c r="A129" s="65">
        <v>9000122</v>
      </c>
      <c r="B129" s="65" t="s">
        <v>759</v>
      </c>
      <c r="C129" s="65" t="s">
        <v>677</v>
      </c>
    </row>
    <row r="130" spans="1:3" hidden="1">
      <c r="A130" s="65">
        <v>9000123</v>
      </c>
      <c r="B130" s="65" t="s">
        <v>829</v>
      </c>
      <c r="C130" s="65" t="s">
        <v>677</v>
      </c>
    </row>
    <row r="131" spans="1:3" hidden="1">
      <c r="A131" s="65">
        <v>9000124</v>
      </c>
      <c r="B131" s="65" t="s">
        <v>830</v>
      </c>
      <c r="C131" s="65" t="s">
        <v>670</v>
      </c>
    </row>
    <row r="132" spans="1:3" hidden="1">
      <c r="A132" s="65">
        <v>9000125</v>
      </c>
      <c r="B132" s="65" t="s">
        <v>831</v>
      </c>
      <c r="C132" s="65" t="s">
        <v>677</v>
      </c>
    </row>
    <row r="133" spans="1:3" hidden="1">
      <c r="A133" s="65">
        <v>9000126</v>
      </c>
      <c r="B133" s="65" t="s">
        <v>832</v>
      </c>
      <c r="C133" s="65" t="s">
        <v>670</v>
      </c>
    </row>
    <row r="134" spans="1:3" hidden="1">
      <c r="A134" s="65">
        <v>9000127</v>
      </c>
      <c r="B134" s="65" t="s">
        <v>833</v>
      </c>
      <c r="C134" s="65" t="s">
        <v>679</v>
      </c>
    </row>
    <row r="135" spans="1:3" hidden="1">
      <c r="A135" s="65">
        <v>9000128</v>
      </c>
      <c r="B135" s="65" t="s">
        <v>834</v>
      </c>
      <c r="C135" s="65" t="s">
        <v>677</v>
      </c>
    </row>
    <row r="136" spans="1:3" hidden="1">
      <c r="A136" s="65">
        <v>9000129</v>
      </c>
      <c r="B136" s="65" t="s">
        <v>835</v>
      </c>
      <c r="C136" s="65" t="s">
        <v>805</v>
      </c>
    </row>
    <row r="137" spans="1:3" hidden="1">
      <c r="A137" s="65">
        <v>9000130</v>
      </c>
      <c r="B137" s="65" t="s">
        <v>836</v>
      </c>
      <c r="C137" s="65" t="s">
        <v>677</v>
      </c>
    </row>
    <row r="138" spans="1:3" hidden="1">
      <c r="A138" s="65">
        <v>9000131</v>
      </c>
      <c r="B138" s="65" t="s">
        <v>837</v>
      </c>
      <c r="C138" s="65" t="s">
        <v>677</v>
      </c>
    </row>
    <row r="139" spans="1:3" hidden="1">
      <c r="A139" s="65">
        <v>9000132</v>
      </c>
      <c r="B139" s="65" t="s">
        <v>838</v>
      </c>
      <c r="C139" s="65" t="s">
        <v>723</v>
      </c>
    </row>
    <row r="140" spans="1:3" hidden="1">
      <c r="A140" s="65">
        <v>9000133</v>
      </c>
      <c r="B140" s="65" t="s">
        <v>839</v>
      </c>
      <c r="C140" s="65" t="s">
        <v>840</v>
      </c>
    </row>
    <row r="141" spans="1:3" hidden="1">
      <c r="A141" s="65">
        <v>9000134</v>
      </c>
      <c r="B141" s="65" t="s">
        <v>841</v>
      </c>
      <c r="C141" s="65" t="s">
        <v>793</v>
      </c>
    </row>
    <row r="142" spans="1:3" hidden="1">
      <c r="A142" s="65">
        <v>9000135</v>
      </c>
      <c r="B142" s="65" t="s">
        <v>842</v>
      </c>
      <c r="C142" s="65" t="s">
        <v>793</v>
      </c>
    </row>
    <row r="143" spans="1:3" hidden="1">
      <c r="A143" s="65">
        <v>9000136</v>
      </c>
      <c r="B143" s="65" t="s">
        <v>843</v>
      </c>
      <c r="C143" s="65" t="s">
        <v>698</v>
      </c>
    </row>
    <row r="144" spans="1:3" hidden="1">
      <c r="A144" s="65">
        <v>9000137</v>
      </c>
      <c r="B144" s="65" t="s">
        <v>844</v>
      </c>
      <c r="C144" s="65" t="s">
        <v>845</v>
      </c>
    </row>
    <row r="145" spans="1:3" hidden="1">
      <c r="A145" s="65">
        <v>9000138</v>
      </c>
      <c r="B145" s="65" t="s">
        <v>846</v>
      </c>
      <c r="C145" s="65" t="s">
        <v>719</v>
      </c>
    </row>
    <row r="146" spans="1:3" hidden="1">
      <c r="A146" s="65">
        <v>9000139</v>
      </c>
      <c r="B146" s="65" t="s">
        <v>847</v>
      </c>
      <c r="C146" s="65" t="s">
        <v>732</v>
      </c>
    </row>
    <row r="147" spans="1:3" hidden="1">
      <c r="A147" s="65">
        <v>9000140</v>
      </c>
      <c r="B147" s="65" t="s">
        <v>848</v>
      </c>
      <c r="C147" s="65" t="s">
        <v>677</v>
      </c>
    </row>
    <row r="148" spans="1:3" hidden="1">
      <c r="A148" s="65">
        <v>9000141</v>
      </c>
      <c r="B148" s="65" t="s">
        <v>849</v>
      </c>
      <c r="C148" s="65" t="s">
        <v>850</v>
      </c>
    </row>
    <row r="149" spans="1:3" hidden="1">
      <c r="A149" s="65">
        <v>9000142</v>
      </c>
      <c r="B149" s="65" t="s">
        <v>851</v>
      </c>
      <c r="C149" s="65" t="s">
        <v>852</v>
      </c>
    </row>
    <row r="150" spans="1:3" hidden="1">
      <c r="A150" s="65">
        <v>9000143</v>
      </c>
      <c r="B150" s="65" t="s">
        <v>853</v>
      </c>
      <c r="C150" s="65" t="s">
        <v>677</v>
      </c>
    </row>
    <row r="151" spans="1:3" hidden="1">
      <c r="A151" s="65">
        <v>9000144</v>
      </c>
      <c r="B151" s="65" t="s">
        <v>854</v>
      </c>
      <c r="C151" s="65" t="s">
        <v>683</v>
      </c>
    </row>
    <row r="152" spans="1:3" hidden="1">
      <c r="A152" s="65">
        <v>9000145</v>
      </c>
      <c r="B152" s="65" t="s">
        <v>855</v>
      </c>
      <c r="C152" s="65" t="s">
        <v>775</v>
      </c>
    </row>
    <row r="153" spans="1:3" hidden="1">
      <c r="A153" s="65">
        <v>9000146</v>
      </c>
      <c r="B153" s="65" t="s">
        <v>856</v>
      </c>
      <c r="C153" s="65" t="s">
        <v>670</v>
      </c>
    </row>
    <row r="154" spans="1:3" hidden="1">
      <c r="A154" s="65">
        <v>9000147</v>
      </c>
      <c r="B154" s="65" t="s">
        <v>857</v>
      </c>
      <c r="C154" s="65" t="s">
        <v>670</v>
      </c>
    </row>
    <row r="155" spans="1:3" hidden="1">
      <c r="A155" s="65">
        <v>9000148</v>
      </c>
      <c r="B155" s="65" t="s">
        <v>858</v>
      </c>
      <c r="C155" s="65" t="s">
        <v>809</v>
      </c>
    </row>
    <row r="156" spans="1:3" hidden="1">
      <c r="A156" s="65">
        <v>9000149</v>
      </c>
      <c r="B156" s="65" t="s">
        <v>859</v>
      </c>
      <c r="C156" s="65" t="s">
        <v>793</v>
      </c>
    </row>
    <row r="157" spans="1:3" hidden="1">
      <c r="A157" s="65">
        <v>9000150</v>
      </c>
      <c r="B157" s="65" t="s">
        <v>860</v>
      </c>
      <c r="C157" s="65" t="s">
        <v>793</v>
      </c>
    </row>
    <row r="158" spans="1:3" hidden="1">
      <c r="A158" s="65">
        <v>9000151</v>
      </c>
      <c r="B158" s="65" t="s">
        <v>861</v>
      </c>
      <c r="C158" s="65" t="s">
        <v>793</v>
      </c>
    </row>
    <row r="159" spans="1:3" hidden="1">
      <c r="A159" s="65">
        <v>9000152</v>
      </c>
      <c r="B159" s="65" t="s">
        <v>862</v>
      </c>
      <c r="C159" s="65" t="s">
        <v>775</v>
      </c>
    </row>
    <row r="160" spans="1:3" hidden="1">
      <c r="A160" s="65">
        <v>9000153</v>
      </c>
      <c r="B160" s="65" t="s">
        <v>863</v>
      </c>
      <c r="C160" s="65" t="s">
        <v>864</v>
      </c>
    </row>
    <row r="161" spans="1:3" hidden="1">
      <c r="A161" s="65">
        <v>9000154</v>
      </c>
      <c r="B161" s="65" t="s">
        <v>865</v>
      </c>
      <c r="C161" s="65" t="s">
        <v>775</v>
      </c>
    </row>
    <row r="162" spans="1:3" hidden="1">
      <c r="A162" s="65">
        <v>9000155</v>
      </c>
      <c r="B162" s="65" t="s">
        <v>866</v>
      </c>
      <c r="C162" s="65" t="s">
        <v>670</v>
      </c>
    </row>
    <row r="163" spans="1:3" hidden="1">
      <c r="A163" s="65">
        <v>9000156</v>
      </c>
      <c r="B163" s="65" t="s">
        <v>867</v>
      </c>
      <c r="C163" s="65" t="s">
        <v>807</v>
      </c>
    </row>
    <row r="164" spans="1:3" hidden="1">
      <c r="A164" s="65">
        <v>9000157</v>
      </c>
      <c r="B164" s="65" t="s">
        <v>868</v>
      </c>
      <c r="C164" s="65" t="s">
        <v>677</v>
      </c>
    </row>
    <row r="165" spans="1:3" hidden="1">
      <c r="A165" s="65">
        <v>9000158</v>
      </c>
      <c r="B165" s="65" t="s">
        <v>869</v>
      </c>
      <c r="C165" s="65" t="s">
        <v>677</v>
      </c>
    </row>
    <row r="166" spans="1:3" hidden="1">
      <c r="A166" s="65">
        <v>9000159</v>
      </c>
      <c r="B166" s="65" t="s">
        <v>870</v>
      </c>
      <c r="C166" s="65" t="s">
        <v>670</v>
      </c>
    </row>
    <row r="167" spans="1:3" hidden="1">
      <c r="A167" s="65">
        <v>9000160</v>
      </c>
      <c r="B167" s="65" t="s">
        <v>871</v>
      </c>
      <c r="C167" s="65" t="s">
        <v>723</v>
      </c>
    </row>
    <row r="168" spans="1:3" hidden="1">
      <c r="A168" s="65">
        <v>9000161</v>
      </c>
      <c r="B168" s="65" t="s">
        <v>872</v>
      </c>
      <c r="C168" s="65" t="s">
        <v>677</v>
      </c>
    </row>
    <row r="169" spans="1:3" hidden="1">
      <c r="A169" s="65">
        <v>9000162</v>
      </c>
      <c r="B169" s="65" t="s">
        <v>873</v>
      </c>
      <c r="C169" s="65" t="s">
        <v>723</v>
      </c>
    </row>
    <row r="170" spans="1:3" hidden="1">
      <c r="A170" s="65">
        <v>9000163</v>
      </c>
      <c r="B170" s="65" t="s">
        <v>874</v>
      </c>
      <c r="C170" s="65" t="s">
        <v>775</v>
      </c>
    </row>
    <row r="171" spans="1:3" hidden="1">
      <c r="A171" s="65">
        <v>9000164</v>
      </c>
      <c r="B171" s="65" t="s">
        <v>875</v>
      </c>
      <c r="C171" s="65" t="s">
        <v>677</v>
      </c>
    </row>
    <row r="172" spans="1:3" hidden="1">
      <c r="A172" s="65">
        <v>9000165</v>
      </c>
      <c r="B172" s="65" t="s">
        <v>876</v>
      </c>
      <c r="C172" s="65" t="s">
        <v>677</v>
      </c>
    </row>
    <row r="173" spans="1:3" hidden="1">
      <c r="A173" s="65">
        <v>9000166</v>
      </c>
      <c r="B173" s="65" t="s">
        <v>877</v>
      </c>
      <c r="C173" s="65" t="s">
        <v>751</v>
      </c>
    </row>
    <row r="174" spans="1:3" hidden="1">
      <c r="A174" s="65">
        <v>9000167</v>
      </c>
      <c r="B174" s="65" t="s">
        <v>878</v>
      </c>
      <c r="C174" s="65" t="s">
        <v>670</v>
      </c>
    </row>
    <row r="175" spans="1:3" hidden="1">
      <c r="A175" s="65">
        <v>9000168</v>
      </c>
      <c r="B175" s="65" t="s">
        <v>879</v>
      </c>
      <c r="C175" s="65" t="s">
        <v>880</v>
      </c>
    </row>
    <row r="176" spans="1:3" hidden="1">
      <c r="A176" s="65">
        <v>9000169</v>
      </c>
      <c r="B176" s="65" t="s">
        <v>881</v>
      </c>
      <c r="C176" s="65" t="s">
        <v>666</v>
      </c>
    </row>
    <row r="177" spans="1:3" hidden="1">
      <c r="A177" s="65">
        <v>9000170</v>
      </c>
      <c r="B177" s="65" t="s">
        <v>882</v>
      </c>
      <c r="C177" s="65" t="s">
        <v>738</v>
      </c>
    </row>
    <row r="178" spans="1:3" hidden="1">
      <c r="A178" s="65">
        <v>9000171</v>
      </c>
      <c r="B178" s="65" t="s">
        <v>883</v>
      </c>
      <c r="C178" s="65" t="s">
        <v>686</v>
      </c>
    </row>
    <row r="179" spans="1:3" hidden="1">
      <c r="A179" s="65">
        <v>9000172</v>
      </c>
      <c r="B179" s="65" t="s">
        <v>884</v>
      </c>
      <c r="C179" s="65" t="s">
        <v>786</v>
      </c>
    </row>
    <row r="180" spans="1:3" hidden="1">
      <c r="A180" s="65">
        <v>9000173</v>
      </c>
      <c r="B180" s="65" t="s">
        <v>885</v>
      </c>
      <c r="C180" s="65" t="s">
        <v>793</v>
      </c>
    </row>
    <row r="181" spans="1:3" hidden="1">
      <c r="A181" s="65">
        <v>9000174</v>
      </c>
      <c r="B181" s="65" t="s">
        <v>886</v>
      </c>
      <c r="C181" s="65" t="s">
        <v>793</v>
      </c>
    </row>
    <row r="182" spans="1:3" hidden="1">
      <c r="A182" s="65">
        <v>9000175</v>
      </c>
      <c r="B182" s="65" t="s">
        <v>887</v>
      </c>
      <c r="C182" s="65" t="s">
        <v>786</v>
      </c>
    </row>
    <row r="183" spans="1:3" hidden="1">
      <c r="A183" s="65">
        <v>9000176</v>
      </c>
      <c r="B183" s="65" t="s">
        <v>888</v>
      </c>
      <c r="C183" s="65" t="s">
        <v>793</v>
      </c>
    </row>
    <row r="184" spans="1:3" hidden="1">
      <c r="A184" s="65">
        <v>9000177</v>
      </c>
      <c r="B184" s="65" t="s">
        <v>889</v>
      </c>
      <c r="C184" s="65" t="s">
        <v>793</v>
      </c>
    </row>
    <row r="185" spans="1:3" hidden="1">
      <c r="A185" s="65">
        <v>9000178</v>
      </c>
      <c r="B185" s="65" t="s">
        <v>890</v>
      </c>
      <c r="C185" s="65" t="s">
        <v>793</v>
      </c>
    </row>
    <row r="186" spans="1:3" hidden="1">
      <c r="A186" s="65">
        <v>9000179</v>
      </c>
      <c r="B186" s="65" t="s">
        <v>891</v>
      </c>
      <c r="C186" s="65" t="s">
        <v>793</v>
      </c>
    </row>
    <row r="187" spans="1:3" hidden="1">
      <c r="A187" s="65">
        <v>9000180</v>
      </c>
      <c r="B187" s="65" t="s">
        <v>892</v>
      </c>
      <c r="C187" s="65" t="s">
        <v>893</v>
      </c>
    </row>
    <row r="188" spans="1:3" hidden="1">
      <c r="A188" s="65">
        <v>9000181</v>
      </c>
      <c r="B188" s="65" t="s">
        <v>894</v>
      </c>
      <c r="C188" s="65" t="s">
        <v>670</v>
      </c>
    </row>
    <row r="189" spans="1:3" hidden="1">
      <c r="A189" s="65">
        <v>9000182</v>
      </c>
      <c r="B189" s="65" t="s">
        <v>895</v>
      </c>
      <c r="C189" s="65" t="s">
        <v>660</v>
      </c>
    </row>
    <row r="190" spans="1:3" hidden="1">
      <c r="A190" s="65">
        <v>9000183</v>
      </c>
      <c r="B190" s="65" t="s">
        <v>896</v>
      </c>
      <c r="C190" s="65" t="s">
        <v>850</v>
      </c>
    </row>
    <row r="191" spans="1:3" hidden="1">
      <c r="A191" s="65">
        <v>9000184</v>
      </c>
      <c r="B191" s="65" t="s">
        <v>897</v>
      </c>
      <c r="C191" s="65" t="s">
        <v>793</v>
      </c>
    </row>
    <row r="192" spans="1:3" hidden="1">
      <c r="A192" s="65">
        <v>9000185</v>
      </c>
      <c r="B192" s="65" t="s">
        <v>898</v>
      </c>
      <c r="C192" s="65" t="s">
        <v>793</v>
      </c>
    </row>
    <row r="193" spans="1:3" hidden="1">
      <c r="A193" s="65">
        <v>9000186</v>
      </c>
      <c r="B193" s="65" t="s">
        <v>899</v>
      </c>
      <c r="C193" s="65" t="s">
        <v>900</v>
      </c>
    </row>
    <row r="194" spans="1:3" hidden="1">
      <c r="A194" s="65">
        <v>9000187</v>
      </c>
      <c r="B194" s="65" t="s">
        <v>901</v>
      </c>
      <c r="C194" s="65" t="s">
        <v>775</v>
      </c>
    </row>
    <row r="195" spans="1:3" hidden="1">
      <c r="A195" s="65">
        <v>9000188</v>
      </c>
      <c r="B195" s="65" t="s">
        <v>902</v>
      </c>
      <c r="C195" s="65" t="s">
        <v>664</v>
      </c>
    </row>
    <row r="196" spans="1:3" hidden="1">
      <c r="A196" s="65">
        <v>9000189</v>
      </c>
      <c r="B196" s="65" t="s">
        <v>903</v>
      </c>
      <c r="C196" s="65" t="s">
        <v>743</v>
      </c>
    </row>
    <row r="197" spans="1:3" hidden="1">
      <c r="A197" s="65">
        <v>9000190</v>
      </c>
      <c r="B197" s="65" t="s">
        <v>904</v>
      </c>
      <c r="C197" s="65" t="s">
        <v>677</v>
      </c>
    </row>
    <row r="198" spans="1:3" hidden="1">
      <c r="A198" s="65">
        <v>9000191</v>
      </c>
      <c r="B198" s="65" t="s">
        <v>905</v>
      </c>
      <c r="C198" s="65" t="s">
        <v>805</v>
      </c>
    </row>
    <row r="199" spans="1:3" hidden="1">
      <c r="A199" s="65">
        <v>9000192</v>
      </c>
      <c r="B199" s="65" t="s">
        <v>906</v>
      </c>
      <c r="C199" s="65" t="s">
        <v>805</v>
      </c>
    </row>
    <row r="200" spans="1:3" hidden="1">
      <c r="A200" s="65">
        <v>9000193</v>
      </c>
      <c r="B200" s="65" t="s">
        <v>907</v>
      </c>
      <c r="C200" s="65" t="s">
        <v>908</v>
      </c>
    </row>
    <row r="201" spans="1:3" hidden="1">
      <c r="A201" s="65">
        <v>9000194</v>
      </c>
      <c r="B201" s="65" t="s">
        <v>909</v>
      </c>
      <c r="C201" s="65" t="s">
        <v>910</v>
      </c>
    </row>
    <row r="202" spans="1:3" hidden="1">
      <c r="A202" s="65">
        <v>9000195</v>
      </c>
      <c r="B202" s="65" t="s">
        <v>911</v>
      </c>
      <c r="C202" s="65" t="s">
        <v>723</v>
      </c>
    </row>
    <row r="203" spans="1:3" hidden="1">
      <c r="A203" s="65">
        <v>9000196</v>
      </c>
      <c r="B203" s="65" t="s">
        <v>912</v>
      </c>
      <c r="C203" s="65" t="s">
        <v>677</v>
      </c>
    </row>
    <row r="204" spans="1:3" hidden="1">
      <c r="A204" s="65">
        <v>9000197</v>
      </c>
      <c r="B204" s="65" t="s">
        <v>913</v>
      </c>
      <c r="C204" s="65" t="s">
        <v>677</v>
      </c>
    </row>
    <row r="205" spans="1:3" hidden="1">
      <c r="A205" s="65">
        <v>9000198</v>
      </c>
      <c r="B205" s="65" t="s">
        <v>914</v>
      </c>
      <c r="C205" s="65" t="s">
        <v>793</v>
      </c>
    </row>
    <row r="206" spans="1:3" hidden="1">
      <c r="A206" s="65">
        <v>9000199</v>
      </c>
      <c r="B206" s="65" t="s">
        <v>915</v>
      </c>
      <c r="C206" s="65" t="s">
        <v>664</v>
      </c>
    </row>
    <row r="207" spans="1:3" hidden="1">
      <c r="A207" s="65">
        <v>9000200</v>
      </c>
      <c r="B207" s="65" t="s">
        <v>916</v>
      </c>
      <c r="C207" s="65" t="s">
        <v>664</v>
      </c>
    </row>
    <row r="208" spans="1:3" hidden="1">
      <c r="A208" s="65">
        <v>9000201</v>
      </c>
      <c r="B208" s="65" t="s">
        <v>917</v>
      </c>
      <c r="C208" s="65" t="s">
        <v>805</v>
      </c>
    </row>
    <row r="209" spans="1:3" hidden="1">
      <c r="A209" s="65">
        <v>9000202</v>
      </c>
      <c r="B209" s="65" t="s">
        <v>918</v>
      </c>
      <c r="C209" s="65" t="s">
        <v>738</v>
      </c>
    </row>
    <row r="210" spans="1:3" hidden="1">
      <c r="A210" s="65">
        <v>9000203</v>
      </c>
      <c r="B210" s="65" t="s">
        <v>919</v>
      </c>
      <c r="C210" s="65" t="s">
        <v>664</v>
      </c>
    </row>
    <row r="211" spans="1:3" hidden="1">
      <c r="A211" s="65">
        <v>9000204</v>
      </c>
      <c r="B211" s="65" t="s">
        <v>920</v>
      </c>
      <c r="C211" s="65" t="s">
        <v>788</v>
      </c>
    </row>
    <row r="212" spans="1:3" hidden="1">
      <c r="A212" s="65">
        <v>9000205</v>
      </c>
      <c r="B212" s="65" t="s">
        <v>921</v>
      </c>
      <c r="C212" s="65" t="s">
        <v>775</v>
      </c>
    </row>
    <row r="213" spans="1:3" hidden="1">
      <c r="A213" s="65">
        <v>9000206</v>
      </c>
      <c r="B213" s="65" t="s">
        <v>922</v>
      </c>
      <c r="C213" s="65" t="s">
        <v>923</v>
      </c>
    </row>
    <row r="214" spans="1:3" hidden="1">
      <c r="A214" s="65">
        <v>9000207</v>
      </c>
      <c r="B214" s="65" t="s">
        <v>924</v>
      </c>
      <c r="C214" s="65" t="s">
        <v>795</v>
      </c>
    </row>
    <row r="215" spans="1:3" hidden="1">
      <c r="A215" s="65">
        <v>9000208</v>
      </c>
      <c r="B215" s="65" t="s">
        <v>925</v>
      </c>
      <c r="C215" s="65" t="s">
        <v>926</v>
      </c>
    </row>
    <row r="216" spans="1:3" hidden="1">
      <c r="A216" s="65">
        <v>9000209</v>
      </c>
      <c r="B216" s="65" t="s">
        <v>927</v>
      </c>
      <c r="C216" s="65" t="s">
        <v>741</v>
      </c>
    </row>
    <row r="217" spans="1:3" hidden="1">
      <c r="A217" s="65">
        <v>9000210</v>
      </c>
      <c r="B217" s="65" t="s">
        <v>928</v>
      </c>
      <c r="C217" s="65" t="s">
        <v>670</v>
      </c>
    </row>
    <row r="218" spans="1:3" hidden="1">
      <c r="A218" s="65">
        <v>9000211</v>
      </c>
      <c r="B218" s="65" t="s">
        <v>929</v>
      </c>
      <c r="C218" s="65" t="s">
        <v>840</v>
      </c>
    </row>
    <row r="219" spans="1:3" hidden="1">
      <c r="A219" s="65">
        <v>9000212</v>
      </c>
      <c r="B219" s="65" t="s">
        <v>930</v>
      </c>
      <c r="C219" s="65" t="s">
        <v>793</v>
      </c>
    </row>
    <row r="220" spans="1:3" hidden="1">
      <c r="A220" s="65">
        <v>9000213</v>
      </c>
      <c r="B220" s="65" t="s">
        <v>931</v>
      </c>
      <c r="C220" s="65" t="s">
        <v>677</v>
      </c>
    </row>
    <row r="221" spans="1:3" hidden="1">
      <c r="A221" s="65">
        <v>9000214</v>
      </c>
      <c r="B221" s="65" t="s">
        <v>932</v>
      </c>
      <c r="C221" s="65" t="s">
        <v>775</v>
      </c>
    </row>
    <row r="222" spans="1:3" hidden="1">
      <c r="A222" s="65">
        <v>9000215</v>
      </c>
      <c r="B222" s="65" t="s">
        <v>933</v>
      </c>
      <c r="C222" s="65" t="s">
        <v>825</v>
      </c>
    </row>
    <row r="223" spans="1:3" hidden="1">
      <c r="A223" s="65">
        <v>9000216</v>
      </c>
      <c r="B223" s="65" t="s">
        <v>934</v>
      </c>
      <c r="C223" s="65" t="s">
        <v>732</v>
      </c>
    </row>
    <row r="224" spans="1:3" hidden="1">
      <c r="A224" s="65">
        <v>9000217</v>
      </c>
      <c r="B224" s="65" t="s">
        <v>935</v>
      </c>
      <c r="C224" s="65" t="s">
        <v>751</v>
      </c>
    </row>
    <row r="225" spans="1:3" hidden="1">
      <c r="A225" s="65">
        <v>9000218</v>
      </c>
      <c r="B225" s="65" t="s">
        <v>936</v>
      </c>
      <c r="C225" s="65" t="s">
        <v>937</v>
      </c>
    </row>
    <row r="226" spans="1:3" hidden="1">
      <c r="A226" s="65">
        <v>9000219</v>
      </c>
      <c r="B226" s="65" t="s">
        <v>938</v>
      </c>
      <c r="C226" s="65" t="s">
        <v>743</v>
      </c>
    </row>
    <row r="227" spans="1:3" hidden="1">
      <c r="A227" s="65">
        <v>9000220</v>
      </c>
      <c r="B227" s="65" t="s">
        <v>939</v>
      </c>
      <c r="C227" s="65" t="s">
        <v>711</v>
      </c>
    </row>
    <row r="228" spans="1:3" hidden="1">
      <c r="A228" s="65">
        <v>9000221</v>
      </c>
      <c r="B228" s="65" t="s">
        <v>940</v>
      </c>
      <c r="C228" s="65" t="s">
        <v>807</v>
      </c>
    </row>
    <row r="229" spans="1:3" hidden="1">
      <c r="A229" s="65">
        <v>9000222</v>
      </c>
      <c r="B229" s="65" t="s">
        <v>941</v>
      </c>
      <c r="C229" s="65" t="s">
        <v>942</v>
      </c>
    </row>
    <row r="230" spans="1:3" hidden="1">
      <c r="A230" s="65">
        <v>9000223</v>
      </c>
      <c r="B230" s="65" t="s">
        <v>943</v>
      </c>
      <c r="C230" s="65" t="s">
        <v>805</v>
      </c>
    </row>
    <row r="231" spans="1:3" hidden="1">
      <c r="A231" s="65">
        <v>9000224</v>
      </c>
      <c r="B231" s="65" t="s">
        <v>944</v>
      </c>
      <c r="C231" s="65" t="s">
        <v>693</v>
      </c>
    </row>
    <row r="232" spans="1:3" hidden="1">
      <c r="A232" s="65">
        <v>9000225</v>
      </c>
      <c r="B232" s="65" t="s">
        <v>945</v>
      </c>
      <c r="C232" s="65" t="s">
        <v>677</v>
      </c>
    </row>
    <row r="233" spans="1:3" hidden="1">
      <c r="A233" s="65">
        <v>9000226</v>
      </c>
      <c r="B233" s="65" t="s">
        <v>946</v>
      </c>
      <c r="C233" s="65" t="s">
        <v>677</v>
      </c>
    </row>
    <row r="234" spans="1:3" hidden="1">
      <c r="A234" s="65">
        <v>9000227</v>
      </c>
      <c r="B234" s="65" t="s">
        <v>947</v>
      </c>
      <c r="C234" s="65" t="s">
        <v>948</v>
      </c>
    </row>
    <row r="235" spans="1:3" hidden="1">
      <c r="A235" s="65">
        <v>9000228</v>
      </c>
      <c r="B235" s="65" t="s">
        <v>949</v>
      </c>
      <c r="C235" s="65" t="s">
        <v>813</v>
      </c>
    </row>
    <row r="236" spans="1:3" hidden="1">
      <c r="A236" s="65">
        <v>9000229</v>
      </c>
      <c r="B236" s="65" t="s">
        <v>950</v>
      </c>
      <c r="C236" s="65" t="s">
        <v>670</v>
      </c>
    </row>
    <row r="237" spans="1:3" hidden="1">
      <c r="A237" s="65">
        <v>9000230</v>
      </c>
      <c r="B237" s="65" t="s">
        <v>951</v>
      </c>
      <c r="C237" s="65" t="s">
        <v>670</v>
      </c>
    </row>
    <row r="238" spans="1:3" hidden="1">
      <c r="A238" s="65">
        <v>9000231</v>
      </c>
      <c r="B238" s="65" t="s">
        <v>952</v>
      </c>
      <c r="C238" s="65" t="s">
        <v>677</v>
      </c>
    </row>
    <row r="239" spans="1:3" hidden="1">
      <c r="A239" s="65">
        <v>9000232</v>
      </c>
      <c r="B239" s="65" t="s">
        <v>953</v>
      </c>
      <c r="C239" s="65" t="s">
        <v>698</v>
      </c>
    </row>
    <row r="240" spans="1:3" hidden="1">
      <c r="A240" s="65">
        <v>9000233</v>
      </c>
      <c r="B240" s="65" t="s">
        <v>954</v>
      </c>
      <c r="C240" s="65" t="s">
        <v>674</v>
      </c>
    </row>
    <row r="241" spans="1:3" hidden="1">
      <c r="A241" s="65">
        <v>9000234</v>
      </c>
      <c r="B241" s="65" t="s">
        <v>955</v>
      </c>
      <c r="C241" s="65" t="s">
        <v>677</v>
      </c>
    </row>
    <row r="242" spans="1:3" hidden="1">
      <c r="A242" s="65">
        <v>9000235</v>
      </c>
      <c r="B242" s="65" t="s">
        <v>956</v>
      </c>
      <c r="C242" s="65" t="s">
        <v>850</v>
      </c>
    </row>
    <row r="243" spans="1:3" hidden="1">
      <c r="A243" s="65">
        <v>9000236</v>
      </c>
      <c r="B243" s="65" t="s">
        <v>957</v>
      </c>
      <c r="C243" s="65" t="s">
        <v>677</v>
      </c>
    </row>
    <row r="244" spans="1:3" hidden="1">
      <c r="A244" s="65">
        <v>9000237</v>
      </c>
      <c r="B244" s="65" t="s">
        <v>958</v>
      </c>
      <c r="C244" s="65" t="s">
        <v>775</v>
      </c>
    </row>
    <row r="245" spans="1:3" hidden="1">
      <c r="A245" s="65">
        <v>9000238</v>
      </c>
      <c r="B245" s="65" t="s">
        <v>959</v>
      </c>
      <c r="C245" s="65" t="s">
        <v>677</v>
      </c>
    </row>
    <row r="246" spans="1:3" hidden="1">
      <c r="A246" s="65">
        <v>9000239</v>
      </c>
      <c r="B246" s="65" t="s">
        <v>960</v>
      </c>
      <c r="C246" s="65" t="s">
        <v>827</v>
      </c>
    </row>
    <row r="247" spans="1:3" hidden="1">
      <c r="A247" s="65">
        <v>9000240</v>
      </c>
      <c r="B247" s="65" t="s">
        <v>961</v>
      </c>
      <c r="C247" s="65" t="s">
        <v>788</v>
      </c>
    </row>
    <row r="248" spans="1:3" hidden="1">
      <c r="A248" s="65">
        <v>9000241</v>
      </c>
      <c r="B248" s="65" t="s">
        <v>962</v>
      </c>
      <c r="C248" s="65" t="s">
        <v>677</v>
      </c>
    </row>
    <row r="249" spans="1:3" hidden="1">
      <c r="A249" s="65">
        <v>9000242</v>
      </c>
      <c r="B249" s="65" t="s">
        <v>963</v>
      </c>
      <c r="C249" s="65" t="s">
        <v>741</v>
      </c>
    </row>
    <row r="250" spans="1:3" hidden="1">
      <c r="A250" s="65">
        <v>9000243</v>
      </c>
      <c r="B250" s="65" t="s">
        <v>964</v>
      </c>
      <c r="C250" s="65" t="s">
        <v>825</v>
      </c>
    </row>
    <row r="251" spans="1:3" hidden="1">
      <c r="A251" s="65">
        <v>9000244</v>
      </c>
      <c r="B251" s="65" t="s">
        <v>965</v>
      </c>
      <c r="C251" s="65" t="s">
        <v>664</v>
      </c>
    </row>
    <row r="252" spans="1:3" hidden="1">
      <c r="A252" s="65">
        <v>9000245</v>
      </c>
      <c r="B252" s="65" t="s">
        <v>966</v>
      </c>
      <c r="C252" s="65" t="s">
        <v>967</v>
      </c>
    </row>
    <row r="253" spans="1:3" hidden="1">
      <c r="A253" s="65">
        <v>9000246</v>
      </c>
      <c r="B253" s="65" t="s">
        <v>968</v>
      </c>
      <c r="C253" s="65" t="s">
        <v>695</v>
      </c>
    </row>
    <row r="254" spans="1:3" hidden="1">
      <c r="A254" s="65">
        <v>9000247</v>
      </c>
      <c r="B254" s="65" t="s">
        <v>969</v>
      </c>
      <c r="C254" s="65" t="s">
        <v>775</v>
      </c>
    </row>
    <row r="255" spans="1:3" hidden="1">
      <c r="A255" s="65">
        <v>9000248</v>
      </c>
      <c r="B255" s="65" t="s">
        <v>970</v>
      </c>
      <c r="C255" s="65" t="s">
        <v>805</v>
      </c>
    </row>
    <row r="256" spans="1:3" hidden="1">
      <c r="A256" s="65">
        <v>9000249</v>
      </c>
      <c r="B256" s="65" t="s">
        <v>971</v>
      </c>
      <c r="C256" s="65" t="s">
        <v>805</v>
      </c>
    </row>
    <row r="257" spans="1:3" hidden="1">
      <c r="A257" s="65">
        <v>9000250</v>
      </c>
      <c r="B257" s="65" t="s">
        <v>972</v>
      </c>
      <c r="C257" s="65" t="s">
        <v>793</v>
      </c>
    </row>
    <row r="258" spans="1:3" hidden="1">
      <c r="A258" s="65">
        <v>9000251</v>
      </c>
      <c r="B258" s="65" t="s">
        <v>973</v>
      </c>
      <c r="C258" s="65" t="s">
        <v>786</v>
      </c>
    </row>
    <row r="259" spans="1:3" hidden="1">
      <c r="A259" s="65">
        <v>9000252</v>
      </c>
      <c r="B259" s="65" t="s">
        <v>974</v>
      </c>
      <c r="C259" s="65" t="s">
        <v>677</v>
      </c>
    </row>
    <row r="260" spans="1:3" hidden="1">
      <c r="A260" s="65">
        <v>9000253</v>
      </c>
      <c r="B260" s="65" t="s">
        <v>975</v>
      </c>
      <c r="C260" s="65" t="s">
        <v>677</v>
      </c>
    </row>
    <row r="261" spans="1:3" hidden="1">
      <c r="A261" s="65">
        <v>9000254</v>
      </c>
      <c r="B261" s="65" t="s">
        <v>976</v>
      </c>
      <c r="C261" s="65" t="s">
        <v>677</v>
      </c>
    </row>
    <row r="262" spans="1:3" hidden="1">
      <c r="A262" s="65">
        <v>9000255</v>
      </c>
      <c r="B262" s="65" t="s">
        <v>977</v>
      </c>
      <c r="C262" s="65" t="s">
        <v>738</v>
      </c>
    </row>
    <row r="263" spans="1:3" hidden="1">
      <c r="A263" s="65">
        <v>9000256</v>
      </c>
      <c r="B263" s="65" t="s">
        <v>978</v>
      </c>
      <c r="C263" s="65" t="s">
        <v>738</v>
      </c>
    </row>
    <row r="264" spans="1:3" hidden="1">
      <c r="A264" s="65">
        <v>9000257</v>
      </c>
      <c r="B264" s="65" t="s">
        <v>979</v>
      </c>
      <c r="C264" s="65" t="s">
        <v>775</v>
      </c>
    </row>
    <row r="265" spans="1:3" hidden="1">
      <c r="A265" s="65">
        <v>9000258</v>
      </c>
      <c r="B265" s="65" t="s">
        <v>980</v>
      </c>
      <c r="C265" s="65" t="s">
        <v>670</v>
      </c>
    </row>
    <row r="266" spans="1:3" hidden="1">
      <c r="A266" s="65">
        <v>9000259</v>
      </c>
      <c r="B266" s="65" t="s">
        <v>981</v>
      </c>
      <c r="C266" s="65" t="s">
        <v>677</v>
      </c>
    </row>
    <row r="267" spans="1:3" hidden="1">
      <c r="A267" s="65">
        <v>9000260</v>
      </c>
      <c r="B267" s="65" t="s">
        <v>982</v>
      </c>
      <c r="C267" s="65" t="s">
        <v>788</v>
      </c>
    </row>
    <row r="268" spans="1:3" hidden="1">
      <c r="A268" s="65">
        <v>9000261</v>
      </c>
      <c r="B268" s="65" t="s">
        <v>983</v>
      </c>
      <c r="C268" s="65" t="s">
        <v>677</v>
      </c>
    </row>
    <row r="269" spans="1:3" hidden="1">
      <c r="A269" s="65">
        <v>9000262</v>
      </c>
      <c r="B269" s="65" t="s">
        <v>984</v>
      </c>
      <c r="C269" s="65" t="s">
        <v>677</v>
      </c>
    </row>
    <row r="270" spans="1:3" hidden="1">
      <c r="A270" s="65">
        <v>9000263</v>
      </c>
      <c r="B270" s="65" t="s">
        <v>985</v>
      </c>
      <c r="C270" s="65" t="s">
        <v>795</v>
      </c>
    </row>
    <row r="271" spans="1:3" hidden="1">
      <c r="A271" s="65">
        <v>9000264</v>
      </c>
      <c r="B271" s="65" t="s">
        <v>986</v>
      </c>
      <c r="C271" s="65" t="s">
        <v>786</v>
      </c>
    </row>
    <row r="272" spans="1:3" hidden="1">
      <c r="A272" s="65">
        <v>9000265</v>
      </c>
      <c r="B272" s="65" t="s">
        <v>987</v>
      </c>
      <c r="C272" s="65" t="s">
        <v>786</v>
      </c>
    </row>
    <row r="273" spans="1:3" hidden="1">
      <c r="A273" s="65">
        <v>9000266</v>
      </c>
      <c r="B273" s="65" t="s">
        <v>988</v>
      </c>
      <c r="C273" s="65" t="s">
        <v>677</v>
      </c>
    </row>
    <row r="274" spans="1:3" hidden="1">
      <c r="A274" s="65">
        <v>9000267</v>
      </c>
      <c r="B274" s="65" t="s">
        <v>989</v>
      </c>
      <c r="C274" s="65" t="s">
        <v>990</v>
      </c>
    </row>
    <row r="275" spans="1:3" hidden="1">
      <c r="A275" s="65">
        <v>9000268</v>
      </c>
      <c r="B275" s="65" t="s">
        <v>991</v>
      </c>
      <c r="C275" s="65" t="s">
        <v>677</v>
      </c>
    </row>
    <row r="276" spans="1:3" hidden="1">
      <c r="A276" s="65">
        <v>9000269</v>
      </c>
      <c r="B276" s="65" t="s">
        <v>992</v>
      </c>
      <c r="C276" s="65" t="s">
        <v>850</v>
      </c>
    </row>
    <row r="277" spans="1:3" hidden="1">
      <c r="A277" s="65">
        <v>9000270</v>
      </c>
      <c r="B277" s="65" t="s">
        <v>993</v>
      </c>
      <c r="C277" s="65" t="s">
        <v>666</v>
      </c>
    </row>
    <row r="278" spans="1:3" hidden="1">
      <c r="A278" s="65">
        <v>9000271</v>
      </c>
      <c r="B278" s="65" t="s">
        <v>994</v>
      </c>
      <c r="C278" s="65" t="s">
        <v>995</v>
      </c>
    </row>
    <row r="279" spans="1:3" hidden="1">
      <c r="A279" s="65">
        <v>9000272</v>
      </c>
      <c r="B279" s="65" t="s">
        <v>996</v>
      </c>
      <c r="C279" s="65" t="s">
        <v>777</v>
      </c>
    </row>
    <row r="280" spans="1:3" hidden="1">
      <c r="A280" s="65">
        <v>9000273</v>
      </c>
      <c r="B280" s="65" t="s">
        <v>997</v>
      </c>
      <c r="C280" s="65" t="s">
        <v>677</v>
      </c>
    </row>
    <row r="281" spans="1:3" hidden="1">
      <c r="A281" s="65">
        <v>9000274</v>
      </c>
      <c r="B281" s="65" t="s">
        <v>998</v>
      </c>
      <c r="C281" s="65" t="s">
        <v>677</v>
      </c>
    </row>
    <row r="282" spans="1:3" hidden="1">
      <c r="A282" s="65">
        <v>9000275</v>
      </c>
      <c r="B282" s="65" t="s">
        <v>999</v>
      </c>
      <c r="C282" s="65" t="s">
        <v>805</v>
      </c>
    </row>
    <row r="283" spans="1:3" hidden="1">
      <c r="A283" s="65">
        <v>9000276</v>
      </c>
      <c r="B283" s="65" t="s">
        <v>1000</v>
      </c>
      <c r="C283" s="65" t="s">
        <v>786</v>
      </c>
    </row>
    <row r="284" spans="1:3" hidden="1">
      <c r="A284" s="65">
        <v>9000277</v>
      </c>
      <c r="B284" s="65" t="s">
        <v>1001</v>
      </c>
      <c r="C284" s="65" t="s">
        <v>805</v>
      </c>
    </row>
    <row r="285" spans="1:3" hidden="1">
      <c r="A285" s="65">
        <v>9000278</v>
      </c>
      <c r="B285" s="65" t="s">
        <v>1002</v>
      </c>
      <c r="C285" s="65" t="s">
        <v>664</v>
      </c>
    </row>
    <row r="286" spans="1:3" hidden="1">
      <c r="A286" s="65">
        <v>9000279</v>
      </c>
      <c r="B286" s="65" t="s">
        <v>1003</v>
      </c>
      <c r="C286" s="65" t="s">
        <v>677</v>
      </c>
    </row>
    <row r="287" spans="1:3" hidden="1">
      <c r="A287" s="65">
        <v>9000280</v>
      </c>
      <c r="B287" s="65" t="s">
        <v>1004</v>
      </c>
      <c r="C287" s="65" t="s">
        <v>677</v>
      </c>
    </row>
    <row r="288" spans="1:3" hidden="1">
      <c r="A288" s="65">
        <v>9000281</v>
      </c>
      <c r="B288" s="65" t="s">
        <v>1005</v>
      </c>
      <c r="C288" s="65" t="s">
        <v>677</v>
      </c>
    </row>
    <row r="289" spans="1:3" hidden="1">
      <c r="A289" s="65">
        <v>9000282</v>
      </c>
      <c r="B289" s="65" t="s">
        <v>1006</v>
      </c>
      <c r="C289" s="65" t="s">
        <v>677</v>
      </c>
    </row>
    <row r="290" spans="1:3" hidden="1">
      <c r="A290" s="65">
        <v>9000283</v>
      </c>
      <c r="B290" s="65" t="s">
        <v>1007</v>
      </c>
      <c r="C290" s="65" t="s">
        <v>698</v>
      </c>
    </row>
    <row r="291" spans="1:3" hidden="1">
      <c r="A291" s="65">
        <v>9000284</v>
      </c>
      <c r="B291" s="65" t="s">
        <v>1008</v>
      </c>
      <c r="C291" s="65" t="s">
        <v>942</v>
      </c>
    </row>
    <row r="292" spans="1:3" hidden="1">
      <c r="A292" s="65">
        <v>9000285</v>
      </c>
      <c r="B292" s="65" t="s">
        <v>1009</v>
      </c>
      <c r="C292" s="65" t="s">
        <v>775</v>
      </c>
    </row>
    <row r="293" spans="1:3" hidden="1">
      <c r="A293" s="65">
        <v>9000286</v>
      </c>
      <c r="B293" s="65" t="s">
        <v>1010</v>
      </c>
      <c r="C293" s="65" t="s">
        <v>745</v>
      </c>
    </row>
    <row r="294" spans="1:3" hidden="1">
      <c r="A294" s="65">
        <v>9000287</v>
      </c>
      <c r="B294" s="65" t="s">
        <v>1011</v>
      </c>
      <c r="C294" s="65" t="s">
        <v>827</v>
      </c>
    </row>
    <row r="295" spans="1:3" hidden="1">
      <c r="A295" s="65">
        <v>9000288</v>
      </c>
      <c r="B295" s="65" t="s">
        <v>1012</v>
      </c>
      <c r="C295" s="65" t="s">
        <v>747</v>
      </c>
    </row>
    <row r="296" spans="1:3" hidden="1">
      <c r="A296" s="65">
        <v>9000289</v>
      </c>
      <c r="B296" s="65" t="s">
        <v>1013</v>
      </c>
      <c r="C296" s="65" t="s">
        <v>942</v>
      </c>
    </row>
    <row r="297" spans="1:3" hidden="1">
      <c r="A297" s="65">
        <v>9000290</v>
      </c>
      <c r="B297" s="65" t="s">
        <v>1014</v>
      </c>
      <c r="C297" s="65" t="s">
        <v>751</v>
      </c>
    </row>
    <row r="298" spans="1:3" hidden="1">
      <c r="A298" s="65">
        <v>9000291</v>
      </c>
      <c r="B298" s="65" t="s">
        <v>1015</v>
      </c>
      <c r="C298" s="65" t="s">
        <v>677</v>
      </c>
    </row>
    <row r="299" spans="1:3" hidden="1">
      <c r="A299" s="65">
        <v>9000292</v>
      </c>
      <c r="B299" s="65" t="s">
        <v>1016</v>
      </c>
      <c r="C299" s="65" t="s">
        <v>1017</v>
      </c>
    </row>
    <row r="300" spans="1:3" hidden="1">
      <c r="A300" s="65">
        <v>9000293</v>
      </c>
      <c r="B300" s="65" t="s">
        <v>1018</v>
      </c>
      <c r="C300" s="65" t="s">
        <v>743</v>
      </c>
    </row>
    <row r="301" spans="1:3" hidden="1">
      <c r="A301" s="65">
        <v>9000294</v>
      </c>
      <c r="B301" s="65" t="s">
        <v>1019</v>
      </c>
      <c r="C301" s="65" t="s">
        <v>775</v>
      </c>
    </row>
    <row r="302" spans="1:3" hidden="1">
      <c r="A302" s="65">
        <v>9000295</v>
      </c>
      <c r="B302" s="65" t="s">
        <v>1020</v>
      </c>
      <c r="C302" s="65" t="s">
        <v>741</v>
      </c>
    </row>
    <row r="303" spans="1:3" hidden="1">
      <c r="A303" s="65">
        <v>9000296</v>
      </c>
      <c r="B303" s="65" t="s">
        <v>1021</v>
      </c>
      <c r="C303" s="65" t="s">
        <v>738</v>
      </c>
    </row>
    <row r="304" spans="1:3" hidden="1">
      <c r="A304" s="65">
        <v>9000297</v>
      </c>
      <c r="B304" s="65" t="s">
        <v>1022</v>
      </c>
      <c r="C304" s="65" t="s">
        <v>677</v>
      </c>
    </row>
    <row r="305" spans="1:3" hidden="1">
      <c r="A305" s="65">
        <v>9000298</v>
      </c>
      <c r="B305" s="65" t="s">
        <v>1023</v>
      </c>
      <c r="C305" s="65" t="s">
        <v>745</v>
      </c>
    </row>
    <row r="306" spans="1:3" hidden="1">
      <c r="A306" s="65">
        <v>9000299</v>
      </c>
      <c r="B306" s="65" t="s">
        <v>1024</v>
      </c>
      <c r="C306" s="65" t="s">
        <v>893</v>
      </c>
    </row>
    <row r="307" spans="1:3" hidden="1">
      <c r="A307" s="65">
        <v>9000300</v>
      </c>
      <c r="B307" s="65" t="s">
        <v>1025</v>
      </c>
      <c r="C307" s="65" t="s">
        <v>741</v>
      </c>
    </row>
    <row r="308" spans="1:3" hidden="1">
      <c r="A308" s="65">
        <v>9000301</v>
      </c>
      <c r="B308" s="65" t="s">
        <v>1026</v>
      </c>
      <c r="C308" s="65" t="s">
        <v>732</v>
      </c>
    </row>
    <row r="309" spans="1:3" hidden="1">
      <c r="A309" s="65">
        <v>9000302</v>
      </c>
      <c r="B309" s="65" t="s">
        <v>1027</v>
      </c>
      <c r="C309" s="65" t="s">
        <v>807</v>
      </c>
    </row>
    <row r="310" spans="1:3" hidden="1">
      <c r="A310" s="65">
        <v>9000303</v>
      </c>
      <c r="B310" s="65" t="s">
        <v>1028</v>
      </c>
      <c r="C310" s="65" t="s">
        <v>805</v>
      </c>
    </row>
    <row r="311" spans="1:3" hidden="1">
      <c r="A311" s="65">
        <v>9000304</v>
      </c>
      <c r="B311" s="65" t="s">
        <v>1029</v>
      </c>
      <c r="C311" s="65" t="s">
        <v>677</v>
      </c>
    </row>
    <row r="312" spans="1:3" hidden="1">
      <c r="A312" s="65">
        <v>9000305</v>
      </c>
      <c r="B312" s="65" t="s">
        <v>1030</v>
      </c>
      <c r="C312" s="65" t="s">
        <v>732</v>
      </c>
    </row>
    <row r="313" spans="1:3" hidden="1">
      <c r="A313" s="65">
        <v>9000306</v>
      </c>
      <c r="B313" s="65" t="s">
        <v>1031</v>
      </c>
      <c r="C313" s="65" t="s">
        <v>809</v>
      </c>
    </row>
    <row r="314" spans="1:3" hidden="1">
      <c r="A314" s="65">
        <v>9000307</v>
      </c>
      <c r="B314" s="65" t="s">
        <v>1032</v>
      </c>
      <c r="C314" s="65" t="s">
        <v>850</v>
      </c>
    </row>
    <row r="315" spans="1:3" hidden="1">
      <c r="A315" s="65">
        <v>9000308</v>
      </c>
      <c r="B315" s="65" t="s">
        <v>1033</v>
      </c>
      <c r="C315" s="65" t="s">
        <v>807</v>
      </c>
    </row>
    <row r="316" spans="1:3" hidden="1">
      <c r="A316" s="65">
        <v>9000309</v>
      </c>
      <c r="B316" s="65" t="s">
        <v>1034</v>
      </c>
      <c r="C316" s="65" t="s">
        <v>747</v>
      </c>
    </row>
    <row r="317" spans="1:3" hidden="1">
      <c r="A317" s="65">
        <v>9000310</v>
      </c>
      <c r="B317" s="65" t="s">
        <v>1035</v>
      </c>
      <c r="C317" s="65" t="s">
        <v>1036</v>
      </c>
    </row>
    <row r="318" spans="1:3" hidden="1">
      <c r="A318" s="65">
        <v>9000311</v>
      </c>
      <c r="B318" s="65" t="s">
        <v>1037</v>
      </c>
      <c r="C318" s="65" t="s">
        <v>775</v>
      </c>
    </row>
    <row r="319" spans="1:3" hidden="1">
      <c r="A319" s="65">
        <v>9000312</v>
      </c>
      <c r="B319" s="65" t="s">
        <v>1038</v>
      </c>
      <c r="C319" s="65" t="s">
        <v>813</v>
      </c>
    </row>
    <row r="320" spans="1:3" hidden="1">
      <c r="A320" s="65">
        <v>9000313</v>
      </c>
      <c r="B320" s="65" t="s">
        <v>1039</v>
      </c>
      <c r="C320" s="65" t="s">
        <v>741</v>
      </c>
    </row>
    <row r="321" spans="1:3" hidden="1">
      <c r="A321" s="65">
        <v>9000314</v>
      </c>
      <c r="B321" s="65" t="s">
        <v>1040</v>
      </c>
      <c r="C321" s="65" t="s">
        <v>721</v>
      </c>
    </row>
    <row r="322" spans="1:3" hidden="1">
      <c r="A322" s="65">
        <v>9000315</v>
      </c>
      <c r="B322" s="65" t="s">
        <v>1041</v>
      </c>
      <c r="C322" s="65" t="s">
        <v>809</v>
      </c>
    </row>
    <row r="323" spans="1:3" hidden="1">
      <c r="A323" s="65">
        <v>9000316</v>
      </c>
      <c r="B323" s="65" t="s">
        <v>1042</v>
      </c>
      <c r="C323" s="65" t="s">
        <v>813</v>
      </c>
    </row>
    <row r="324" spans="1:3" hidden="1">
      <c r="A324" s="65">
        <v>9000317</v>
      </c>
      <c r="B324" s="65" t="s">
        <v>1043</v>
      </c>
      <c r="C324" s="65" t="s">
        <v>809</v>
      </c>
    </row>
    <row r="325" spans="1:3" hidden="1">
      <c r="A325" s="65">
        <v>9000318</v>
      </c>
      <c r="B325" s="65" t="s">
        <v>1044</v>
      </c>
      <c r="C325" s="65" t="s">
        <v>751</v>
      </c>
    </row>
    <row r="326" spans="1:3" hidden="1">
      <c r="A326" s="65">
        <v>9000319</v>
      </c>
      <c r="B326" s="65" t="s">
        <v>1045</v>
      </c>
      <c r="C326" s="65" t="s">
        <v>751</v>
      </c>
    </row>
    <row r="327" spans="1:3" hidden="1">
      <c r="A327" s="65">
        <v>9000320</v>
      </c>
      <c r="B327" s="65" t="s">
        <v>1046</v>
      </c>
      <c r="C327" s="65" t="s">
        <v>738</v>
      </c>
    </row>
    <row r="328" spans="1:3" hidden="1">
      <c r="A328" s="65">
        <v>9000321</v>
      </c>
      <c r="B328" s="65" t="s">
        <v>1047</v>
      </c>
      <c r="C328" s="65" t="s">
        <v>745</v>
      </c>
    </row>
    <row r="329" spans="1:3" hidden="1">
      <c r="A329" s="65">
        <v>9000322</v>
      </c>
      <c r="B329" s="65" t="s">
        <v>1048</v>
      </c>
      <c r="C329" s="65" t="s">
        <v>805</v>
      </c>
    </row>
    <row r="330" spans="1:3" hidden="1">
      <c r="A330" s="65">
        <v>9000323</v>
      </c>
      <c r="B330" s="65" t="s">
        <v>1049</v>
      </c>
      <c r="C330" s="65" t="s">
        <v>751</v>
      </c>
    </row>
    <row r="331" spans="1:3" hidden="1">
      <c r="A331" s="65">
        <v>9000324</v>
      </c>
      <c r="B331" s="65" t="s">
        <v>1050</v>
      </c>
      <c r="C331" s="65" t="s">
        <v>809</v>
      </c>
    </row>
    <row r="332" spans="1:3" hidden="1">
      <c r="A332" s="65">
        <v>9000325</v>
      </c>
      <c r="B332" s="65" t="s">
        <v>1051</v>
      </c>
      <c r="C332" s="65" t="s">
        <v>809</v>
      </c>
    </row>
    <row r="333" spans="1:3" hidden="1">
      <c r="A333" s="65">
        <v>9000326</v>
      </c>
      <c r="B333" s="65" t="s">
        <v>1052</v>
      </c>
      <c r="C333" s="65" t="s">
        <v>664</v>
      </c>
    </row>
    <row r="334" spans="1:3" hidden="1">
      <c r="A334" s="65">
        <v>9000327</v>
      </c>
      <c r="B334" s="65" t="s">
        <v>1053</v>
      </c>
      <c r="C334" s="65" t="s">
        <v>852</v>
      </c>
    </row>
    <row r="335" spans="1:3" hidden="1">
      <c r="A335" s="65">
        <v>9000328</v>
      </c>
      <c r="B335" s="65" t="s">
        <v>1054</v>
      </c>
      <c r="C335" s="65" t="s">
        <v>775</v>
      </c>
    </row>
    <row r="336" spans="1:3" hidden="1">
      <c r="A336" s="65">
        <v>9000329</v>
      </c>
      <c r="B336" s="65" t="s">
        <v>1055</v>
      </c>
      <c r="C336" s="65" t="s">
        <v>813</v>
      </c>
    </row>
    <row r="337" spans="1:3" hidden="1">
      <c r="A337" s="65">
        <v>9000330</v>
      </c>
      <c r="B337" s="65" t="s">
        <v>1056</v>
      </c>
      <c r="C337" s="65" t="s">
        <v>786</v>
      </c>
    </row>
    <row r="338" spans="1:3" hidden="1">
      <c r="A338" s="65">
        <v>9000331</v>
      </c>
      <c r="B338" s="65" t="s">
        <v>1057</v>
      </c>
      <c r="C338" s="65" t="s">
        <v>786</v>
      </c>
    </row>
    <row r="339" spans="1:3" hidden="1">
      <c r="A339" s="65">
        <v>9000332</v>
      </c>
      <c r="B339" s="65" t="s">
        <v>1058</v>
      </c>
      <c r="C339" s="65" t="s">
        <v>664</v>
      </c>
    </row>
    <row r="340" spans="1:3" hidden="1">
      <c r="A340" s="65">
        <v>9000333</v>
      </c>
      <c r="B340" s="65" t="s">
        <v>1059</v>
      </c>
      <c r="C340" s="65" t="s">
        <v>664</v>
      </c>
    </row>
    <row r="341" spans="1:3" hidden="1">
      <c r="A341" s="65">
        <v>9000334</v>
      </c>
      <c r="B341" s="65" t="s">
        <v>1060</v>
      </c>
      <c r="C341" s="65" t="s">
        <v>738</v>
      </c>
    </row>
    <row r="342" spans="1:3" hidden="1">
      <c r="A342" s="65">
        <v>9000335</v>
      </c>
      <c r="B342" s="65" t="s">
        <v>1061</v>
      </c>
      <c r="C342" s="65" t="s">
        <v>664</v>
      </c>
    </row>
    <row r="343" spans="1:3" hidden="1">
      <c r="A343" s="65">
        <v>9000336</v>
      </c>
      <c r="B343" s="65" t="s">
        <v>1062</v>
      </c>
      <c r="C343" s="65" t="s">
        <v>738</v>
      </c>
    </row>
    <row r="344" spans="1:3" hidden="1">
      <c r="A344" s="65">
        <v>9000337</v>
      </c>
      <c r="B344" s="65" t="s">
        <v>1063</v>
      </c>
      <c r="C344" s="65" t="s">
        <v>738</v>
      </c>
    </row>
    <row r="345" spans="1:3" hidden="1">
      <c r="A345" s="65">
        <v>9000338</v>
      </c>
      <c r="B345" s="65" t="s">
        <v>1064</v>
      </c>
      <c r="C345" s="65" t="s">
        <v>677</v>
      </c>
    </row>
    <row r="346" spans="1:3" hidden="1">
      <c r="A346" s="65">
        <v>9000339</v>
      </c>
      <c r="B346" s="65" t="s">
        <v>1065</v>
      </c>
      <c r="C346" s="65" t="s">
        <v>805</v>
      </c>
    </row>
    <row r="347" spans="1:3" hidden="1">
      <c r="A347" s="65">
        <v>9000340</v>
      </c>
      <c r="B347" s="65" t="s">
        <v>1066</v>
      </c>
      <c r="C347" s="65" t="s">
        <v>805</v>
      </c>
    </row>
    <row r="348" spans="1:3" hidden="1">
      <c r="A348" s="65">
        <v>9000341</v>
      </c>
      <c r="B348" s="65" t="s">
        <v>1067</v>
      </c>
      <c r="C348" s="65" t="s">
        <v>751</v>
      </c>
    </row>
    <row r="349" spans="1:3" hidden="1">
      <c r="A349" s="65">
        <v>9000342</v>
      </c>
      <c r="B349" s="65" t="s">
        <v>1068</v>
      </c>
      <c r="C349" s="65" t="s">
        <v>1069</v>
      </c>
    </row>
    <row r="350" spans="1:3" hidden="1">
      <c r="A350" s="65">
        <v>9000343</v>
      </c>
      <c r="B350" s="65" t="s">
        <v>1070</v>
      </c>
      <c r="C350" s="65" t="s">
        <v>677</v>
      </c>
    </row>
    <row r="351" spans="1:3" hidden="1">
      <c r="A351" s="65">
        <v>9000344</v>
      </c>
      <c r="B351" s="65" t="s">
        <v>1071</v>
      </c>
      <c r="C351" s="65" t="s">
        <v>805</v>
      </c>
    </row>
    <row r="352" spans="1:3" hidden="1">
      <c r="A352" s="65">
        <v>9000345</v>
      </c>
      <c r="B352" s="65" t="s">
        <v>1072</v>
      </c>
      <c r="C352" s="65" t="s">
        <v>805</v>
      </c>
    </row>
    <row r="353" spans="1:3" hidden="1">
      <c r="A353" s="65">
        <v>9000346</v>
      </c>
      <c r="B353" s="65" t="s">
        <v>1073</v>
      </c>
      <c r="C353" s="65" t="s">
        <v>664</v>
      </c>
    </row>
    <row r="354" spans="1:3" hidden="1">
      <c r="A354" s="65">
        <v>9000347</v>
      </c>
      <c r="B354" s="65" t="s">
        <v>1074</v>
      </c>
      <c r="C354" s="65" t="s">
        <v>805</v>
      </c>
    </row>
    <row r="355" spans="1:3" hidden="1">
      <c r="A355" s="65">
        <v>9000348</v>
      </c>
      <c r="B355" s="65" t="s">
        <v>1075</v>
      </c>
      <c r="C355" s="65" t="s">
        <v>664</v>
      </c>
    </row>
    <row r="356" spans="1:3" hidden="1">
      <c r="A356" s="65">
        <v>9000349</v>
      </c>
      <c r="B356" s="65" t="s">
        <v>1076</v>
      </c>
      <c r="C356" s="65" t="s">
        <v>805</v>
      </c>
    </row>
    <row r="357" spans="1:3" hidden="1">
      <c r="A357" s="65">
        <v>9000350</v>
      </c>
      <c r="B357" s="65" t="s">
        <v>1077</v>
      </c>
      <c r="C357" s="65" t="s">
        <v>664</v>
      </c>
    </row>
    <row r="358" spans="1:3" hidden="1">
      <c r="A358" s="65">
        <v>9000351</v>
      </c>
      <c r="B358" s="65" t="s">
        <v>1078</v>
      </c>
      <c r="C358" s="65" t="s">
        <v>695</v>
      </c>
    </row>
    <row r="359" spans="1:3" hidden="1">
      <c r="A359" s="65">
        <v>9000352</v>
      </c>
      <c r="B359" s="65" t="s">
        <v>1079</v>
      </c>
      <c r="C359" s="65" t="s">
        <v>677</v>
      </c>
    </row>
    <row r="360" spans="1:3" hidden="1">
      <c r="A360" s="65">
        <v>9000353</v>
      </c>
      <c r="B360" s="65" t="s">
        <v>1080</v>
      </c>
      <c r="C360" s="65" t="s">
        <v>723</v>
      </c>
    </row>
    <row r="361" spans="1:3" hidden="1">
      <c r="A361" s="65">
        <v>9000354</v>
      </c>
      <c r="B361" s="65" t="s">
        <v>1081</v>
      </c>
      <c r="C361" s="65" t="s">
        <v>805</v>
      </c>
    </row>
    <row r="362" spans="1:3" hidden="1">
      <c r="A362" s="65">
        <v>9000355</v>
      </c>
      <c r="B362" s="65" t="s">
        <v>1082</v>
      </c>
      <c r="C362" s="65" t="s">
        <v>741</v>
      </c>
    </row>
    <row r="363" spans="1:3" hidden="1">
      <c r="A363" s="65">
        <v>9000356</v>
      </c>
      <c r="B363" s="65" t="s">
        <v>1083</v>
      </c>
      <c r="C363" s="65" t="s">
        <v>664</v>
      </c>
    </row>
    <row r="364" spans="1:3" hidden="1">
      <c r="A364" s="65">
        <v>9000357</v>
      </c>
      <c r="B364" s="65" t="s">
        <v>1084</v>
      </c>
      <c r="C364" s="65" t="s">
        <v>738</v>
      </c>
    </row>
    <row r="365" spans="1:3" hidden="1">
      <c r="A365" s="65">
        <v>9000358</v>
      </c>
      <c r="B365" s="65" t="s">
        <v>1085</v>
      </c>
      <c r="C365" s="65" t="s">
        <v>664</v>
      </c>
    </row>
    <row r="366" spans="1:3" hidden="1">
      <c r="A366" s="65">
        <v>9000359</v>
      </c>
      <c r="B366" s="65" t="s">
        <v>1086</v>
      </c>
      <c r="C366" s="65" t="s">
        <v>664</v>
      </c>
    </row>
    <row r="367" spans="1:3" hidden="1">
      <c r="A367" s="65">
        <v>9000360</v>
      </c>
      <c r="B367" s="65" t="s">
        <v>1087</v>
      </c>
      <c r="C367" s="65" t="s">
        <v>683</v>
      </c>
    </row>
    <row r="368" spans="1:3" hidden="1">
      <c r="A368" s="65">
        <v>9000361</v>
      </c>
      <c r="B368" s="65" t="s">
        <v>848</v>
      </c>
      <c r="C368" s="65" t="s">
        <v>677</v>
      </c>
    </row>
    <row r="369" spans="1:3" hidden="1">
      <c r="A369" s="65">
        <v>9000362</v>
      </c>
      <c r="B369" s="65" t="s">
        <v>1088</v>
      </c>
      <c r="C369" s="65" t="s">
        <v>683</v>
      </c>
    </row>
    <row r="370" spans="1:3" hidden="1">
      <c r="A370" s="65">
        <v>9000363</v>
      </c>
      <c r="B370" s="65" t="s">
        <v>1089</v>
      </c>
      <c r="C370" s="65" t="s">
        <v>751</v>
      </c>
    </row>
    <row r="371" spans="1:3" hidden="1">
      <c r="A371" s="65">
        <v>9000364</v>
      </c>
      <c r="B371" s="65" t="s">
        <v>1090</v>
      </c>
      <c r="C371" s="65" t="s">
        <v>664</v>
      </c>
    </row>
    <row r="372" spans="1:3" hidden="1">
      <c r="A372" s="65">
        <v>9000365</v>
      </c>
      <c r="B372" s="65" t="s">
        <v>1091</v>
      </c>
      <c r="C372" s="65" t="s">
        <v>738</v>
      </c>
    </row>
    <row r="373" spans="1:3" hidden="1">
      <c r="A373" s="65">
        <v>9000366</v>
      </c>
      <c r="B373" s="65" t="s">
        <v>1092</v>
      </c>
      <c r="C373" s="65" t="s">
        <v>751</v>
      </c>
    </row>
    <row r="374" spans="1:3" hidden="1">
      <c r="A374" s="65">
        <v>9000367</v>
      </c>
      <c r="B374" s="65" t="s">
        <v>1093</v>
      </c>
      <c r="C374" s="65" t="s">
        <v>809</v>
      </c>
    </row>
    <row r="375" spans="1:3" hidden="1">
      <c r="A375" s="65">
        <v>9000368</v>
      </c>
      <c r="B375" s="65" t="s">
        <v>1094</v>
      </c>
      <c r="C375" s="65" t="s">
        <v>732</v>
      </c>
    </row>
    <row r="376" spans="1:3" hidden="1">
      <c r="A376" s="65">
        <v>9000369</v>
      </c>
      <c r="B376" s="65" t="s">
        <v>1095</v>
      </c>
      <c r="C376" s="65" t="s">
        <v>775</v>
      </c>
    </row>
    <row r="377" spans="1:3" hidden="1">
      <c r="A377" s="65">
        <v>9000970</v>
      </c>
      <c r="B377" s="65" t="s">
        <v>1096</v>
      </c>
      <c r="C377" s="65" t="s">
        <v>664</v>
      </c>
    </row>
    <row r="378" spans="1:3" hidden="1">
      <c r="A378" s="65">
        <v>9000971</v>
      </c>
      <c r="B378" s="65" t="s">
        <v>1097</v>
      </c>
      <c r="C378" s="65" t="s">
        <v>751</v>
      </c>
    </row>
    <row r="379" spans="1:3" hidden="1">
      <c r="A379" s="65">
        <v>9000972</v>
      </c>
      <c r="B379" s="65" t="s">
        <v>1098</v>
      </c>
      <c r="C379" s="65" t="s">
        <v>786</v>
      </c>
    </row>
    <row r="380" spans="1:3" hidden="1">
      <c r="A380" s="65">
        <v>9000973</v>
      </c>
      <c r="B380" s="65" t="s">
        <v>1099</v>
      </c>
      <c r="C380" s="65" t="s">
        <v>683</v>
      </c>
    </row>
    <row r="381" spans="1:3" hidden="1">
      <c r="A381" s="65">
        <v>9000974</v>
      </c>
      <c r="B381" s="65" t="s">
        <v>1100</v>
      </c>
      <c r="C381" s="65" t="s">
        <v>1101</v>
      </c>
    </row>
    <row r="382" spans="1:3" hidden="1">
      <c r="A382" s="65">
        <v>9000975</v>
      </c>
      <c r="B382" s="65" t="s">
        <v>1102</v>
      </c>
      <c r="C382" s="65" t="s">
        <v>751</v>
      </c>
    </row>
    <row r="383" spans="1:3" hidden="1">
      <c r="A383" s="65">
        <v>9000976</v>
      </c>
      <c r="B383" s="65" t="s">
        <v>1103</v>
      </c>
      <c r="C383" s="65" t="s">
        <v>664</v>
      </c>
    </row>
    <row r="384" spans="1:3" hidden="1">
      <c r="A384" s="65">
        <v>9000977</v>
      </c>
      <c r="B384" s="65" t="s">
        <v>1104</v>
      </c>
      <c r="C384" s="65" t="s">
        <v>664</v>
      </c>
    </row>
    <row r="385" spans="1:3" hidden="1">
      <c r="A385" s="65">
        <v>9000978</v>
      </c>
      <c r="B385" s="65" t="s">
        <v>1105</v>
      </c>
      <c r="C385" s="65" t="s">
        <v>683</v>
      </c>
    </row>
    <row r="386" spans="1:3" hidden="1">
      <c r="A386" s="65">
        <v>9000979</v>
      </c>
      <c r="B386" s="65" t="s">
        <v>1106</v>
      </c>
      <c r="C386" s="65" t="s">
        <v>738</v>
      </c>
    </row>
    <row r="387" spans="1:3" hidden="1">
      <c r="A387" s="65">
        <v>9000980</v>
      </c>
      <c r="B387" s="65" t="s">
        <v>1107</v>
      </c>
      <c r="C387" s="65" t="s">
        <v>805</v>
      </c>
    </row>
    <row r="388" spans="1:3" hidden="1">
      <c r="A388" s="65">
        <v>9000981</v>
      </c>
      <c r="B388" s="65" t="s">
        <v>1108</v>
      </c>
      <c r="C388" s="65" t="s">
        <v>738</v>
      </c>
    </row>
    <row r="389" spans="1:3" hidden="1">
      <c r="A389" s="65">
        <v>9000982</v>
      </c>
      <c r="B389" s="65" t="s">
        <v>1109</v>
      </c>
      <c r="C389" s="65" t="s">
        <v>738</v>
      </c>
    </row>
    <row r="390" spans="1:3" hidden="1">
      <c r="A390" s="65">
        <v>9000983</v>
      </c>
      <c r="B390" s="65" t="s">
        <v>1110</v>
      </c>
      <c r="C390" s="65" t="s">
        <v>1111</v>
      </c>
    </row>
    <row r="391" spans="1:3" hidden="1">
      <c r="A391" s="65">
        <v>9000984</v>
      </c>
      <c r="B391" s="65" t="s">
        <v>1112</v>
      </c>
      <c r="C391" s="65" t="s">
        <v>666</v>
      </c>
    </row>
    <row r="392" spans="1:3" hidden="1">
      <c r="A392" s="65">
        <v>9000989</v>
      </c>
      <c r="B392" s="65" t="s">
        <v>1113</v>
      </c>
      <c r="C392" s="65" t="s">
        <v>779</v>
      </c>
    </row>
    <row r="393" spans="1:3" hidden="1">
      <c r="A393" s="65">
        <v>9000999</v>
      </c>
      <c r="B393" s="65" t="s">
        <v>1114</v>
      </c>
      <c r="C393" s="65" t="s">
        <v>683</v>
      </c>
    </row>
    <row r="394" spans="1:3" hidden="1">
      <c r="A394" s="65">
        <v>9001000</v>
      </c>
      <c r="B394" s="65" t="s">
        <v>1115</v>
      </c>
      <c r="C394" s="65" t="s">
        <v>738</v>
      </c>
    </row>
    <row r="395" spans="1:3" hidden="1">
      <c r="A395" s="65">
        <v>9001009</v>
      </c>
      <c r="B395" s="65" t="s">
        <v>1116</v>
      </c>
      <c r="C395" s="65" t="s">
        <v>786</v>
      </c>
    </row>
    <row r="396" spans="1:3" hidden="1">
      <c r="A396" s="65">
        <v>9001010</v>
      </c>
      <c r="B396" s="65" t="s">
        <v>1071</v>
      </c>
      <c r="C396" s="65" t="s">
        <v>805</v>
      </c>
    </row>
    <row r="397" spans="1:3" hidden="1">
      <c r="A397" s="65">
        <v>9001019</v>
      </c>
      <c r="B397" s="65" t="s">
        <v>1117</v>
      </c>
      <c r="C397" s="65" t="s">
        <v>805</v>
      </c>
    </row>
    <row r="398" spans="1:3" hidden="1">
      <c r="A398" s="65">
        <v>9001020</v>
      </c>
      <c r="B398" s="65" t="s">
        <v>1118</v>
      </c>
      <c r="C398" s="65" t="s">
        <v>805</v>
      </c>
    </row>
    <row r="399" spans="1:3" hidden="1">
      <c r="A399" s="65">
        <v>9001021</v>
      </c>
      <c r="B399" s="65" t="s">
        <v>1119</v>
      </c>
      <c r="C399" s="65" t="s">
        <v>677</v>
      </c>
    </row>
    <row r="400" spans="1:3" hidden="1">
      <c r="A400" s="65">
        <v>9001022</v>
      </c>
      <c r="B400" s="65" t="s">
        <v>1120</v>
      </c>
      <c r="C400" s="65" t="s">
        <v>677</v>
      </c>
    </row>
    <row r="401" spans="1:3" hidden="1">
      <c r="A401" s="65">
        <v>9001023</v>
      </c>
      <c r="B401" s="65" t="s">
        <v>1121</v>
      </c>
      <c r="C401" s="65" t="s">
        <v>677</v>
      </c>
    </row>
    <row r="402" spans="1:3" hidden="1">
      <c r="A402" s="65">
        <v>9001024</v>
      </c>
      <c r="B402" s="65" t="s">
        <v>1122</v>
      </c>
      <c r="C402" s="65" t="s">
        <v>677</v>
      </c>
    </row>
    <row r="403" spans="1:3" hidden="1">
      <c r="A403" s="65">
        <v>9001025</v>
      </c>
      <c r="B403" s="65" t="s">
        <v>1123</v>
      </c>
      <c r="C403" s="65" t="s">
        <v>677</v>
      </c>
    </row>
    <row r="404" spans="1:3" hidden="1">
      <c r="A404" s="65">
        <v>9001026</v>
      </c>
      <c r="B404" s="65" t="s">
        <v>1124</v>
      </c>
      <c r="C404" s="65" t="s">
        <v>677</v>
      </c>
    </row>
    <row r="405" spans="1:3" hidden="1">
      <c r="A405" s="65">
        <v>9001027</v>
      </c>
      <c r="B405" s="65" t="s">
        <v>1125</v>
      </c>
      <c r="C405" s="65" t="s">
        <v>677</v>
      </c>
    </row>
    <row r="406" spans="1:3" hidden="1">
      <c r="A406" s="65">
        <v>9001028</v>
      </c>
      <c r="B406" s="65" t="s">
        <v>1126</v>
      </c>
      <c r="C406" s="65" t="s">
        <v>805</v>
      </c>
    </row>
    <row r="407" spans="1:3" hidden="1">
      <c r="A407" s="65">
        <v>9001029</v>
      </c>
      <c r="B407" s="65" t="s">
        <v>1127</v>
      </c>
      <c r="C407" s="65" t="s">
        <v>805</v>
      </c>
    </row>
    <row r="408" spans="1:3" hidden="1">
      <c r="A408" s="65">
        <v>9001030</v>
      </c>
      <c r="B408" s="65" t="s">
        <v>1128</v>
      </c>
      <c r="C408" s="65" t="s">
        <v>677</v>
      </c>
    </row>
    <row r="409" spans="1:3" hidden="1">
      <c r="A409" s="65">
        <v>9001031</v>
      </c>
      <c r="B409" s="65" t="s">
        <v>1129</v>
      </c>
      <c r="C409" s="65" t="s">
        <v>677</v>
      </c>
    </row>
    <row r="410" spans="1:3" hidden="1">
      <c r="A410" s="65">
        <v>9001039</v>
      </c>
      <c r="B410" s="65" t="s">
        <v>1130</v>
      </c>
      <c r="C410" s="65" t="s">
        <v>793</v>
      </c>
    </row>
    <row r="411" spans="1:3" hidden="1">
      <c r="A411" s="65">
        <v>9001040</v>
      </c>
      <c r="B411" s="65" t="s">
        <v>1131</v>
      </c>
      <c r="C411" s="65" t="s">
        <v>786</v>
      </c>
    </row>
    <row r="412" spans="1:3" hidden="1">
      <c r="A412" s="65">
        <v>9001041</v>
      </c>
      <c r="B412" s="65" t="s">
        <v>1132</v>
      </c>
      <c r="C412" s="65" t="s">
        <v>786</v>
      </c>
    </row>
    <row r="413" spans="1:3" hidden="1">
      <c r="A413" s="65">
        <v>9001042</v>
      </c>
      <c r="B413" s="65" t="s">
        <v>1133</v>
      </c>
      <c r="C413" s="65" t="s">
        <v>805</v>
      </c>
    </row>
    <row r="414" spans="1:3" hidden="1">
      <c r="A414" s="65">
        <v>9001049</v>
      </c>
      <c r="B414" s="65" t="s">
        <v>1134</v>
      </c>
      <c r="C414" s="65" t="s">
        <v>1135</v>
      </c>
    </row>
    <row r="415" spans="1:3" hidden="1">
      <c r="A415" s="65">
        <v>9001050</v>
      </c>
      <c r="B415" s="65" t="s">
        <v>1136</v>
      </c>
      <c r="C415" s="65" t="s">
        <v>683</v>
      </c>
    </row>
    <row r="416" spans="1:3" hidden="1">
      <c r="A416" s="65">
        <v>9001051</v>
      </c>
      <c r="B416" s="65" t="s">
        <v>1137</v>
      </c>
      <c r="C416" s="65" t="s">
        <v>677</v>
      </c>
    </row>
    <row r="417" spans="1:3" hidden="1">
      <c r="A417" s="65">
        <v>9001052</v>
      </c>
      <c r="B417" s="65" t="s">
        <v>1138</v>
      </c>
      <c r="C417" s="65" t="s">
        <v>751</v>
      </c>
    </row>
    <row r="418" spans="1:3" hidden="1">
      <c r="A418" s="65">
        <v>9001059</v>
      </c>
      <c r="B418" s="65" t="s">
        <v>1139</v>
      </c>
      <c r="C418" s="65" t="s">
        <v>683</v>
      </c>
    </row>
    <row r="419" spans="1:3" hidden="1">
      <c r="A419" s="65">
        <v>9001069</v>
      </c>
      <c r="B419" s="65" t="s">
        <v>1140</v>
      </c>
      <c r="C419" s="65" t="s">
        <v>677</v>
      </c>
    </row>
    <row r="420" spans="1:3" hidden="1">
      <c r="A420" s="65">
        <v>9001079</v>
      </c>
      <c r="B420" s="65" t="s">
        <v>1141</v>
      </c>
      <c r="C420" s="65" t="s">
        <v>664</v>
      </c>
    </row>
    <row r="421" spans="1:3" hidden="1">
      <c r="A421" s="65">
        <v>9001089</v>
      </c>
      <c r="B421" s="65" t="s">
        <v>1142</v>
      </c>
      <c r="C421" s="65" t="s">
        <v>741</v>
      </c>
    </row>
    <row r="422" spans="1:3" hidden="1">
      <c r="A422" s="65">
        <v>9001099</v>
      </c>
      <c r="B422" s="65" t="s">
        <v>1143</v>
      </c>
      <c r="C422" s="65" t="s">
        <v>677</v>
      </c>
    </row>
    <row r="423" spans="1:3" hidden="1">
      <c r="A423" s="65">
        <v>9001109</v>
      </c>
      <c r="B423" s="65" t="s">
        <v>1144</v>
      </c>
      <c r="C423" s="65" t="s">
        <v>683</v>
      </c>
    </row>
    <row r="424" spans="1:3" hidden="1">
      <c r="A424" s="65">
        <v>9001119</v>
      </c>
      <c r="B424" s="65" t="s">
        <v>1145</v>
      </c>
      <c r="C424" s="65" t="s">
        <v>683</v>
      </c>
    </row>
    <row r="425" spans="1:3" hidden="1">
      <c r="A425" s="65">
        <v>9001120</v>
      </c>
      <c r="B425" s="65" t="s">
        <v>1146</v>
      </c>
      <c r="C425" s="65" t="s">
        <v>683</v>
      </c>
    </row>
    <row r="426" spans="1:3" hidden="1">
      <c r="A426" s="65">
        <v>9001129</v>
      </c>
      <c r="B426" s="65" t="s">
        <v>1147</v>
      </c>
      <c r="C426" s="65" t="s">
        <v>677</v>
      </c>
    </row>
    <row r="427" spans="1:3" hidden="1">
      <c r="A427" s="65">
        <v>9001130</v>
      </c>
      <c r="B427" s="65" t="s">
        <v>1148</v>
      </c>
      <c r="C427" s="65" t="s">
        <v>738</v>
      </c>
    </row>
    <row r="428" spans="1:3" hidden="1">
      <c r="A428" s="65">
        <v>9001139</v>
      </c>
      <c r="B428" s="65" t="s">
        <v>1149</v>
      </c>
      <c r="C428" s="65" t="s">
        <v>683</v>
      </c>
    </row>
    <row r="429" spans="1:3" hidden="1">
      <c r="A429" s="65">
        <v>9001149</v>
      </c>
      <c r="B429" s="65" t="s">
        <v>1150</v>
      </c>
      <c r="C429" s="65" t="s">
        <v>677</v>
      </c>
    </row>
    <row r="430" spans="1:3" hidden="1">
      <c r="A430" s="65">
        <v>9001159</v>
      </c>
      <c r="B430" s="65" t="s">
        <v>1151</v>
      </c>
      <c r="C430" s="65" t="s">
        <v>805</v>
      </c>
    </row>
    <row r="431" spans="1:3" hidden="1">
      <c r="A431" s="65">
        <v>9001160</v>
      </c>
      <c r="B431" s="65" t="s">
        <v>1152</v>
      </c>
      <c r="C431" s="65" t="s">
        <v>723</v>
      </c>
    </row>
    <row r="432" spans="1:3" hidden="1">
      <c r="A432" s="65">
        <v>9001169</v>
      </c>
      <c r="B432" s="65" t="s">
        <v>1153</v>
      </c>
      <c r="C432" s="65" t="s">
        <v>805</v>
      </c>
    </row>
    <row r="433" spans="1:3" hidden="1">
      <c r="A433" s="65">
        <v>9001179</v>
      </c>
      <c r="B433" s="65" t="s">
        <v>1154</v>
      </c>
      <c r="C433" s="65" t="s">
        <v>805</v>
      </c>
    </row>
    <row r="434" spans="1:3" hidden="1">
      <c r="A434" s="65">
        <v>9001180</v>
      </c>
      <c r="B434" s="65" t="s">
        <v>1155</v>
      </c>
      <c r="C434" s="65" t="s">
        <v>793</v>
      </c>
    </row>
    <row r="435" spans="1:3" hidden="1">
      <c r="A435" s="65">
        <v>9001181</v>
      </c>
      <c r="B435" s="65" t="s">
        <v>1156</v>
      </c>
      <c r="C435" s="65" t="s">
        <v>738</v>
      </c>
    </row>
    <row r="436" spans="1:3" hidden="1">
      <c r="A436" s="65">
        <v>9001182</v>
      </c>
      <c r="B436" s="65" t="s">
        <v>1157</v>
      </c>
      <c r="C436" s="65" t="s">
        <v>805</v>
      </c>
    </row>
    <row r="437" spans="1:3" hidden="1">
      <c r="A437" s="65">
        <v>9001183</v>
      </c>
      <c r="B437" s="65" t="s">
        <v>1158</v>
      </c>
      <c r="C437" s="65" t="s">
        <v>738</v>
      </c>
    </row>
    <row r="438" spans="1:3" hidden="1">
      <c r="A438" s="65">
        <v>9001189</v>
      </c>
      <c r="B438" s="65" t="s">
        <v>1159</v>
      </c>
      <c r="C438" s="65" t="s">
        <v>805</v>
      </c>
    </row>
    <row r="439" spans="1:3" hidden="1">
      <c r="A439" s="65">
        <v>9001190</v>
      </c>
      <c r="B439" s="65" t="s">
        <v>1160</v>
      </c>
      <c r="C439" s="65" t="s">
        <v>805</v>
      </c>
    </row>
    <row r="440" spans="1:3" hidden="1">
      <c r="A440" s="65">
        <v>9001199</v>
      </c>
      <c r="B440" s="65" t="s">
        <v>1161</v>
      </c>
      <c r="C440" s="65" t="s">
        <v>807</v>
      </c>
    </row>
    <row r="441" spans="1:3" hidden="1">
      <c r="A441" s="65">
        <v>9001200</v>
      </c>
      <c r="B441" s="65" t="s">
        <v>1091</v>
      </c>
      <c r="C441" s="65" t="s">
        <v>738</v>
      </c>
    </row>
    <row r="442" spans="1:3" hidden="1">
      <c r="A442" s="65">
        <v>9001201</v>
      </c>
      <c r="B442" s="65" t="s">
        <v>1162</v>
      </c>
      <c r="C442" s="65" t="s">
        <v>664</v>
      </c>
    </row>
    <row r="443" spans="1:3" hidden="1">
      <c r="A443" s="65">
        <v>9001209</v>
      </c>
      <c r="B443" s="65" t="s">
        <v>1163</v>
      </c>
      <c r="C443" s="65" t="s">
        <v>738</v>
      </c>
    </row>
    <row r="444" spans="1:3" hidden="1">
      <c r="A444" s="65">
        <v>9001219</v>
      </c>
      <c r="B444" s="65" t="s">
        <v>1164</v>
      </c>
      <c r="C444" s="65" t="s">
        <v>677</v>
      </c>
    </row>
    <row r="445" spans="1:3" hidden="1">
      <c r="A445" s="65">
        <v>9001229</v>
      </c>
      <c r="B445" s="65" t="s">
        <v>1165</v>
      </c>
      <c r="C445" s="65" t="s">
        <v>683</v>
      </c>
    </row>
    <row r="446" spans="1:3" hidden="1">
      <c r="A446" s="65">
        <v>9001239</v>
      </c>
      <c r="B446" s="65" t="s">
        <v>1166</v>
      </c>
      <c r="C446" s="65" t="s">
        <v>702</v>
      </c>
    </row>
    <row r="447" spans="1:3" hidden="1">
      <c r="A447" s="65">
        <v>9001249</v>
      </c>
      <c r="B447" s="65" t="s">
        <v>1167</v>
      </c>
      <c r="C447" s="65" t="s">
        <v>738</v>
      </c>
    </row>
    <row r="448" spans="1:3" hidden="1">
      <c r="A448" s="65">
        <v>9001250</v>
      </c>
      <c r="B448" s="65" t="s">
        <v>1168</v>
      </c>
      <c r="C448" s="65" t="s">
        <v>805</v>
      </c>
    </row>
    <row r="449" spans="1:3" hidden="1">
      <c r="A449" s="65">
        <v>9001251</v>
      </c>
      <c r="B449" s="65" t="s">
        <v>1169</v>
      </c>
      <c r="C449" s="65" t="s">
        <v>793</v>
      </c>
    </row>
    <row r="450" spans="1:3" hidden="1">
      <c r="A450" s="65">
        <v>9001252</v>
      </c>
      <c r="B450" s="65" t="s">
        <v>1170</v>
      </c>
      <c r="C450" s="65" t="s">
        <v>793</v>
      </c>
    </row>
    <row r="451" spans="1:3" hidden="1">
      <c r="A451" s="65">
        <v>9001253</v>
      </c>
      <c r="B451" s="65" t="s">
        <v>1171</v>
      </c>
      <c r="C451" s="65" t="s">
        <v>793</v>
      </c>
    </row>
    <row r="452" spans="1:3" hidden="1">
      <c r="A452" s="65">
        <v>9001254</v>
      </c>
      <c r="B452" s="65" t="s">
        <v>1172</v>
      </c>
      <c r="C452" s="65" t="s">
        <v>793</v>
      </c>
    </row>
    <row r="453" spans="1:3" hidden="1">
      <c r="A453" s="65">
        <v>9001255</v>
      </c>
      <c r="B453" s="65" t="s">
        <v>1173</v>
      </c>
      <c r="C453" s="65" t="s">
        <v>793</v>
      </c>
    </row>
    <row r="454" spans="1:3" hidden="1">
      <c r="A454" s="65">
        <v>9001256</v>
      </c>
      <c r="B454" s="65" t="s">
        <v>1174</v>
      </c>
      <c r="C454" s="65" t="s">
        <v>793</v>
      </c>
    </row>
    <row r="455" spans="1:3" hidden="1">
      <c r="A455" s="65">
        <v>9001257</v>
      </c>
      <c r="B455" s="65" t="s">
        <v>1175</v>
      </c>
      <c r="C455" s="65" t="s">
        <v>793</v>
      </c>
    </row>
    <row r="456" spans="1:3" hidden="1">
      <c r="A456" s="65">
        <v>9001258</v>
      </c>
      <c r="B456" s="65" t="s">
        <v>1176</v>
      </c>
      <c r="C456" s="65" t="s">
        <v>793</v>
      </c>
    </row>
    <row r="457" spans="1:3" hidden="1">
      <c r="A457" s="65">
        <v>9001259</v>
      </c>
      <c r="B457" s="65" t="s">
        <v>1177</v>
      </c>
      <c r="C457" s="65" t="s">
        <v>738</v>
      </c>
    </row>
    <row r="458" spans="1:3" hidden="1">
      <c r="A458" s="65">
        <v>9001260</v>
      </c>
      <c r="B458" s="65" t="s">
        <v>1178</v>
      </c>
      <c r="C458" s="65" t="s">
        <v>793</v>
      </c>
    </row>
    <row r="459" spans="1:3" hidden="1">
      <c r="A459" s="65">
        <v>9001261</v>
      </c>
      <c r="B459" s="65" t="s">
        <v>1179</v>
      </c>
      <c r="C459" s="65" t="s">
        <v>738</v>
      </c>
    </row>
    <row r="460" spans="1:3" hidden="1">
      <c r="A460" s="65">
        <v>9001262</v>
      </c>
      <c r="B460" s="65" t="s">
        <v>1180</v>
      </c>
      <c r="C460" s="65" t="s">
        <v>1181</v>
      </c>
    </row>
    <row r="461" spans="1:3" hidden="1">
      <c r="A461" s="65">
        <v>9001263</v>
      </c>
      <c r="B461" s="65" t="s">
        <v>1182</v>
      </c>
      <c r="C461" s="65" t="s">
        <v>738</v>
      </c>
    </row>
    <row r="462" spans="1:3" hidden="1">
      <c r="A462" s="65">
        <v>9001264</v>
      </c>
      <c r="B462" s="65" t="s">
        <v>1183</v>
      </c>
      <c r="C462" s="65" t="s">
        <v>805</v>
      </c>
    </row>
    <row r="463" spans="1:3" hidden="1">
      <c r="A463" s="65">
        <v>9001265</v>
      </c>
      <c r="B463" s="65" t="s">
        <v>1184</v>
      </c>
      <c r="C463" s="65" t="s">
        <v>738</v>
      </c>
    </row>
    <row r="464" spans="1:3" hidden="1">
      <c r="A464" s="65">
        <v>9001266</v>
      </c>
      <c r="B464" s="65" t="s">
        <v>1185</v>
      </c>
      <c r="C464" s="65" t="s">
        <v>805</v>
      </c>
    </row>
    <row r="465" spans="1:3" hidden="1">
      <c r="A465" s="65">
        <v>9001267</v>
      </c>
      <c r="B465" s="65" t="s">
        <v>1186</v>
      </c>
      <c r="C465" s="65" t="s">
        <v>738</v>
      </c>
    </row>
    <row r="466" spans="1:3" hidden="1">
      <c r="A466" s="65">
        <v>9001268</v>
      </c>
      <c r="B466" s="65" t="s">
        <v>1187</v>
      </c>
      <c r="C466" s="65" t="s">
        <v>738</v>
      </c>
    </row>
    <row r="467" spans="1:3" hidden="1">
      <c r="A467" s="65">
        <v>9001269</v>
      </c>
      <c r="B467" s="65" t="s">
        <v>1188</v>
      </c>
      <c r="C467" s="65" t="s">
        <v>738</v>
      </c>
    </row>
    <row r="468" spans="1:3" hidden="1">
      <c r="A468" s="65">
        <v>9001270</v>
      </c>
      <c r="B468" s="65" t="s">
        <v>1189</v>
      </c>
      <c r="C468" s="65" t="s">
        <v>738</v>
      </c>
    </row>
    <row r="469" spans="1:3" hidden="1">
      <c r="A469" s="65">
        <v>9001271</v>
      </c>
      <c r="B469" s="65" t="s">
        <v>1190</v>
      </c>
      <c r="C469" s="65" t="s">
        <v>738</v>
      </c>
    </row>
    <row r="470" spans="1:3" hidden="1">
      <c r="A470" s="65">
        <v>9001272</v>
      </c>
      <c r="B470" s="65" t="s">
        <v>1191</v>
      </c>
      <c r="C470" s="65" t="s">
        <v>738</v>
      </c>
    </row>
    <row r="471" spans="1:3" hidden="1">
      <c r="A471" s="65">
        <v>9001273</v>
      </c>
      <c r="B471" s="65" t="s">
        <v>1192</v>
      </c>
      <c r="C471" s="65" t="s">
        <v>738</v>
      </c>
    </row>
    <row r="472" spans="1:3" hidden="1">
      <c r="A472" s="65">
        <v>9001274</v>
      </c>
      <c r="B472" s="65" t="s">
        <v>1193</v>
      </c>
      <c r="C472" s="65" t="s">
        <v>683</v>
      </c>
    </row>
    <row r="473" spans="1:3" hidden="1">
      <c r="A473" s="65">
        <v>9001275</v>
      </c>
      <c r="B473" s="65" t="s">
        <v>1194</v>
      </c>
      <c r="C473" s="65" t="s">
        <v>738</v>
      </c>
    </row>
    <row r="474" spans="1:3" hidden="1">
      <c r="A474" s="65">
        <v>9001276</v>
      </c>
      <c r="B474" s="65" t="s">
        <v>1195</v>
      </c>
      <c r="C474" s="65" t="s">
        <v>807</v>
      </c>
    </row>
    <row r="475" spans="1:3" hidden="1">
      <c r="A475" s="65">
        <v>9001277</v>
      </c>
      <c r="B475" s="65" t="s">
        <v>1196</v>
      </c>
      <c r="C475" s="65" t="s">
        <v>751</v>
      </c>
    </row>
    <row r="476" spans="1:3" hidden="1">
      <c r="A476" s="65">
        <v>9001278</v>
      </c>
      <c r="B476" s="65" t="s">
        <v>1197</v>
      </c>
      <c r="C476" s="65" t="s">
        <v>664</v>
      </c>
    </row>
    <row r="477" spans="1:3" hidden="1">
      <c r="A477" s="65">
        <v>9001279</v>
      </c>
      <c r="B477" s="65" t="s">
        <v>1198</v>
      </c>
      <c r="C477" s="65" t="s">
        <v>1101</v>
      </c>
    </row>
    <row r="478" spans="1:3" hidden="1">
      <c r="A478" s="65">
        <v>9001280</v>
      </c>
      <c r="B478" s="65" t="s">
        <v>1199</v>
      </c>
      <c r="C478" s="65" t="s">
        <v>1101</v>
      </c>
    </row>
    <row r="479" spans="1:3" hidden="1">
      <c r="A479" s="65">
        <v>9001281</v>
      </c>
      <c r="B479" s="65" t="s">
        <v>1200</v>
      </c>
      <c r="C479" s="65" t="s">
        <v>751</v>
      </c>
    </row>
    <row r="480" spans="1:3" hidden="1">
      <c r="A480" s="65">
        <v>9001282</v>
      </c>
      <c r="B480" s="65" t="s">
        <v>1201</v>
      </c>
      <c r="C480" s="65" t="s">
        <v>751</v>
      </c>
    </row>
    <row r="481" spans="1:3" hidden="1">
      <c r="A481" s="65">
        <v>9001283</v>
      </c>
      <c r="B481" s="65" t="s">
        <v>1202</v>
      </c>
      <c r="C481" s="65" t="s">
        <v>683</v>
      </c>
    </row>
    <row r="482" spans="1:3" hidden="1">
      <c r="A482" s="65">
        <v>9001284</v>
      </c>
      <c r="B482" s="65" t="s">
        <v>1203</v>
      </c>
      <c r="C482" s="65" t="s">
        <v>683</v>
      </c>
    </row>
    <row r="483" spans="1:3" hidden="1">
      <c r="A483" s="65">
        <v>9001285</v>
      </c>
      <c r="B483" s="65" t="s">
        <v>1204</v>
      </c>
      <c r="C483" s="65" t="s">
        <v>683</v>
      </c>
    </row>
    <row r="484" spans="1:3" hidden="1">
      <c r="A484" s="65">
        <v>9001286</v>
      </c>
      <c r="B484" s="65" t="s">
        <v>1205</v>
      </c>
      <c r="C484" s="65" t="s">
        <v>683</v>
      </c>
    </row>
    <row r="485" spans="1:3" hidden="1">
      <c r="A485" s="65">
        <v>9001287</v>
      </c>
      <c r="B485" s="65" t="s">
        <v>1206</v>
      </c>
      <c r="C485" s="65" t="s">
        <v>683</v>
      </c>
    </row>
    <row r="486" spans="1:3" hidden="1">
      <c r="A486" s="65">
        <v>9001288</v>
      </c>
      <c r="B486" s="65" t="s">
        <v>1207</v>
      </c>
      <c r="C486" s="65" t="s">
        <v>738</v>
      </c>
    </row>
    <row r="487" spans="1:3" hidden="1">
      <c r="A487" s="65">
        <v>9001289</v>
      </c>
      <c r="B487" s="65" t="s">
        <v>1208</v>
      </c>
      <c r="C487" s="65" t="s">
        <v>738</v>
      </c>
    </row>
    <row r="488" spans="1:3" hidden="1">
      <c r="A488" s="65">
        <v>9001290</v>
      </c>
      <c r="B488" s="65" t="s">
        <v>1209</v>
      </c>
      <c r="C488" s="65" t="s">
        <v>751</v>
      </c>
    </row>
    <row r="489" spans="1:3" hidden="1">
      <c r="A489" s="65">
        <v>9001291</v>
      </c>
      <c r="B489" s="65" t="s">
        <v>1210</v>
      </c>
      <c r="C489" s="65" t="s">
        <v>664</v>
      </c>
    </row>
    <row r="490" spans="1:3" hidden="1">
      <c r="A490" s="65">
        <v>9001292</v>
      </c>
      <c r="B490" s="65" t="s">
        <v>1211</v>
      </c>
      <c r="C490" s="65" t="s">
        <v>664</v>
      </c>
    </row>
    <row r="491" spans="1:3" hidden="1">
      <c r="A491" s="65">
        <v>9001293</v>
      </c>
      <c r="B491" s="65" t="s">
        <v>1212</v>
      </c>
      <c r="C491" s="65" t="s">
        <v>775</v>
      </c>
    </row>
    <row r="492" spans="1:3" hidden="1">
      <c r="A492" s="65">
        <v>9001294</v>
      </c>
      <c r="B492" s="65" t="s">
        <v>1213</v>
      </c>
      <c r="C492" s="65" t="s">
        <v>683</v>
      </c>
    </row>
    <row r="493" spans="1:3" hidden="1">
      <c r="A493" s="65">
        <v>9001295</v>
      </c>
      <c r="B493" s="65" t="s">
        <v>1214</v>
      </c>
      <c r="C493" s="65" t="s">
        <v>683</v>
      </c>
    </row>
    <row r="494" spans="1:3" hidden="1">
      <c r="A494" s="65">
        <v>9001296</v>
      </c>
      <c r="B494" s="65" t="s">
        <v>1215</v>
      </c>
      <c r="C494" s="65" t="s">
        <v>683</v>
      </c>
    </row>
    <row r="495" spans="1:3" hidden="1">
      <c r="A495" s="65">
        <v>9001297</v>
      </c>
      <c r="B495" s="65" t="s">
        <v>1216</v>
      </c>
      <c r="C495" s="65" t="s">
        <v>738</v>
      </c>
    </row>
    <row r="496" spans="1:3" hidden="1">
      <c r="A496" s="65">
        <v>9001298</v>
      </c>
      <c r="B496" s="65" t="s">
        <v>1217</v>
      </c>
      <c r="C496" s="65" t="s">
        <v>738</v>
      </c>
    </row>
    <row r="497" spans="1:3" hidden="1">
      <c r="A497" s="65">
        <v>9001299</v>
      </c>
      <c r="B497" s="65" t="s">
        <v>1218</v>
      </c>
      <c r="C497" s="65" t="s">
        <v>738</v>
      </c>
    </row>
    <row r="498" spans="1:3" hidden="1">
      <c r="A498" s="65">
        <v>9001300</v>
      </c>
      <c r="B498" s="65" t="s">
        <v>1219</v>
      </c>
      <c r="C498" s="65" t="s">
        <v>664</v>
      </c>
    </row>
    <row r="499" spans="1:3" hidden="1">
      <c r="A499" s="65">
        <v>9001301</v>
      </c>
      <c r="B499" s="65" t="s">
        <v>1220</v>
      </c>
      <c r="C499" s="65" t="s">
        <v>738</v>
      </c>
    </row>
    <row r="500" spans="1:3" hidden="1">
      <c r="A500" s="65">
        <v>9001302</v>
      </c>
      <c r="B500" s="65" t="s">
        <v>1221</v>
      </c>
      <c r="C500" s="65" t="s">
        <v>738</v>
      </c>
    </row>
    <row r="501" spans="1:3" hidden="1">
      <c r="A501" s="65">
        <v>9001303</v>
      </c>
      <c r="B501" s="65" t="s">
        <v>1222</v>
      </c>
      <c r="C501" s="65" t="s">
        <v>805</v>
      </c>
    </row>
    <row r="502" spans="1:3" hidden="1">
      <c r="A502" s="65">
        <v>9001304</v>
      </c>
      <c r="B502" s="65" t="s">
        <v>1223</v>
      </c>
      <c r="C502" s="65" t="s">
        <v>805</v>
      </c>
    </row>
    <row r="503" spans="1:3" hidden="1">
      <c r="A503" s="65">
        <v>9001305</v>
      </c>
      <c r="B503" s="65" t="s">
        <v>1224</v>
      </c>
      <c r="C503" s="65" t="s">
        <v>805</v>
      </c>
    </row>
    <row r="504" spans="1:3" hidden="1">
      <c r="A504" s="65">
        <v>9001306</v>
      </c>
      <c r="B504" s="65" t="s">
        <v>1225</v>
      </c>
      <c r="C504" s="65" t="s">
        <v>805</v>
      </c>
    </row>
    <row r="505" spans="1:3" hidden="1">
      <c r="A505" s="65">
        <v>9001307</v>
      </c>
      <c r="B505" s="65" t="s">
        <v>1226</v>
      </c>
      <c r="C505" s="65" t="s">
        <v>1111</v>
      </c>
    </row>
    <row r="506" spans="1:3" hidden="1">
      <c r="A506" s="65">
        <v>9001308</v>
      </c>
      <c r="B506" s="65" t="s">
        <v>1227</v>
      </c>
      <c r="C506" s="65" t="s">
        <v>1111</v>
      </c>
    </row>
    <row r="507" spans="1:3" hidden="1">
      <c r="A507" s="65">
        <v>9001309</v>
      </c>
      <c r="B507" s="65" t="s">
        <v>1228</v>
      </c>
      <c r="C507" s="65" t="s">
        <v>793</v>
      </c>
    </row>
    <row r="508" spans="1:3" hidden="1">
      <c r="A508" s="65">
        <v>9001310</v>
      </c>
      <c r="B508" s="65" t="s">
        <v>1229</v>
      </c>
      <c r="C508" s="65" t="s">
        <v>793</v>
      </c>
    </row>
    <row r="509" spans="1:3" hidden="1">
      <c r="A509" s="65">
        <v>9001311</v>
      </c>
      <c r="B509" s="65" t="s">
        <v>1230</v>
      </c>
      <c r="C509" s="65" t="s">
        <v>805</v>
      </c>
    </row>
    <row r="510" spans="1:3" hidden="1">
      <c r="A510" s="65">
        <v>9001312</v>
      </c>
      <c r="B510" s="65" t="s">
        <v>1231</v>
      </c>
      <c r="C510" s="65" t="s">
        <v>805</v>
      </c>
    </row>
    <row r="511" spans="1:3" hidden="1">
      <c r="A511" s="65">
        <v>9001313</v>
      </c>
      <c r="B511" s="65" t="s">
        <v>1232</v>
      </c>
      <c r="C511" s="65" t="s">
        <v>805</v>
      </c>
    </row>
    <row r="512" spans="1:3" hidden="1">
      <c r="A512" s="65">
        <v>9001314</v>
      </c>
      <c r="B512" s="65" t="s">
        <v>1233</v>
      </c>
      <c r="C512" s="65" t="s">
        <v>1111</v>
      </c>
    </row>
    <row r="513" spans="1:3" hidden="1">
      <c r="A513" s="65">
        <v>9001315</v>
      </c>
      <c r="B513" s="65" t="s">
        <v>1234</v>
      </c>
      <c r="C513" s="65" t="s">
        <v>793</v>
      </c>
    </row>
    <row r="514" spans="1:3" hidden="1">
      <c r="A514" s="65">
        <v>9001316</v>
      </c>
      <c r="B514" s="65" t="s">
        <v>1235</v>
      </c>
      <c r="C514" s="65" t="s">
        <v>1111</v>
      </c>
    </row>
    <row r="515" spans="1:3" hidden="1">
      <c r="A515" s="65">
        <v>9001317</v>
      </c>
      <c r="B515" s="65" t="s">
        <v>1236</v>
      </c>
      <c r="C515" s="65" t="s">
        <v>738</v>
      </c>
    </row>
    <row r="516" spans="1:3" hidden="1">
      <c r="A516" s="65">
        <v>9001318</v>
      </c>
      <c r="B516" s="65" t="s">
        <v>1237</v>
      </c>
      <c r="C516" s="65" t="s">
        <v>738</v>
      </c>
    </row>
    <row r="517" spans="1:3" hidden="1">
      <c r="A517" s="65">
        <v>9001319</v>
      </c>
      <c r="B517" s="65" t="s">
        <v>1238</v>
      </c>
      <c r="C517" s="65" t="s">
        <v>738</v>
      </c>
    </row>
    <row r="518" spans="1:3" hidden="1">
      <c r="A518" s="65">
        <v>9001320</v>
      </c>
      <c r="B518" s="65" t="s">
        <v>1239</v>
      </c>
      <c r="C518" s="65" t="s">
        <v>1111</v>
      </c>
    </row>
    <row r="519" spans="1:3" hidden="1">
      <c r="A519" s="65">
        <v>9001321</v>
      </c>
      <c r="B519" s="65" t="s">
        <v>1240</v>
      </c>
      <c r="C519" s="65" t="s">
        <v>793</v>
      </c>
    </row>
    <row r="520" spans="1:3" hidden="1">
      <c r="A520" s="65">
        <v>9001322</v>
      </c>
      <c r="B520" s="65" t="s">
        <v>1241</v>
      </c>
      <c r="C520" s="65" t="s">
        <v>738</v>
      </c>
    </row>
    <row r="521" spans="1:3" hidden="1">
      <c r="A521" s="65">
        <v>9001323</v>
      </c>
      <c r="B521" s="65" t="s">
        <v>1242</v>
      </c>
      <c r="C521" s="65" t="s">
        <v>738</v>
      </c>
    </row>
    <row r="522" spans="1:3" hidden="1">
      <c r="A522" s="65">
        <v>9001324</v>
      </c>
      <c r="B522" s="65" t="s">
        <v>1243</v>
      </c>
      <c r="C522" s="65" t="s">
        <v>805</v>
      </c>
    </row>
    <row r="523" spans="1:3" hidden="1">
      <c r="A523" s="65">
        <v>9001325</v>
      </c>
      <c r="B523" s="65" t="s">
        <v>1244</v>
      </c>
      <c r="C523" s="65" t="s">
        <v>805</v>
      </c>
    </row>
    <row r="524" spans="1:3" hidden="1">
      <c r="A524" s="65">
        <v>9001326</v>
      </c>
      <c r="B524" s="65" t="s">
        <v>1245</v>
      </c>
      <c r="C524" s="65" t="s">
        <v>793</v>
      </c>
    </row>
    <row r="525" spans="1:3" hidden="1">
      <c r="A525" s="65">
        <v>9001327</v>
      </c>
      <c r="B525" s="65" t="s">
        <v>1246</v>
      </c>
      <c r="C525" s="65" t="s">
        <v>805</v>
      </c>
    </row>
    <row r="526" spans="1:3" hidden="1">
      <c r="A526" s="65">
        <v>9001328</v>
      </c>
      <c r="B526" s="65" t="s">
        <v>1247</v>
      </c>
      <c r="C526" s="65" t="s">
        <v>738</v>
      </c>
    </row>
    <row r="527" spans="1:3" hidden="1">
      <c r="A527" s="65">
        <v>9001329</v>
      </c>
      <c r="B527" s="65" t="s">
        <v>1248</v>
      </c>
      <c r="C527" s="65" t="s">
        <v>738</v>
      </c>
    </row>
    <row r="528" spans="1:3" hidden="1">
      <c r="A528" s="65">
        <v>9001330</v>
      </c>
      <c r="B528" s="65" t="s">
        <v>1249</v>
      </c>
      <c r="C528" s="65" t="s">
        <v>738</v>
      </c>
    </row>
    <row r="529" spans="1:3" hidden="1">
      <c r="A529" s="65">
        <v>9001331</v>
      </c>
      <c r="B529" s="65" t="s">
        <v>1250</v>
      </c>
      <c r="C529" s="65" t="s">
        <v>738</v>
      </c>
    </row>
    <row r="530" spans="1:3" hidden="1">
      <c r="A530" s="65">
        <v>9001332</v>
      </c>
      <c r="B530" s="65" t="s">
        <v>1251</v>
      </c>
      <c r="C530" s="65" t="s">
        <v>738</v>
      </c>
    </row>
    <row r="531" spans="1:3" hidden="1">
      <c r="A531" s="65">
        <v>9001333</v>
      </c>
      <c r="B531" s="65" t="s">
        <v>1252</v>
      </c>
      <c r="C531" s="65" t="s">
        <v>738</v>
      </c>
    </row>
    <row r="532" spans="1:3" hidden="1">
      <c r="A532" s="65">
        <v>9001334</v>
      </c>
      <c r="B532" s="65" t="s">
        <v>1253</v>
      </c>
      <c r="C532" s="65" t="s">
        <v>793</v>
      </c>
    </row>
    <row r="533" spans="1:3" hidden="1">
      <c r="A533" s="65">
        <v>9001335</v>
      </c>
      <c r="B533" s="65" t="s">
        <v>1254</v>
      </c>
      <c r="C533" s="65" t="s">
        <v>793</v>
      </c>
    </row>
    <row r="534" spans="1:3" hidden="1">
      <c r="A534" s="65">
        <v>9001339</v>
      </c>
      <c r="B534" s="65" t="s">
        <v>1255</v>
      </c>
      <c r="C534" s="65" t="s">
        <v>805</v>
      </c>
    </row>
    <row r="535" spans="1:3" hidden="1">
      <c r="A535" s="65">
        <v>9001340</v>
      </c>
      <c r="B535" s="65" t="s">
        <v>1256</v>
      </c>
      <c r="C535" s="65" t="s">
        <v>793</v>
      </c>
    </row>
    <row r="536" spans="1:3" hidden="1">
      <c r="A536" s="65">
        <v>9001341</v>
      </c>
      <c r="B536" s="65" t="s">
        <v>1257</v>
      </c>
      <c r="C536" s="65" t="s">
        <v>805</v>
      </c>
    </row>
    <row r="537" spans="1:3" hidden="1">
      <c r="A537" s="65">
        <v>9001342</v>
      </c>
      <c r="B537" s="65" t="s">
        <v>1258</v>
      </c>
      <c r="C537" s="65" t="s">
        <v>793</v>
      </c>
    </row>
    <row r="538" spans="1:3" hidden="1">
      <c r="A538" s="65">
        <v>9001343</v>
      </c>
      <c r="B538" s="65" t="s">
        <v>1259</v>
      </c>
      <c r="C538" s="65" t="s">
        <v>793</v>
      </c>
    </row>
    <row r="539" spans="1:3" hidden="1">
      <c r="A539" s="65">
        <v>9001349</v>
      </c>
      <c r="B539" s="65" t="s">
        <v>1260</v>
      </c>
      <c r="C539" s="65" t="s">
        <v>664</v>
      </c>
    </row>
    <row r="540" spans="1:3" hidden="1">
      <c r="A540" s="65">
        <v>9001350</v>
      </c>
      <c r="B540" s="65" t="s">
        <v>1261</v>
      </c>
      <c r="C540" s="65" t="s">
        <v>805</v>
      </c>
    </row>
    <row r="541" spans="1:3" hidden="1">
      <c r="A541" s="65">
        <v>9001351</v>
      </c>
      <c r="B541" s="65" t="s">
        <v>1262</v>
      </c>
      <c r="C541" s="65" t="s">
        <v>793</v>
      </c>
    </row>
    <row r="542" spans="1:3" hidden="1">
      <c r="A542" s="65">
        <v>9001352</v>
      </c>
      <c r="B542" s="65" t="s">
        <v>1263</v>
      </c>
      <c r="C542" s="65" t="s">
        <v>664</v>
      </c>
    </row>
    <row r="543" spans="1:3" hidden="1">
      <c r="A543" s="65">
        <v>9001353</v>
      </c>
      <c r="B543" s="65" t="s">
        <v>1264</v>
      </c>
      <c r="C543" s="65" t="s">
        <v>805</v>
      </c>
    </row>
    <row r="544" spans="1:3" hidden="1">
      <c r="A544" s="65">
        <v>9001354</v>
      </c>
      <c r="B544" s="65" t="s">
        <v>1265</v>
      </c>
      <c r="C544" s="65" t="s">
        <v>664</v>
      </c>
    </row>
    <row r="545" spans="1:3" hidden="1">
      <c r="A545" s="65">
        <v>9001355</v>
      </c>
      <c r="B545" s="65" t="s">
        <v>1266</v>
      </c>
      <c r="C545" s="65" t="s">
        <v>793</v>
      </c>
    </row>
    <row r="546" spans="1:3" hidden="1">
      <c r="A546" s="65">
        <v>9001356</v>
      </c>
      <c r="B546" s="65" t="s">
        <v>1267</v>
      </c>
      <c r="C546" s="65" t="s">
        <v>793</v>
      </c>
    </row>
    <row r="547" spans="1:3" hidden="1">
      <c r="A547" s="65">
        <v>9001357</v>
      </c>
      <c r="B547" s="65" t="s">
        <v>1268</v>
      </c>
      <c r="C547" s="65" t="s">
        <v>793</v>
      </c>
    </row>
    <row r="548" spans="1:3" hidden="1">
      <c r="A548" s="65">
        <v>9001358</v>
      </c>
      <c r="B548" s="65" t="s">
        <v>1269</v>
      </c>
      <c r="C548" s="65" t="s">
        <v>793</v>
      </c>
    </row>
    <row r="549" spans="1:3" hidden="1">
      <c r="A549" s="65">
        <v>9001359</v>
      </c>
      <c r="B549" s="65" t="s">
        <v>1270</v>
      </c>
      <c r="C549" s="65" t="s">
        <v>664</v>
      </c>
    </row>
    <row r="550" spans="1:3" hidden="1">
      <c r="A550" s="65">
        <v>9001360</v>
      </c>
      <c r="B550" s="65" t="s">
        <v>1271</v>
      </c>
      <c r="C550" s="65" t="s">
        <v>738</v>
      </c>
    </row>
    <row r="551" spans="1:3" hidden="1">
      <c r="A551" s="65">
        <v>9001361</v>
      </c>
      <c r="B551" s="65" t="s">
        <v>1272</v>
      </c>
      <c r="C551" s="65" t="s">
        <v>738</v>
      </c>
    </row>
    <row r="552" spans="1:3" hidden="1">
      <c r="A552" s="65">
        <v>9001362</v>
      </c>
      <c r="B552" s="65" t="s">
        <v>1273</v>
      </c>
      <c r="C552" s="65" t="s">
        <v>805</v>
      </c>
    </row>
    <row r="553" spans="1:3" hidden="1">
      <c r="A553" s="65">
        <v>9001363</v>
      </c>
      <c r="B553" s="65" t="s">
        <v>1274</v>
      </c>
      <c r="C553" s="65" t="s">
        <v>805</v>
      </c>
    </row>
    <row r="554" spans="1:3" hidden="1">
      <c r="A554" s="65">
        <v>9001364</v>
      </c>
      <c r="B554" s="65" t="s">
        <v>1275</v>
      </c>
      <c r="C554" s="65" t="s">
        <v>805</v>
      </c>
    </row>
    <row r="555" spans="1:3" hidden="1">
      <c r="A555" s="65">
        <v>9001365</v>
      </c>
      <c r="B555" s="65" t="s">
        <v>1276</v>
      </c>
      <c r="C555" s="65" t="s">
        <v>805</v>
      </c>
    </row>
    <row r="556" spans="1:3" hidden="1">
      <c r="A556" s="65">
        <v>9001366</v>
      </c>
      <c r="B556" s="65" t="s">
        <v>1277</v>
      </c>
      <c r="C556" s="65" t="s">
        <v>805</v>
      </c>
    </row>
    <row r="557" spans="1:3" hidden="1">
      <c r="A557" s="65">
        <v>9001367</v>
      </c>
      <c r="B557" s="65" t="s">
        <v>1278</v>
      </c>
      <c r="C557" s="65" t="s">
        <v>738</v>
      </c>
    </row>
    <row r="558" spans="1:3" hidden="1">
      <c r="A558" s="65">
        <v>9001368</v>
      </c>
      <c r="B558" s="65" t="s">
        <v>1279</v>
      </c>
      <c r="C558" s="65" t="s">
        <v>738</v>
      </c>
    </row>
    <row r="559" spans="1:3" hidden="1">
      <c r="A559" s="65">
        <v>9001369</v>
      </c>
      <c r="B559" s="65" t="s">
        <v>1280</v>
      </c>
      <c r="C559" s="65" t="s">
        <v>805</v>
      </c>
    </row>
    <row r="560" spans="1:3" hidden="1">
      <c r="A560" s="65">
        <v>9001370</v>
      </c>
      <c r="B560" s="65" t="s">
        <v>1281</v>
      </c>
      <c r="C560" s="65" t="s">
        <v>786</v>
      </c>
    </row>
    <row r="561" spans="1:3" hidden="1">
      <c r="A561" s="65">
        <v>9001379</v>
      </c>
      <c r="B561" s="65" t="s">
        <v>1282</v>
      </c>
      <c r="C561" s="65" t="s">
        <v>805</v>
      </c>
    </row>
    <row r="562" spans="1:3" hidden="1">
      <c r="A562" s="65">
        <v>9001380</v>
      </c>
      <c r="B562" s="65" t="s">
        <v>1283</v>
      </c>
      <c r="C562" s="65" t="s">
        <v>677</v>
      </c>
    </row>
    <row r="563" spans="1:3" hidden="1">
      <c r="A563" s="65">
        <v>9001381</v>
      </c>
      <c r="B563" s="65" t="s">
        <v>1284</v>
      </c>
      <c r="C563" s="65" t="s">
        <v>805</v>
      </c>
    </row>
    <row r="564" spans="1:3" hidden="1">
      <c r="A564" s="65">
        <v>9001382</v>
      </c>
      <c r="B564" s="65" t="s">
        <v>1285</v>
      </c>
      <c r="C564" s="65" t="s">
        <v>738</v>
      </c>
    </row>
    <row r="565" spans="1:3" hidden="1">
      <c r="A565" s="65">
        <v>9001383</v>
      </c>
      <c r="B565" s="65" t="s">
        <v>1286</v>
      </c>
      <c r="C565" s="65" t="s">
        <v>738</v>
      </c>
    </row>
    <row r="566" spans="1:3" hidden="1">
      <c r="A566" s="65">
        <v>9001384</v>
      </c>
      <c r="B566" s="65" t="s">
        <v>1287</v>
      </c>
      <c r="C566" s="65" t="s">
        <v>738</v>
      </c>
    </row>
    <row r="567" spans="1:3" hidden="1">
      <c r="A567" s="65">
        <v>9001385</v>
      </c>
      <c r="B567" s="65" t="s">
        <v>1288</v>
      </c>
      <c r="C567" s="65" t="s">
        <v>738</v>
      </c>
    </row>
    <row r="568" spans="1:3" hidden="1">
      <c r="A568" s="65">
        <v>9001386</v>
      </c>
      <c r="B568" s="65" t="s">
        <v>1289</v>
      </c>
      <c r="C568" s="65" t="s">
        <v>738</v>
      </c>
    </row>
    <row r="569" spans="1:3" hidden="1">
      <c r="A569" s="65">
        <v>9001387</v>
      </c>
      <c r="B569" s="65" t="s">
        <v>1290</v>
      </c>
      <c r="C569" s="65" t="s">
        <v>738</v>
      </c>
    </row>
    <row r="570" spans="1:3" hidden="1">
      <c r="A570" s="65">
        <v>9001388</v>
      </c>
      <c r="B570" s="65" t="s">
        <v>1291</v>
      </c>
      <c r="C570" s="65" t="s">
        <v>664</v>
      </c>
    </row>
    <row r="571" spans="1:3" hidden="1">
      <c r="A571" s="65">
        <v>9001389</v>
      </c>
      <c r="B571" s="65" t="s">
        <v>1292</v>
      </c>
      <c r="C571" s="65" t="s">
        <v>805</v>
      </c>
    </row>
    <row r="572" spans="1:3" hidden="1">
      <c r="A572" s="65">
        <v>9001399</v>
      </c>
      <c r="B572" s="65" t="s">
        <v>1293</v>
      </c>
      <c r="C572" s="65" t="s">
        <v>793</v>
      </c>
    </row>
    <row r="573" spans="1:3" hidden="1">
      <c r="A573" s="65">
        <v>9001400</v>
      </c>
      <c r="B573" s="65" t="s">
        <v>1294</v>
      </c>
      <c r="C573" s="65" t="s">
        <v>664</v>
      </c>
    </row>
    <row r="574" spans="1:3" hidden="1">
      <c r="A574" s="65">
        <v>9001401</v>
      </c>
      <c r="B574" s="65" t="s">
        <v>1295</v>
      </c>
      <c r="C574" s="65" t="s">
        <v>793</v>
      </c>
    </row>
    <row r="575" spans="1:3" hidden="1">
      <c r="A575" s="65">
        <v>9001402</v>
      </c>
      <c r="B575" s="65" t="s">
        <v>1296</v>
      </c>
      <c r="C575" s="65" t="s">
        <v>805</v>
      </c>
    </row>
    <row r="576" spans="1:3" hidden="1">
      <c r="A576" s="65">
        <v>9001403</v>
      </c>
      <c r="B576" s="65" t="s">
        <v>1297</v>
      </c>
      <c r="C576" s="65" t="s">
        <v>805</v>
      </c>
    </row>
    <row r="577" spans="1:3" hidden="1">
      <c r="A577" s="65">
        <v>9001404</v>
      </c>
      <c r="B577" s="65" t="s">
        <v>1298</v>
      </c>
      <c r="C577" s="65" t="s">
        <v>664</v>
      </c>
    </row>
    <row r="578" spans="1:3" hidden="1">
      <c r="A578" s="65">
        <v>9001405</v>
      </c>
      <c r="B578" s="65" t="s">
        <v>1299</v>
      </c>
      <c r="C578" s="65" t="s">
        <v>664</v>
      </c>
    </row>
    <row r="579" spans="1:3" hidden="1">
      <c r="A579" s="65">
        <v>9001406</v>
      </c>
      <c r="B579" s="65" t="s">
        <v>1300</v>
      </c>
      <c r="C579" s="65" t="s">
        <v>664</v>
      </c>
    </row>
    <row r="580" spans="1:3" hidden="1">
      <c r="A580" s="65">
        <v>9001407</v>
      </c>
      <c r="B580" s="65" t="s">
        <v>1301</v>
      </c>
      <c r="C580" s="65" t="s">
        <v>805</v>
      </c>
    </row>
    <row r="581" spans="1:3" hidden="1">
      <c r="A581" s="65">
        <v>9001408</v>
      </c>
      <c r="B581" s="65" t="s">
        <v>1302</v>
      </c>
      <c r="C581" s="65" t="s">
        <v>738</v>
      </c>
    </row>
    <row r="582" spans="1:3" hidden="1">
      <c r="A582" s="65">
        <v>9001409</v>
      </c>
      <c r="B582" s="65" t="s">
        <v>1303</v>
      </c>
      <c r="C582" s="65" t="s">
        <v>738</v>
      </c>
    </row>
    <row r="583" spans="1:3" hidden="1">
      <c r="A583" s="65">
        <v>9001410</v>
      </c>
      <c r="B583" s="65" t="s">
        <v>1304</v>
      </c>
      <c r="C583" s="65" t="s">
        <v>677</v>
      </c>
    </row>
    <row r="584" spans="1:3" hidden="1">
      <c r="A584" s="65">
        <v>9001411</v>
      </c>
      <c r="B584" s="65" t="s">
        <v>1305</v>
      </c>
      <c r="C584" s="65" t="s">
        <v>738</v>
      </c>
    </row>
    <row r="585" spans="1:3" hidden="1">
      <c r="A585" s="65">
        <v>9001412</v>
      </c>
      <c r="B585" s="65" t="s">
        <v>1306</v>
      </c>
      <c r="C585" s="65" t="s">
        <v>1307</v>
      </c>
    </row>
    <row r="586" spans="1:3" hidden="1">
      <c r="A586" s="65">
        <v>9001413</v>
      </c>
      <c r="B586" s="65" t="s">
        <v>1308</v>
      </c>
      <c r="C586" s="65" t="s">
        <v>805</v>
      </c>
    </row>
    <row r="587" spans="1:3" hidden="1">
      <c r="A587" s="65">
        <v>9001414</v>
      </c>
      <c r="B587" s="65" t="s">
        <v>1309</v>
      </c>
      <c r="C587" s="65" t="s">
        <v>805</v>
      </c>
    </row>
    <row r="588" spans="1:3" hidden="1">
      <c r="A588" s="65">
        <v>9001415</v>
      </c>
      <c r="B588" s="65" t="s">
        <v>1310</v>
      </c>
      <c r="C588" s="65" t="s">
        <v>793</v>
      </c>
    </row>
    <row r="589" spans="1:3" hidden="1">
      <c r="A589" s="65">
        <v>9001416</v>
      </c>
      <c r="B589" s="65" t="s">
        <v>1311</v>
      </c>
      <c r="C589" s="65" t="s">
        <v>1312</v>
      </c>
    </row>
    <row r="590" spans="1:3" hidden="1">
      <c r="A590" s="65">
        <v>9001417</v>
      </c>
      <c r="B590" s="65" t="s">
        <v>1313</v>
      </c>
      <c r="C590" s="65" t="s">
        <v>793</v>
      </c>
    </row>
    <row r="591" spans="1:3" hidden="1">
      <c r="A591" s="65">
        <v>9001419</v>
      </c>
      <c r="B591" s="65" t="s">
        <v>1314</v>
      </c>
      <c r="C591" s="65" t="s">
        <v>793</v>
      </c>
    </row>
    <row r="592" spans="1:3" hidden="1">
      <c r="A592" s="65">
        <v>9001420</v>
      </c>
      <c r="B592" s="65" t="s">
        <v>1315</v>
      </c>
      <c r="C592" s="65" t="s">
        <v>1312</v>
      </c>
    </row>
    <row r="593" spans="1:3" hidden="1">
      <c r="A593" s="65">
        <v>9001421</v>
      </c>
      <c r="B593" s="65" t="s">
        <v>1316</v>
      </c>
      <c r="C593" s="65" t="s">
        <v>793</v>
      </c>
    </row>
    <row r="594" spans="1:3" hidden="1">
      <c r="A594" s="65">
        <v>9001422</v>
      </c>
      <c r="B594" s="65" t="s">
        <v>1317</v>
      </c>
      <c r="C594" s="65" t="s">
        <v>805</v>
      </c>
    </row>
    <row r="595" spans="1:3" hidden="1">
      <c r="A595" s="65">
        <v>9001423</v>
      </c>
      <c r="B595" s="65" t="s">
        <v>1318</v>
      </c>
      <c r="C595" s="65" t="s">
        <v>664</v>
      </c>
    </row>
    <row r="596" spans="1:3" hidden="1">
      <c r="A596" s="65">
        <v>9001429</v>
      </c>
      <c r="B596" s="65" t="s">
        <v>1319</v>
      </c>
      <c r="C596" s="65" t="s">
        <v>793</v>
      </c>
    </row>
    <row r="597" spans="1:3" hidden="1">
      <c r="A597" s="65">
        <v>9001430</v>
      </c>
      <c r="B597" s="65" t="s">
        <v>1320</v>
      </c>
      <c r="C597" s="65" t="s">
        <v>1181</v>
      </c>
    </row>
    <row r="598" spans="1:3" hidden="1">
      <c r="A598" s="65">
        <v>9001431</v>
      </c>
      <c r="B598" s="65" t="s">
        <v>1321</v>
      </c>
      <c r="C598" s="65" t="s">
        <v>805</v>
      </c>
    </row>
    <row r="599" spans="1:3" hidden="1">
      <c r="A599" s="65">
        <v>9001432</v>
      </c>
      <c r="B599" s="65" t="s">
        <v>1322</v>
      </c>
      <c r="C599" s="65" t="s">
        <v>793</v>
      </c>
    </row>
    <row r="600" spans="1:3" hidden="1">
      <c r="A600" s="65">
        <v>9001433</v>
      </c>
      <c r="B600" s="65" t="s">
        <v>1323</v>
      </c>
      <c r="C600" s="65" t="s">
        <v>793</v>
      </c>
    </row>
    <row r="601" spans="1:3" hidden="1">
      <c r="A601" s="65">
        <v>9001434</v>
      </c>
      <c r="B601" s="65" t="s">
        <v>1324</v>
      </c>
      <c r="C601" s="65" t="s">
        <v>805</v>
      </c>
    </row>
    <row r="602" spans="1:3" hidden="1">
      <c r="A602" s="65">
        <v>9001435</v>
      </c>
      <c r="B602" s="65" t="s">
        <v>1325</v>
      </c>
      <c r="C602" s="65" t="s">
        <v>793</v>
      </c>
    </row>
    <row r="603" spans="1:3" hidden="1">
      <c r="A603" s="65">
        <v>9001436</v>
      </c>
      <c r="B603" s="65" t="s">
        <v>1326</v>
      </c>
      <c r="C603" s="65" t="s">
        <v>793</v>
      </c>
    </row>
    <row r="604" spans="1:3" hidden="1">
      <c r="A604" s="65">
        <v>9001437</v>
      </c>
      <c r="B604" s="65" t="s">
        <v>1327</v>
      </c>
      <c r="C604" s="65" t="s">
        <v>793</v>
      </c>
    </row>
    <row r="605" spans="1:3" hidden="1">
      <c r="A605" s="65">
        <v>9001438</v>
      </c>
      <c r="B605" s="65" t="s">
        <v>1328</v>
      </c>
      <c r="C605" s="65" t="s">
        <v>793</v>
      </c>
    </row>
    <row r="606" spans="1:3" hidden="1">
      <c r="A606" s="65">
        <v>9001439</v>
      </c>
      <c r="B606" s="65" t="s">
        <v>1329</v>
      </c>
      <c r="C606" s="65" t="s">
        <v>738</v>
      </c>
    </row>
    <row r="607" spans="1:3" hidden="1">
      <c r="A607" s="65">
        <v>9001440</v>
      </c>
      <c r="B607" s="65" t="s">
        <v>1330</v>
      </c>
      <c r="C607" s="65" t="s">
        <v>786</v>
      </c>
    </row>
    <row r="608" spans="1:3" hidden="1">
      <c r="A608" s="65">
        <v>9001449</v>
      </c>
      <c r="B608" s="65" t="s">
        <v>1331</v>
      </c>
      <c r="C608" s="65" t="s">
        <v>805</v>
      </c>
    </row>
    <row r="609" spans="1:3" hidden="1">
      <c r="A609" s="65">
        <v>9001459</v>
      </c>
      <c r="B609" s="65" t="s">
        <v>1332</v>
      </c>
      <c r="C609" s="65" t="s">
        <v>805</v>
      </c>
    </row>
    <row r="610" spans="1:3" hidden="1">
      <c r="A610" s="65">
        <v>9001460</v>
      </c>
      <c r="B610" s="65" t="s">
        <v>1333</v>
      </c>
      <c r="C610" s="65" t="s">
        <v>793</v>
      </c>
    </row>
    <row r="611" spans="1:3" hidden="1">
      <c r="A611" s="65">
        <v>9001469</v>
      </c>
      <c r="B611" s="65" t="s">
        <v>1334</v>
      </c>
      <c r="C611" s="65" t="s">
        <v>805</v>
      </c>
    </row>
    <row r="612" spans="1:3" hidden="1">
      <c r="A612" s="65">
        <v>9001479</v>
      </c>
      <c r="B612" s="65" t="s">
        <v>1335</v>
      </c>
      <c r="C612" s="65" t="s">
        <v>686</v>
      </c>
    </row>
    <row r="613" spans="1:3" hidden="1">
      <c r="A613" s="65">
        <v>9001480</v>
      </c>
      <c r="B613" s="65" t="s">
        <v>1336</v>
      </c>
      <c r="C613" s="65" t="s">
        <v>786</v>
      </c>
    </row>
    <row r="614" spans="1:3" hidden="1">
      <c r="A614" s="65">
        <v>9001481</v>
      </c>
      <c r="B614" s="65" t="s">
        <v>1337</v>
      </c>
      <c r="C614" s="65" t="s">
        <v>786</v>
      </c>
    </row>
    <row r="615" spans="1:3" hidden="1">
      <c r="A615" s="65">
        <v>9001482</v>
      </c>
      <c r="B615" s="65" t="s">
        <v>1338</v>
      </c>
      <c r="C615" s="65" t="s">
        <v>805</v>
      </c>
    </row>
    <row r="616" spans="1:3" hidden="1">
      <c r="A616" s="65">
        <v>9001483</v>
      </c>
      <c r="B616" s="65" t="s">
        <v>1339</v>
      </c>
      <c r="C616" s="65" t="s">
        <v>1111</v>
      </c>
    </row>
    <row r="617" spans="1:3" hidden="1">
      <c r="A617" s="65">
        <v>9001484</v>
      </c>
      <c r="B617" s="65" t="s">
        <v>1340</v>
      </c>
      <c r="C617" s="65" t="s">
        <v>1111</v>
      </c>
    </row>
    <row r="618" spans="1:3" hidden="1">
      <c r="A618" s="65">
        <v>9001485</v>
      </c>
      <c r="B618" s="65" t="s">
        <v>1341</v>
      </c>
      <c r="C618" s="65" t="s">
        <v>664</v>
      </c>
    </row>
    <row r="619" spans="1:3" hidden="1">
      <c r="A619" s="65">
        <v>9001489</v>
      </c>
      <c r="B619" s="65" t="s">
        <v>1342</v>
      </c>
      <c r="C619" s="65" t="s">
        <v>805</v>
      </c>
    </row>
    <row r="620" spans="1:3" hidden="1">
      <c r="A620" s="65">
        <v>9001499</v>
      </c>
      <c r="B620" s="65" t="s">
        <v>1343</v>
      </c>
      <c r="C620" s="65" t="s">
        <v>1111</v>
      </c>
    </row>
    <row r="621" spans="1:3" hidden="1">
      <c r="A621" s="65">
        <v>9001509</v>
      </c>
      <c r="B621" s="65" t="s">
        <v>1344</v>
      </c>
      <c r="C621" s="65" t="s">
        <v>738</v>
      </c>
    </row>
    <row r="622" spans="1:3" hidden="1">
      <c r="A622" s="65">
        <v>9001519</v>
      </c>
      <c r="B622" s="65" t="s">
        <v>1345</v>
      </c>
      <c r="C622" s="65" t="s">
        <v>807</v>
      </c>
    </row>
    <row r="623" spans="1:3" hidden="1">
      <c r="A623" s="65">
        <v>9001520</v>
      </c>
      <c r="B623" s="65" t="s">
        <v>1346</v>
      </c>
      <c r="C623" s="65" t="s">
        <v>745</v>
      </c>
    </row>
    <row r="624" spans="1:3" hidden="1">
      <c r="A624" s="65">
        <v>9001529</v>
      </c>
      <c r="B624" s="65" t="s">
        <v>1347</v>
      </c>
      <c r="C624" s="65" t="s">
        <v>793</v>
      </c>
    </row>
    <row r="625" spans="1:3" hidden="1">
      <c r="A625" s="65">
        <v>9001530</v>
      </c>
      <c r="B625" s="65" t="s">
        <v>1348</v>
      </c>
      <c r="C625" s="65" t="s">
        <v>793</v>
      </c>
    </row>
    <row r="626" spans="1:3" hidden="1">
      <c r="A626" s="65">
        <v>9001531</v>
      </c>
      <c r="B626" s="65" t="s">
        <v>1349</v>
      </c>
      <c r="C626" s="65" t="s">
        <v>793</v>
      </c>
    </row>
    <row r="627" spans="1:3" hidden="1">
      <c r="A627" s="65">
        <v>9001532</v>
      </c>
      <c r="B627" s="65" t="s">
        <v>1350</v>
      </c>
      <c r="C627" s="65" t="s">
        <v>793</v>
      </c>
    </row>
    <row r="628" spans="1:3" hidden="1">
      <c r="A628" s="65">
        <v>9001533</v>
      </c>
      <c r="B628" s="65" t="s">
        <v>1351</v>
      </c>
      <c r="C628" s="65" t="s">
        <v>793</v>
      </c>
    </row>
    <row r="629" spans="1:3" hidden="1">
      <c r="A629" s="65">
        <v>9001534</v>
      </c>
      <c r="B629" s="65" t="s">
        <v>1352</v>
      </c>
      <c r="C629" s="65" t="s">
        <v>805</v>
      </c>
    </row>
    <row r="630" spans="1:3" hidden="1">
      <c r="A630" s="65">
        <v>9001535</v>
      </c>
      <c r="B630" s="65" t="s">
        <v>1353</v>
      </c>
      <c r="C630" s="65" t="s">
        <v>793</v>
      </c>
    </row>
    <row r="631" spans="1:3" hidden="1">
      <c r="A631" s="65">
        <v>9001536</v>
      </c>
      <c r="B631" s="65" t="s">
        <v>1354</v>
      </c>
      <c r="C631" s="65" t="s">
        <v>793</v>
      </c>
    </row>
    <row r="632" spans="1:3" hidden="1">
      <c r="A632" s="65">
        <v>9001537</v>
      </c>
      <c r="B632" s="65" t="s">
        <v>1355</v>
      </c>
      <c r="C632" s="65" t="s">
        <v>793</v>
      </c>
    </row>
    <row r="633" spans="1:3" hidden="1">
      <c r="A633" s="65">
        <v>9001538</v>
      </c>
      <c r="B633" s="65" t="s">
        <v>1356</v>
      </c>
      <c r="C633" s="65" t="s">
        <v>805</v>
      </c>
    </row>
    <row r="634" spans="1:3" hidden="1">
      <c r="A634" s="65">
        <v>9001539</v>
      </c>
      <c r="B634" s="65" t="s">
        <v>1357</v>
      </c>
      <c r="C634" s="65" t="s">
        <v>793</v>
      </c>
    </row>
    <row r="635" spans="1:3" hidden="1">
      <c r="A635" s="65">
        <v>9001540</v>
      </c>
      <c r="B635" s="65" t="s">
        <v>1358</v>
      </c>
      <c r="C635" s="65" t="s">
        <v>793</v>
      </c>
    </row>
    <row r="636" spans="1:3" hidden="1">
      <c r="A636" s="65">
        <v>9001541</v>
      </c>
      <c r="B636" s="65" t="s">
        <v>1359</v>
      </c>
      <c r="C636" s="65" t="s">
        <v>805</v>
      </c>
    </row>
    <row r="637" spans="1:3" hidden="1">
      <c r="A637" s="65">
        <v>9001542</v>
      </c>
      <c r="B637" s="65" t="s">
        <v>1360</v>
      </c>
      <c r="C637" s="65" t="s">
        <v>805</v>
      </c>
    </row>
    <row r="638" spans="1:3" hidden="1">
      <c r="A638" s="65">
        <v>9001543</v>
      </c>
      <c r="B638" s="65" t="s">
        <v>1361</v>
      </c>
      <c r="C638" s="65" t="s">
        <v>793</v>
      </c>
    </row>
    <row r="639" spans="1:3" hidden="1">
      <c r="A639" s="65">
        <v>9001544</v>
      </c>
      <c r="B639" s="65" t="s">
        <v>1362</v>
      </c>
      <c r="C639" s="65" t="s">
        <v>793</v>
      </c>
    </row>
    <row r="640" spans="1:3" hidden="1">
      <c r="A640" s="65">
        <v>9001545</v>
      </c>
      <c r="B640" s="65" t="s">
        <v>1363</v>
      </c>
      <c r="C640" s="65" t="s">
        <v>805</v>
      </c>
    </row>
    <row r="641" spans="1:3" hidden="1">
      <c r="A641" s="65">
        <v>9001546</v>
      </c>
      <c r="B641" s="65" t="s">
        <v>1364</v>
      </c>
      <c r="C641" s="65" t="s">
        <v>793</v>
      </c>
    </row>
    <row r="642" spans="1:3" hidden="1">
      <c r="A642" s="65">
        <v>9001547</v>
      </c>
      <c r="B642" s="65" t="s">
        <v>1365</v>
      </c>
      <c r="C642" s="65" t="s">
        <v>805</v>
      </c>
    </row>
    <row r="643" spans="1:3" hidden="1">
      <c r="A643" s="65">
        <v>9001548</v>
      </c>
      <c r="B643" s="65" t="s">
        <v>1366</v>
      </c>
      <c r="C643" s="65" t="s">
        <v>793</v>
      </c>
    </row>
    <row r="644" spans="1:3" hidden="1">
      <c r="A644" s="65">
        <v>9001549</v>
      </c>
      <c r="B644" s="65" t="s">
        <v>1367</v>
      </c>
      <c r="C644" s="65" t="s">
        <v>805</v>
      </c>
    </row>
    <row r="645" spans="1:3" hidden="1">
      <c r="A645" s="65">
        <v>9001550</v>
      </c>
      <c r="B645" s="65" t="s">
        <v>1368</v>
      </c>
      <c r="C645" s="65" t="s">
        <v>793</v>
      </c>
    </row>
    <row r="646" spans="1:3" hidden="1">
      <c r="A646" s="65">
        <v>9001551</v>
      </c>
      <c r="B646" s="65" t="s">
        <v>1369</v>
      </c>
      <c r="C646" s="65" t="s">
        <v>793</v>
      </c>
    </row>
    <row r="647" spans="1:3" hidden="1">
      <c r="A647" s="65">
        <v>9001552</v>
      </c>
      <c r="B647" s="65" t="s">
        <v>1370</v>
      </c>
      <c r="C647" s="65" t="s">
        <v>738</v>
      </c>
    </row>
    <row r="648" spans="1:3" hidden="1">
      <c r="A648" s="65">
        <v>9001553</v>
      </c>
      <c r="B648" s="65" t="s">
        <v>1371</v>
      </c>
      <c r="C648" s="65" t="s">
        <v>738</v>
      </c>
    </row>
    <row r="649" spans="1:3" hidden="1">
      <c r="A649" s="65">
        <v>9001554</v>
      </c>
      <c r="B649" s="65" t="s">
        <v>1372</v>
      </c>
      <c r="C649" s="65" t="s">
        <v>738</v>
      </c>
    </row>
    <row r="650" spans="1:3" hidden="1">
      <c r="A650" s="65">
        <v>9001555</v>
      </c>
      <c r="B650" s="65" t="s">
        <v>1373</v>
      </c>
      <c r="C650" s="65" t="s">
        <v>1036</v>
      </c>
    </row>
    <row r="651" spans="1:3" hidden="1">
      <c r="A651" s="65">
        <v>9001556</v>
      </c>
      <c r="B651" s="65" t="s">
        <v>1374</v>
      </c>
      <c r="C651" s="65" t="s">
        <v>1036</v>
      </c>
    </row>
    <row r="652" spans="1:3" hidden="1">
      <c r="A652" s="65">
        <v>9001557</v>
      </c>
      <c r="B652" s="65" t="s">
        <v>1375</v>
      </c>
      <c r="C652" s="65" t="s">
        <v>805</v>
      </c>
    </row>
    <row r="653" spans="1:3" hidden="1">
      <c r="A653" s="65">
        <v>9001558</v>
      </c>
      <c r="B653" s="65" t="s">
        <v>1376</v>
      </c>
      <c r="C653" s="65" t="s">
        <v>793</v>
      </c>
    </row>
    <row r="654" spans="1:3" hidden="1">
      <c r="A654" s="65">
        <v>9001559</v>
      </c>
      <c r="B654" s="65" t="s">
        <v>1377</v>
      </c>
      <c r="C654" s="65" t="s">
        <v>805</v>
      </c>
    </row>
    <row r="655" spans="1:3" hidden="1">
      <c r="A655" s="65">
        <v>9001560</v>
      </c>
      <c r="B655" s="65" t="s">
        <v>1378</v>
      </c>
      <c r="C655" s="65" t="s">
        <v>805</v>
      </c>
    </row>
    <row r="656" spans="1:3" hidden="1">
      <c r="A656" s="65">
        <v>9001561</v>
      </c>
      <c r="B656" s="65" t="s">
        <v>1379</v>
      </c>
      <c r="C656" s="65" t="s">
        <v>793</v>
      </c>
    </row>
    <row r="657" spans="1:3" hidden="1">
      <c r="A657" s="65">
        <v>9001562</v>
      </c>
      <c r="B657" s="65" t="s">
        <v>1380</v>
      </c>
      <c r="C657" s="65" t="s">
        <v>1312</v>
      </c>
    </row>
    <row r="658" spans="1:3" hidden="1">
      <c r="A658" s="65">
        <v>9001563</v>
      </c>
      <c r="B658" s="65" t="s">
        <v>1381</v>
      </c>
      <c r="C658" s="65" t="s">
        <v>805</v>
      </c>
    </row>
    <row r="659" spans="1:3" hidden="1">
      <c r="A659" s="65">
        <v>9001564</v>
      </c>
      <c r="B659" s="65" t="s">
        <v>1382</v>
      </c>
      <c r="C659" s="65" t="s">
        <v>805</v>
      </c>
    </row>
    <row r="660" spans="1:3" hidden="1">
      <c r="A660" s="65">
        <v>9001565</v>
      </c>
      <c r="B660" s="65" t="s">
        <v>1383</v>
      </c>
      <c r="C660" s="65" t="s">
        <v>805</v>
      </c>
    </row>
    <row r="661" spans="1:3" hidden="1">
      <c r="A661" s="65">
        <v>9001566</v>
      </c>
      <c r="B661" s="65" t="s">
        <v>1384</v>
      </c>
      <c r="C661" s="65" t="s">
        <v>805</v>
      </c>
    </row>
    <row r="662" spans="1:3" hidden="1">
      <c r="A662" s="65">
        <v>9001567</v>
      </c>
      <c r="B662" s="65" t="s">
        <v>1385</v>
      </c>
      <c r="C662" s="65" t="s">
        <v>805</v>
      </c>
    </row>
    <row r="663" spans="1:3" hidden="1">
      <c r="A663" s="65">
        <v>9001568</v>
      </c>
      <c r="B663" s="65" t="s">
        <v>1386</v>
      </c>
      <c r="C663" s="65" t="s">
        <v>805</v>
      </c>
    </row>
    <row r="664" spans="1:3" hidden="1">
      <c r="A664" s="65">
        <v>9001569</v>
      </c>
      <c r="B664" s="65" t="s">
        <v>1387</v>
      </c>
      <c r="C664" s="65" t="s">
        <v>683</v>
      </c>
    </row>
    <row r="665" spans="1:3" hidden="1">
      <c r="A665" s="65">
        <v>9001570</v>
      </c>
      <c r="B665" s="65" t="s">
        <v>1388</v>
      </c>
      <c r="C665" s="65" t="s">
        <v>679</v>
      </c>
    </row>
    <row r="666" spans="1:3" hidden="1">
      <c r="A666" s="65">
        <v>9001579</v>
      </c>
      <c r="B666" s="65" t="s">
        <v>1389</v>
      </c>
      <c r="C666" s="65" t="s">
        <v>738</v>
      </c>
    </row>
    <row r="667" spans="1:3" hidden="1">
      <c r="A667" s="65">
        <v>9001580</v>
      </c>
      <c r="B667" s="65" t="s">
        <v>1390</v>
      </c>
      <c r="C667" s="65" t="s">
        <v>664</v>
      </c>
    </row>
    <row r="668" spans="1:3" hidden="1">
      <c r="A668" s="65">
        <v>9001581</v>
      </c>
      <c r="B668" s="65" t="s">
        <v>1391</v>
      </c>
      <c r="C668" s="65" t="s">
        <v>664</v>
      </c>
    </row>
    <row r="669" spans="1:3" hidden="1">
      <c r="A669" s="65">
        <v>9001582</v>
      </c>
      <c r="B669" s="65" t="s">
        <v>1392</v>
      </c>
      <c r="C669" s="65" t="s">
        <v>805</v>
      </c>
    </row>
    <row r="670" spans="1:3" hidden="1">
      <c r="A670" s="65">
        <v>9001583</v>
      </c>
      <c r="B670" s="65" t="s">
        <v>1393</v>
      </c>
      <c r="C670" s="65" t="s">
        <v>1394</v>
      </c>
    </row>
    <row r="671" spans="1:3" hidden="1">
      <c r="A671" s="65">
        <v>9001589</v>
      </c>
      <c r="B671" s="65" t="s">
        <v>1395</v>
      </c>
      <c r="C671" s="65" t="s">
        <v>793</v>
      </c>
    </row>
    <row r="672" spans="1:3" hidden="1">
      <c r="A672" s="65">
        <v>9001590</v>
      </c>
      <c r="B672" s="65" t="s">
        <v>1396</v>
      </c>
      <c r="C672" s="65" t="s">
        <v>793</v>
      </c>
    </row>
    <row r="673" spans="1:3" hidden="1">
      <c r="A673" s="65">
        <v>9001591</v>
      </c>
      <c r="B673" s="65" t="s">
        <v>1397</v>
      </c>
      <c r="C673" s="65" t="s">
        <v>793</v>
      </c>
    </row>
    <row r="674" spans="1:3" hidden="1">
      <c r="A674" s="65">
        <v>9001592</v>
      </c>
      <c r="B674" s="65" t="s">
        <v>1398</v>
      </c>
      <c r="C674" s="65" t="s">
        <v>738</v>
      </c>
    </row>
    <row r="675" spans="1:3" hidden="1">
      <c r="A675" s="65">
        <v>9001593</v>
      </c>
      <c r="B675" s="65" t="s">
        <v>1399</v>
      </c>
      <c r="C675" s="65" t="s">
        <v>738</v>
      </c>
    </row>
    <row r="676" spans="1:3" hidden="1">
      <c r="A676" s="65">
        <v>9001594</v>
      </c>
      <c r="B676" s="65" t="s">
        <v>1400</v>
      </c>
      <c r="C676" s="65" t="s">
        <v>1401</v>
      </c>
    </row>
    <row r="677" spans="1:3" hidden="1">
      <c r="A677" s="65">
        <v>9001599</v>
      </c>
      <c r="B677" s="65" t="s">
        <v>1402</v>
      </c>
      <c r="C677" s="65" t="s">
        <v>793</v>
      </c>
    </row>
    <row r="678" spans="1:3" hidden="1">
      <c r="A678" s="65">
        <v>9001600</v>
      </c>
      <c r="B678" s="65" t="s">
        <v>1403</v>
      </c>
      <c r="C678" s="65" t="s">
        <v>677</v>
      </c>
    </row>
    <row r="679" spans="1:3" hidden="1">
      <c r="A679" s="65">
        <v>9001601</v>
      </c>
      <c r="B679" s="65" t="s">
        <v>1404</v>
      </c>
      <c r="C679" s="65" t="s">
        <v>677</v>
      </c>
    </row>
    <row r="680" spans="1:3" hidden="1">
      <c r="A680" s="65">
        <v>9001602</v>
      </c>
      <c r="B680" s="65" t="s">
        <v>1405</v>
      </c>
      <c r="C680" s="65" t="s">
        <v>805</v>
      </c>
    </row>
    <row r="681" spans="1:3" hidden="1">
      <c r="A681" s="65">
        <v>9001603</v>
      </c>
      <c r="B681" s="65" t="s">
        <v>1406</v>
      </c>
      <c r="C681" s="65" t="s">
        <v>807</v>
      </c>
    </row>
    <row r="682" spans="1:3" hidden="1">
      <c r="A682" s="65">
        <v>9001604</v>
      </c>
      <c r="B682" s="65" t="s">
        <v>1407</v>
      </c>
      <c r="C682" s="65" t="s">
        <v>807</v>
      </c>
    </row>
    <row r="683" spans="1:3" hidden="1">
      <c r="A683" s="65">
        <v>9001605</v>
      </c>
      <c r="B683" s="65" t="s">
        <v>1408</v>
      </c>
      <c r="C683" s="65" t="s">
        <v>807</v>
      </c>
    </row>
    <row r="684" spans="1:3" hidden="1">
      <c r="A684" s="65">
        <v>9001606</v>
      </c>
      <c r="B684" s="65" t="s">
        <v>1409</v>
      </c>
      <c r="C684" s="65" t="s">
        <v>683</v>
      </c>
    </row>
    <row r="685" spans="1:3" hidden="1">
      <c r="A685" s="65">
        <v>9001609</v>
      </c>
      <c r="B685" s="65" t="s">
        <v>1410</v>
      </c>
      <c r="C685" s="65" t="s">
        <v>732</v>
      </c>
    </row>
    <row r="686" spans="1:3" hidden="1">
      <c r="A686" s="65">
        <v>9001610</v>
      </c>
      <c r="B686" s="65" t="s">
        <v>1411</v>
      </c>
      <c r="C686" s="65" t="s">
        <v>850</v>
      </c>
    </row>
    <row r="687" spans="1:3" hidden="1">
      <c r="A687" s="65">
        <v>9001619</v>
      </c>
      <c r="B687" s="65" t="s">
        <v>1412</v>
      </c>
      <c r="C687" s="65" t="s">
        <v>738</v>
      </c>
    </row>
    <row r="688" spans="1:3" hidden="1">
      <c r="A688" s="65">
        <v>9001620</v>
      </c>
      <c r="B688" s="65" t="s">
        <v>1413</v>
      </c>
      <c r="C688" s="65" t="s">
        <v>793</v>
      </c>
    </row>
    <row r="689" spans="1:3" hidden="1">
      <c r="A689" s="65">
        <v>9001621</v>
      </c>
      <c r="B689" s="65" t="s">
        <v>1414</v>
      </c>
      <c r="C689" s="65" t="s">
        <v>738</v>
      </c>
    </row>
    <row r="690" spans="1:3" hidden="1">
      <c r="A690" s="65">
        <v>9001622</v>
      </c>
      <c r="B690" s="65" t="s">
        <v>1415</v>
      </c>
      <c r="C690" s="65" t="s">
        <v>793</v>
      </c>
    </row>
    <row r="691" spans="1:3" hidden="1">
      <c r="A691" s="65">
        <v>9001623</v>
      </c>
      <c r="B691" s="65" t="s">
        <v>1416</v>
      </c>
      <c r="C691" s="65" t="s">
        <v>786</v>
      </c>
    </row>
    <row r="692" spans="1:3" hidden="1">
      <c r="A692" s="65">
        <v>9001624</v>
      </c>
      <c r="B692" s="65" t="s">
        <v>1417</v>
      </c>
      <c r="C692" s="65" t="s">
        <v>793</v>
      </c>
    </row>
    <row r="693" spans="1:3" hidden="1">
      <c r="A693" s="65">
        <v>9001625</v>
      </c>
      <c r="B693" s="65" t="s">
        <v>1418</v>
      </c>
      <c r="C693" s="65" t="s">
        <v>793</v>
      </c>
    </row>
    <row r="694" spans="1:3" hidden="1">
      <c r="A694" s="65">
        <v>9001626</v>
      </c>
      <c r="B694" s="65" t="s">
        <v>1419</v>
      </c>
      <c r="C694" s="65" t="s">
        <v>793</v>
      </c>
    </row>
    <row r="695" spans="1:3" hidden="1">
      <c r="A695" s="65">
        <v>9001629</v>
      </c>
      <c r="B695" s="65" t="s">
        <v>1420</v>
      </c>
      <c r="C695" s="65" t="s">
        <v>805</v>
      </c>
    </row>
    <row r="696" spans="1:3" hidden="1">
      <c r="A696" s="65">
        <v>9001630</v>
      </c>
      <c r="B696" s="65" t="s">
        <v>1421</v>
      </c>
      <c r="C696" s="65" t="s">
        <v>732</v>
      </c>
    </row>
    <row r="697" spans="1:3" hidden="1">
      <c r="A697" s="65">
        <v>9001639</v>
      </c>
      <c r="B697" s="65" t="s">
        <v>1422</v>
      </c>
      <c r="C697" s="65" t="s">
        <v>738</v>
      </c>
    </row>
    <row r="698" spans="1:3" hidden="1">
      <c r="A698" s="65">
        <v>9001640</v>
      </c>
      <c r="B698" s="65" t="s">
        <v>1423</v>
      </c>
      <c r="C698" s="65" t="s">
        <v>937</v>
      </c>
    </row>
    <row r="699" spans="1:3" hidden="1">
      <c r="A699" s="65">
        <v>9001641</v>
      </c>
      <c r="B699" s="65" t="s">
        <v>1424</v>
      </c>
      <c r="C699" s="65" t="s">
        <v>1425</v>
      </c>
    </row>
    <row r="700" spans="1:3" hidden="1">
      <c r="A700" s="65">
        <v>9001642</v>
      </c>
      <c r="B700" s="65" t="s">
        <v>1426</v>
      </c>
      <c r="C700" s="65" t="s">
        <v>805</v>
      </c>
    </row>
    <row r="701" spans="1:3" hidden="1">
      <c r="A701" s="65">
        <v>9001643</v>
      </c>
      <c r="B701" s="65" t="s">
        <v>1427</v>
      </c>
      <c r="C701" s="65" t="s">
        <v>805</v>
      </c>
    </row>
    <row r="702" spans="1:3" hidden="1">
      <c r="A702" s="65">
        <v>9001644</v>
      </c>
      <c r="B702" s="65" t="s">
        <v>1428</v>
      </c>
      <c r="C702" s="65" t="s">
        <v>805</v>
      </c>
    </row>
    <row r="703" spans="1:3" hidden="1">
      <c r="A703" s="65">
        <v>9001645</v>
      </c>
      <c r="B703" s="65" t="s">
        <v>1429</v>
      </c>
      <c r="C703" s="65" t="s">
        <v>805</v>
      </c>
    </row>
    <row r="704" spans="1:3" hidden="1">
      <c r="A704" s="65">
        <v>9001646</v>
      </c>
      <c r="B704" s="65" t="s">
        <v>1430</v>
      </c>
      <c r="C704" s="65" t="s">
        <v>805</v>
      </c>
    </row>
    <row r="705" spans="1:3" hidden="1">
      <c r="A705" s="65">
        <v>9001647</v>
      </c>
      <c r="B705" s="65" t="s">
        <v>1431</v>
      </c>
      <c r="C705" s="65" t="s">
        <v>664</v>
      </c>
    </row>
    <row r="706" spans="1:3" hidden="1">
      <c r="A706" s="65">
        <v>9001648</v>
      </c>
      <c r="B706" s="65" t="s">
        <v>1432</v>
      </c>
      <c r="C706" s="65" t="s">
        <v>738</v>
      </c>
    </row>
    <row r="707" spans="1:3" hidden="1">
      <c r="A707" s="65">
        <v>9001649</v>
      </c>
      <c r="B707" s="65" t="s">
        <v>1433</v>
      </c>
      <c r="C707" s="65" t="s">
        <v>793</v>
      </c>
    </row>
    <row r="708" spans="1:3" hidden="1">
      <c r="A708" s="65">
        <v>9001650</v>
      </c>
      <c r="B708" s="65" t="s">
        <v>1434</v>
      </c>
      <c r="C708" s="65" t="s">
        <v>738</v>
      </c>
    </row>
    <row r="709" spans="1:3" hidden="1">
      <c r="A709" s="65">
        <v>9001659</v>
      </c>
      <c r="B709" s="65" t="s">
        <v>1435</v>
      </c>
      <c r="C709" s="65" t="s">
        <v>677</v>
      </c>
    </row>
    <row r="710" spans="1:3" hidden="1">
      <c r="A710" s="65">
        <v>9001669</v>
      </c>
      <c r="B710" s="65" t="s">
        <v>1436</v>
      </c>
      <c r="C710" s="65" t="s">
        <v>793</v>
      </c>
    </row>
    <row r="711" spans="1:3" hidden="1">
      <c r="A711" s="65">
        <v>9001679</v>
      </c>
      <c r="B711" s="65" t="s">
        <v>1437</v>
      </c>
      <c r="C711" s="65" t="s">
        <v>664</v>
      </c>
    </row>
    <row r="712" spans="1:3" hidden="1">
      <c r="A712" s="65">
        <v>9001689</v>
      </c>
      <c r="B712" s="65" t="s">
        <v>1438</v>
      </c>
      <c r="C712" s="65" t="s">
        <v>805</v>
      </c>
    </row>
    <row r="713" spans="1:3" hidden="1">
      <c r="A713" s="65">
        <v>9001690</v>
      </c>
      <c r="B713" s="65" t="s">
        <v>1439</v>
      </c>
      <c r="C713" s="65" t="s">
        <v>805</v>
      </c>
    </row>
    <row r="714" spans="1:3" hidden="1">
      <c r="A714" s="65">
        <v>9001691</v>
      </c>
      <c r="B714" s="65" t="s">
        <v>1440</v>
      </c>
      <c r="C714" s="65" t="s">
        <v>805</v>
      </c>
    </row>
    <row r="715" spans="1:3" hidden="1">
      <c r="A715" s="65">
        <v>9001699</v>
      </c>
      <c r="B715" s="65" t="s">
        <v>1441</v>
      </c>
      <c r="C715" s="65" t="s">
        <v>825</v>
      </c>
    </row>
    <row r="716" spans="1:3" hidden="1">
      <c r="A716" s="65">
        <v>9001700</v>
      </c>
      <c r="B716" s="65" t="s">
        <v>1442</v>
      </c>
      <c r="C716" s="65" t="s">
        <v>786</v>
      </c>
    </row>
    <row r="717" spans="1:3" hidden="1">
      <c r="A717" s="65">
        <v>9001709</v>
      </c>
      <c r="B717" s="65" t="s">
        <v>1443</v>
      </c>
      <c r="C717" s="65" t="s">
        <v>786</v>
      </c>
    </row>
    <row r="718" spans="1:3" hidden="1">
      <c r="A718" s="65">
        <v>9001710</v>
      </c>
      <c r="B718" s="65" t="s">
        <v>1444</v>
      </c>
      <c r="C718" s="65" t="s">
        <v>664</v>
      </c>
    </row>
    <row r="719" spans="1:3" hidden="1">
      <c r="A719" s="65">
        <v>9001711</v>
      </c>
      <c r="B719" s="65" t="s">
        <v>1445</v>
      </c>
      <c r="C719" s="65" t="s">
        <v>664</v>
      </c>
    </row>
    <row r="720" spans="1:3" hidden="1">
      <c r="A720" s="65">
        <v>9001712</v>
      </c>
      <c r="B720" s="65" t="s">
        <v>1446</v>
      </c>
      <c r="C720" s="65" t="s">
        <v>805</v>
      </c>
    </row>
    <row r="721" spans="1:3" hidden="1">
      <c r="A721" s="65">
        <v>9001713</v>
      </c>
      <c r="B721" s="65" t="s">
        <v>1447</v>
      </c>
      <c r="C721" s="65" t="s">
        <v>805</v>
      </c>
    </row>
    <row r="722" spans="1:3" hidden="1">
      <c r="A722" s="65">
        <v>9001714</v>
      </c>
      <c r="B722" s="65" t="s">
        <v>1448</v>
      </c>
      <c r="C722" s="65" t="s">
        <v>805</v>
      </c>
    </row>
    <row r="723" spans="1:3" hidden="1">
      <c r="A723" s="65">
        <v>9001715</v>
      </c>
      <c r="B723" s="65" t="s">
        <v>1449</v>
      </c>
      <c r="C723" s="65" t="s">
        <v>674</v>
      </c>
    </row>
    <row r="724" spans="1:3" hidden="1">
      <c r="A724" s="65">
        <v>9001716</v>
      </c>
      <c r="B724" s="65" t="s">
        <v>1450</v>
      </c>
      <c r="C724" s="65" t="s">
        <v>805</v>
      </c>
    </row>
    <row r="725" spans="1:3" hidden="1">
      <c r="A725" s="65">
        <v>9001717</v>
      </c>
      <c r="B725" s="65" t="s">
        <v>1451</v>
      </c>
      <c r="C725" s="65" t="s">
        <v>805</v>
      </c>
    </row>
    <row r="726" spans="1:3" hidden="1">
      <c r="A726" s="65">
        <v>9001719</v>
      </c>
      <c r="B726" s="65" t="s">
        <v>1452</v>
      </c>
      <c r="C726" s="65" t="s">
        <v>686</v>
      </c>
    </row>
    <row r="727" spans="1:3" hidden="1">
      <c r="A727" s="65">
        <v>9001720</v>
      </c>
      <c r="B727" s="65" t="s">
        <v>1453</v>
      </c>
      <c r="C727" s="65" t="s">
        <v>686</v>
      </c>
    </row>
    <row r="728" spans="1:3" hidden="1">
      <c r="A728" s="65">
        <v>9001721</v>
      </c>
      <c r="B728" s="65" t="s">
        <v>1454</v>
      </c>
      <c r="C728" s="65" t="s">
        <v>807</v>
      </c>
    </row>
    <row r="729" spans="1:3" hidden="1">
      <c r="A729" s="65">
        <v>9001729</v>
      </c>
      <c r="B729" s="65" t="s">
        <v>1455</v>
      </c>
      <c r="C729" s="65" t="s">
        <v>805</v>
      </c>
    </row>
    <row r="730" spans="1:3" hidden="1">
      <c r="A730" s="65">
        <v>9001730</v>
      </c>
      <c r="B730" s="65" t="s">
        <v>1456</v>
      </c>
      <c r="C730" s="65" t="s">
        <v>677</v>
      </c>
    </row>
    <row r="731" spans="1:3" hidden="1">
      <c r="A731" s="65">
        <v>9001731</v>
      </c>
      <c r="B731" s="65" t="s">
        <v>1457</v>
      </c>
      <c r="C731" s="65" t="s">
        <v>738</v>
      </c>
    </row>
    <row r="732" spans="1:3" hidden="1">
      <c r="A732" s="65">
        <v>9001732</v>
      </c>
      <c r="B732" s="65" t="s">
        <v>1458</v>
      </c>
      <c r="C732" s="65" t="s">
        <v>738</v>
      </c>
    </row>
    <row r="733" spans="1:3" hidden="1">
      <c r="A733" s="65">
        <v>9001739</v>
      </c>
      <c r="B733" s="65" t="s">
        <v>1459</v>
      </c>
      <c r="C733" s="65" t="s">
        <v>775</v>
      </c>
    </row>
    <row r="734" spans="1:3" hidden="1">
      <c r="A734" s="65">
        <v>9001749</v>
      </c>
      <c r="B734" s="65" t="s">
        <v>1460</v>
      </c>
      <c r="C734" s="65" t="s">
        <v>805</v>
      </c>
    </row>
    <row r="735" spans="1:3" hidden="1">
      <c r="A735" s="65">
        <v>9001750</v>
      </c>
      <c r="B735" s="65" t="s">
        <v>1461</v>
      </c>
      <c r="C735" s="65" t="s">
        <v>793</v>
      </c>
    </row>
    <row r="736" spans="1:3" hidden="1">
      <c r="A736" s="65">
        <v>9001759</v>
      </c>
      <c r="B736" s="65" t="s">
        <v>1462</v>
      </c>
      <c r="C736" s="65" t="s">
        <v>805</v>
      </c>
    </row>
    <row r="737" spans="1:3" hidden="1">
      <c r="A737" s="65">
        <v>9001760</v>
      </c>
      <c r="B737" s="65" t="s">
        <v>1463</v>
      </c>
      <c r="C737" s="65" t="s">
        <v>793</v>
      </c>
    </row>
    <row r="738" spans="1:3" hidden="1">
      <c r="A738" s="65">
        <v>9001761</v>
      </c>
      <c r="B738" s="65" t="s">
        <v>1464</v>
      </c>
      <c r="C738" s="65" t="s">
        <v>793</v>
      </c>
    </row>
    <row r="739" spans="1:3" hidden="1">
      <c r="A739" s="65">
        <v>9001762</v>
      </c>
      <c r="B739" s="65" t="s">
        <v>1465</v>
      </c>
      <c r="C739" s="65" t="s">
        <v>793</v>
      </c>
    </row>
    <row r="740" spans="1:3" hidden="1">
      <c r="A740" s="65">
        <v>9001763</v>
      </c>
      <c r="B740" s="65" t="s">
        <v>1466</v>
      </c>
      <c r="C740" s="65" t="s">
        <v>793</v>
      </c>
    </row>
    <row r="741" spans="1:3" hidden="1">
      <c r="A741" s="65">
        <v>9001764</v>
      </c>
      <c r="B741" s="65" t="s">
        <v>1467</v>
      </c>
      <c r="C741" s="65" t="s">
        <v>664</v>
      </c>
    </row>
    <row r="742" spans="1:3" hidden="1">
      <c r="A742" s="65">
        <v>9001765</v>
      </c>
      <c r="B742" s="65" t="s">
        <v>1468</v>
      </c>
      <c r="C742" s="65" t="s">
        <v>677</v>
      </c>
    </row>
    <row r="743" spans="1:3" hidden="1">
      <c r="A743" s="65">
        <v>9001766</v>
      </c>
      <c r="B743" s="65" t="s">
        <v>1469</v>
      </c>
      <c r="C743" s="65" t="s">
        <v>788</v>
      </c>
    </row>
    <row r="744" spans="1:3" hidden="1">
      <c r="A744" s="65">
        <v>9001767</v>
      </c>
      <c r="B744" s="65" t="s">
        <v>1470</v>
      </c>
      <c r="C744" s="65" t="s">
        <v>677</v>
      </c>
    </row>
    <row r="745" spans="1:3" hidden="1">
      <c r="A745" s="65">
        <v>9001769</v>
      </c>
      <c r="B745" s="65" t="s">
        <v>1471</v>
      </c>
      <c r="C745" s="65" t="s">
        <v>805</v>
      </c>
    </row>
    <row r="746" spans="1:3" hidden="1">
      <c r="A746" s="65">
        <v>9001770</v>
      </c>
      <c r="B746" s="65" t="s">
        <v>1472</v>
      </c>
      <c r="C746" s="65" t="s">
        <v>805</v>
      </c>
    </row>
    <row r="747" spans="1:3" hidden="1">
      <c r="A747" s="65">
        <v>9001771</v>
      </c>
      <c r="B747" s="65" t="s">
        <v>1473</v>
      </c>
      <c r="C747" s="65" t="s">
        <v>793</v>
      </c>
    </row>
    <row r="748" spans="1:3" hidden="1">
      <c r="A748" s="65">
        <v>9001772</v>
      </c>
      <c r="B748" s="65" t="s">
        <v>1474</v>
      </c>
      <c r="C748" s="65" t="s">
        <v>793</v>
      </c>
    </row>
    <row r="749" spans="1:3" hidden="1">
      <c r="A749" s="65">
        <v>9001779</v>
      </c>
      <c r="B749" s="65" t="s">
        <v>1475</v>
      </c>
      <c r="C749" s="65" t="s">
        <v>745</v>
      </c>
    </row>
    <row r="750" spans="1:3" hidden="1">
      <c r="A750" s="65">
        <v>9001780</v>
      </c>
      <c r="B750" s="65" t="s">
        <v>1476</v>
      </c>
      <c r="C750" s="65" t="s">
        <v>738</v>
      </c>
    </row>
    <row r="751" spans="1:3" hidden="1">
      <c r="A751" s="65">
        <v>9001781</v>
      </c>
      <c r="B751" s="65" t="s">
        <v>1477</v>
      </c>
      <c r="C751" s="65" t="s">
        <v>793</v>
      </c>
    </row>
    <row r="752" spans="1:3" hidden="1">
      <c r="A752" s="65">
        <v>9001789</v>
      </c>
      <c r="B752" s="65" t="s">
        <v>1478</v>
      </c>
      <c r="C752" s="65" t="s">
        <v>805</v>
      </c>
    </row>
    <row r="753" spans="1:3" hidden="1">
      <c r="A753" s="65">
        <v>9001799</v>
      </c>
      <c r="B753" s="65" t="s">
        <v>1479</v>
      </c>
      <c r="C753" s="65" t="s">
        <v>807</v>
      </c>
    </row>
    <row r="754" spans="1:3" hidden="1">
      <c r="A754" s="65">
        <v>9001800</v>
      </c>
      <c r="B754" s="65" t="s">
        <v>1480</v>
      </c>
      <c r="C754" s="65" t="s">
        <v>805</v>
      </c>
    </row>
    <row r="755" spans="1:3" hidden="1">
      <c r="A755" s="65">
        <v>9001809</v>
      </c>
      <c r="B755" s="65" t="s">
        <v>1481</v>
      </c>
      <c r="C755" s="65" t="s">
        <v>805</v>
      </c>
    </row>
    <row r="756" spans="1:3" hidden="1">
      <c r="A756" s="65">
        <v>9001810</v>
      </c>
      <c r="B756" s="65" t="s">
        <v>1482</v>
      </c>
      <c r="C756" s="65" t="s">
        <v>738</v>
      </c>
    </row>
    <row r="757" spans="1:3" hidden="1">
      <c r="A757" s="65">
        <v>9001811</v>
      </c>
      <c r="B757" s="65" t="s">
        <v>1483</v>
      </c>
      <c r="C757" s="65" t="s">
        <v>738</v>
      </c>
    </row>
    <row r="758" spans="1:3" hidden="1">
      <c r="A758" s="65">
        <v>9001812</v>
      </c>
      <c r="B758" s="65" t="s">
        <v>1484</v>
      </c>
      <c r="C758" s="65" t="s">
        <v>738</v>
      </c>
    </row>
    <row r="759" spans="1:3" hidden="1">
      <c r="A759" s="65">
        <v>9001819</v>
      </c>
      <c r="B759" s="65" t="s">
        <v>1485</v>
      </c>
      <c r="C759" s="65" t="s">
        <v>738</v>
      </c>
    </row>
    <row r="760" spans="1:3" hidden="1">
      <c r="A760" s="65">
        <v>9001820</v>
      </c>
      <c r="B760" s="65" t="s">
        <v>1486</v>
      </c>
      <c r="C760" s="65" t="s">
        <v>664</v>
      </c>
    </row>
    <row r="761" spans="1:3" hidden="1">
      <c r="A761" s="65">
        <v>9001829</v>
      </c>
      <c r="B761" s="65" t="s">
        <v>1487</v>
      </c>
      <c r="C761" s="65" t="s">
        <v>786</v>
      </c>
    </row>
    <row r="762" spans="1:3" hidden="1">
      <c r="A762" s="65">
        <v>9001839</v>
      </c>
      <c r="B762" s="65" t="s">
        <v>1488</v>
      </c>
      <c r="C762" s="65" t="s">
        <v>677</v>
      </c>
    </row>
    <row r="763" spans="1:3" hidden="1">
      <c r="A763" s="65">
        <v>9001840</v>
      </c>
      <c r="B763" s="65" t="s">
        <v>1489</v>
      </c>
      <c r="C763" s="65" t="s">
        <v>738</v>
      </c>
    </row>
    <row r="764" spans="1:3" hidden="1">
      <c r="A764" s="65">
        <v>9001849</v>
      </c>
      <c r="B764" s="65" t="s">
        <v>1490</v>
      </c>
      <c r="C764" s="65" t="s">
        <v>805</v>
      </c>
    </row>
    <row r="765" spans="1:3" hidden="1">
      <c r="A765" s="65">
        <v>9001850</v>
      </c>
      <c r="B765" s="65" t="s">
        <v>1491</v>
      </c>
      <c r="C765" s="65" t="s">
        <v>738</v>
      </c>
    </row>
    <row r="766" spans="1:3" hidden="1">
      <c r="A766" s="65">
        <v>9001851</v>
      </c>
      <c r="B766" s="65" t="s">
        <v>1492</v>
      </c>
      <c r="C766" s="65" t="s">
        <v>805</v>
      </c>
    </row>
    <row r="767" spans="1:3" hidden="1">
      <c r="A767" s="65">
        <v>9001852</v>
      </c>
      <c r="B767" s="65" t="s">
        <v>1493</v>
      </c>
      <c r="C767" s="65" t="s">
        <v>664</v>
      </c>
    </row>
    <row r="768" spans="1:3" hidden="1">
      <c r="A768" s="65">
        <v>9001853</v>
      </c>
      <c r="B768" s="65" t="s">
        <v>1494</v>
      </c>
      <c r="C768" s="65" t="s">
        <v>805</v>
      </c>
    </row>
    <row r="769" spans="1:3" hidden="1">
      <c r="A769" s="65">
        <v>9001854</v>
      </c>
      <c r="B769" s="65" t="s">
        <v>1495</v>
      </c>
      <c r="C769" s="65" t="s">
        <v>805</v>
      </c>
    </row>
    <row r="770" spans="1:3" hidden="1">
      <c r="A770" s="65">
        <v>9001855</v>
      </c>
      <c r="B770" s="65" t="s">
        <v>1496</v>
      </c>
      <c r="C770" s="65" t="s">
        <v>664</v>
      </c>
    </row>
    <row r="771" spans="1:3" hidden="1">
      <c r="A771" s="65">
        <v>9001856</v>
      </c>
      <c r="B771" s="65" t="s">
        <v>1497</v>
      </c>
      <c r="C771" s="65" t="s">
        <v>805</v>
      </c>
    </row>
    <row r="772" spans="1:3" hidden="1">
      <c r="A772" s="65">
        <v>9001857</v>
      </c>
      <c r="B772" s="65" t="s">
        <v>1498</v>
      </c>
      <c r="C772" s="65" t="s">
        <v>805</v>
      </c>
    </row>
    <row r="773" spans="1:3" hidden="1">
      <c r="A773" s="65">
        <v>9001858</v>
      </c>
      <c r="B773" s="65" t="s">
        <v>1499</v>
      </c>
      <c r="C773" s="65" t="s">
        <v>805</v>
      </c>
    </row>
    <row r="774" spans="1:3" hidden="1">
      <c r="A774" s="65">
        <v>9001859</v>
      </c>
      <c r="B774" s="65" t="s">
        <v>1500</v>
      </c>
      <c r="C774" s="65" t="s">
        <v>664</v>
      </c>
    </row>
    <row r="775" spans="1:3" hidden="1">
      <c r="A775" s="65">
        <v>9001860</v>
      </c>
      <c r="B775" s="65" t="s">
        <v>1501</v>
      </c>
      <c r="C775" s="65" t="s">
        <v>805</v>
      </c>
    </row>
    <row r="776" spans="1:3" hidden="1">
      <c r="A776" s="65">
        <v>9001861</v>
      </c>
      <c r="B776" s="65" t="s">
        <v>1502</v>
      </c>
      <c r="C776" s="65" t="s">
        <v>664</v>
      </c>
    </row>
    <row r="777" spans="1:3" hidden="1">
      <c r="A777" s="65">
        <v>9001862</v>
      </c>
      <c r="B777" s="65" t="s">
        <v>1503</v>
      </c>
      <c r="C777" s="65" t="s">
        <v>805</v>
      </c>
    </row>
    <row r="778" spans="1:3" hidden="1">
      <c r="A778" s="65">
        <v>9001863</v>
      </c>
      <c r="B778" s="65" t="s">
        <v>1504</v>
      </c>
      <c r="C778" s="65" t="s">
        <v>664</v>
      </c>
    </row>
    <row r="779" spans="1:3" hidden="1">
      <c r="A779" s="65">
        <v>9001864</v>
      </c>
      <c r="B779" s="65" t="s">
        <v>1505</v>
      </c>
      <c r="C779" s="65" t="s">
        <v>805</v>
      </c>
    </row>
    <row r="780" spans="1:3" hidden="1">
      <c r="A780" s="65">
        <v>9001865</v>
      </c>
      <c r="B780" s="65" t="s">
        <v>1506</v>
      </c>
      <c r="C780" s="65" t="s">
        <v>664</v>
      </c>
    </row>
    <row r="781" spans="1:3" hidden="1">
      <c r="A781" s="65">
        <v>9001866</v>
      </c>
      <c r="B781" s="65" t="s">
        <v>1507</v>
      </c>
      <c r="C781" s="65" t="s">
        <v>786</v>
      </c>
    </row>
    <row r="782" spans="1:3" hidden="1">
      <c r="A782" s="65">
        <v>9001867</v>
      </c>
      <c r="B782" s="65" t="s">
        <v>1508</v>
      </c>
      <c r="C782" s="65" t="s">
        <v>805</v>
      </c>
    </row>
    <row r="783" spans="1:3" hidden="1">
      <c r="A783" s="65">
        <v>9001868</v>
      </c>
      <c r="B783" s="65" t="s">
        <v>1509</v>
      </c>
      <c r="C783" s="65" t="s">
        <v>738</v>
      </c>
    </row>
    <row r="784" spans="1:3" hidden="1">
      <c r="A784" s="65">
        <v>9001869</v>
      </c>
      <c r="B784" s="65" t="s">
        <v>1510</v>
      </c>
      <c r="C784" s="65" t="s">
        <v>664</v>
      </c>
    </row>
    <row r="785" spans="1:3" hidden="1">
      <c r="A785" s="65">
        <v>9001870</v>
      </c>
      <c r="B785" s="65" t="s">
        <v>1511</v>
      </c>
      <c r="C785" s="65" t="s">
        <v>805</v>
      </c>
    </row>
    <row r="786" spans="1:3" hidden="1">
      <c r="A786" s="65">
        <v>9001871</v>
      </c>
      <c r="B786" s="65" t="s">
        <v>1512</v>
      </c>
      <c r="C786" s="65" t="s">
        <v>664</v>
      </c>
    </row>
    <row r="787" spans="1:3" hidden="1">
      <c r="A787" s="65">
        <v>9001872</v>
      </c>
      <c r="B787" s="65" t="s">
        <v>1513</v>
      </c>
      <c r="C787" s="65" t="s">
        <v>677</v>
      </c>
    </row>
    <row r="788" spans="1:3" hidden="1">
      <c r="A788" s="65">
        <v>9001873</v>
      </c>
      <c r="B788" s="65" t="s">
        <v>1514</v>
      </c>
      <c r="C788" s="65" t="s">
        <v>926</v>
      </c>
    </row>
    <row r="789" spans="1:3" hidden="1">
      <c r="A789" s="65">
        <v>9001874</v>
      </c>
      <c r="B789" s="65" t="s">
        <v>1515</v>
      </c>
      <c r="C789" s="65" t="s">
        <v>677</v>
      </c>
    </row>
    <row r="790" spans="1:3" hidden="1">
      <c r="A790" s="65">
        <v>9001875</v>
      </c>
      <c r="B790" s="65" t="s">
        <v>1516</v>
      </c>
      <c r="C790" s="65" t="s">
        <v>990</v>
      </c>
    </row>
    <row r="791" spans="1:3" hidden="1">
      <c r="A791" s="65">
        <v>9001876</v>
      </c>
      <c r="B791" s="65" t="s">
        <v>1517</v>
      </c>
      <c r="C791" s="65" t="s">
        <v>683</v>
      </c>
    </row>
    <row r="792" spans="1:3" hidden="1">
      <c r="A792" s="65">
        <v>9001877</v>
      </c>
      <c r="B792" s="65" t="s">
        <v>1518</v>
      </c>
      <c r="C792" s="65" t="s">
        <v>677</v>
      </c>
    </row>
    <row r="793" spans="1:3" hidden="1">
      <c r="A793" s="65">
        <v>9001878</v>
      </c>
      <c r="B793" s="65" t="s">
        <v>1519</v>
      </c>
      <c r="C793" s="65" t="s">
        <v>677</v>
      </c>
    </row>
    <row r="794" spans="1:3" hidden="1">
      <c r="A794" s="65">
        <v>9001879</v>
      </c>
      <c r="B794" s="65" t="s">
        <v>1520</v>
      </c>
      <c r="C794" s="65" t="s">
        <v>793</v>
      </c>
    </row>
    <row r="795" spans="1:3" hidden="1">
      <c r="A795" s="65">
        <v>9001880</v>
      </c>
      <c r="B795" s="65" t="s">
        <v>1521</v>
      </c>
      <c r="C795" s="65" t="s">
        <v>805</v>
      </c>
    </row>
    <row r="796" spans="1:3" hidden="1">
      <c r="A796" s="65">
        <v>9001881</v>
      </c>
      <c r="B796" s="65" t="s">
        <v>1522</v>
      </c>
      <c r="C796" s="65" t="s">
        <v>805</v>
      </c>
    </row>
    <row r="797" spans="1:3" hidden="1">
      <c r="A797" s="65">
        <v>9001882</v>
      </c>
      <c r="B797" s="65" t="s">
        <v>1523</v>
      </c>
      <c r="C797" s="65" t="s">
        <v>793</v>
      </c>
    </row>
    <row r="798" spans="1:3" hidden="1">
      <c r="A798" s="65">
        <v>9001883</v>
      </c>
      <c r="B798" s="65" t="s">
        <v>1524</v>
      </c>
      <c r="C798" s="65" t="s">
        <v>805</v>
      </c>
    </row>
    <row r="799" spans="1:3" hidden="1">
      <c r="A799" s="65">
        <v>9001884</v>
      </c>
      <c r="B799" s="65" t="s">
        <v>1525</v>
      </c>
      <c r="C799" s="65" t="s">
        <v>805</v>
      </c>
    </row>
    <row r="800" spans="1:3" hidden="1">
      <c r="A800" s="65">
        <v>9001885</v>
      </c>
      <c r="B800" s="65" t="s">
        <v>1526</v>
      </c>
      <c r="C800" s="65" t="s">
        <v>805</v>
      </c>
    </row>
    <row r="801" spans="1:3" hidden="1">
      <c r="A801" s="65">
        <v>9001886</v>
      </c>
      <c r="B801" s="65" t="s">
        <v>1527</v>
      </c>
      <c r="C801" s="65" t="s">
        <v>805</v>
      </c>
    </row>
    <row r="802" spans="1:3" hidden="1">
      <c r="A802" s="65">
        <v>9001887</v>
      </c>
      <c r="B802" s="65" t="s">
        <v>1528</v>
      </c>
      <c r="C802" s="65" t="s">
        <v>805</v>
      </c>
    </row>
    <row r="803" spans="1:3" hidden="1">
      <c r="A803" s="65">
        <v>9001888</v>
      </c>
      <c r="B803" s="65" t="s">
        <v>1529</v>
      </c>
      <c r="C803" s="65" t="s">
        <v>805</v>
      </c>
    </row>
    <row r="804" spans="1:3" hidden="1">
      <c r="A804" s="65">
        <v>9001889</v>
      </c>
      <c r="B804" s="65" t="s">
        <v>1530</v>
      </c>
      <c r="C804" s="65" t="s">
        <v>805</v>
      </c>
    </row>
    <row r="805" spans="1:3" hidden="1">
      <c r="A805" s="65">
        <v>9001890</v>
      </c>
      <c r="B805" s="65" t="s">
        <v>1531</v>
      </c>
      <c r="C805" s="65" t="s">
        <v>805</v>
      </c>
    </row>
    <row r="806" spans="1:3" hidden="1">
      <c r="A806" s="65">
        <v>9001891</v>
      </c>
      <c r="B806" s="65" t="s">
        <v>1532</v>
      </c>
      <c r="C806" s="65" t="s">
        <v>805</v>
      </c>
    </row>
    <row r="807" spans="1:3" hidden="1">
      <c r="A807" s="65">
        <v>9001892</v>
      </c>
      <c r="B807" s="65" t="s">
        <v>1533</v>
      </c>
      <c r="C807" s="65" t="s">
        <v>793</v>
      </c>
    </row>
    <row r="808" spans="1:3" hidden="1">
      <c r="A808" s="65">
        <v>9001893</v>
      </c>
      <c r="B808" s="65" t="s">
        <v>1534</v>
      </c>
      <c r="C808" s="65" t="s">
        <v>793</v>
      </c>
    </row>
    <row r="809" spans="1:3" hidden="1">
      <c r="A809" s="65">
        <v>9001894</v>
      </c>
      <c r="B809" s="65" t="s">
        <v>1535</v>
      </c>
      <c r="C809" s="65" t="s">
        <v>793</v>
      </c>
    </row>
    <row r="810" spans="1:3" hidden="1">
      <c r="A810" s="65">
        <v>9001895</v>
      </c>
      <c r="B810" s="65" t="s">
        <v>1536</v>
      </c>
      <c r="C810" s="65" t="s">
        <v>1181</v>
      </c>
    </row>
    <row r="811" spans="1:3" hidden="1">
      <c r="A811" s="65">
        <v>9001896</v>
      </c>
      <c r="B811" s="65" t="s">
        <v>1537</v>
      </c>
      <c r="C811" s="65" t="s">
        <v>741</v>
      </c>
    </row>
    <row r="812" spans="1:3" hidden="1">
      <c r="A812" s="65">
        <v>9001899</v>
      </c>
      <c r="B812" s="65" t="s">
        <v>1538</v>
      </c>
      <c r="C812" s="65" t="s">
        <v>805</v>
      </c>
    </row>
    <row r="813" spans="1:3" hidden="1">
      <c r="A813" s="65">
        <v>9001900</v>
      </c>
      <c r="B813" s="65" t="s">
        <v>1539</v>
      </c>
      <c r="C813" s="65" t="s">
        <v>805</v>
      </c>
    </row>
    <row r="814" spans="1:3" hidden="1">
      <c r="A814" s="65">
        <v>9001901</v>
      </c>
      <c r="B814" s="65" t="s">
        <v>1540</v>
      </c>
      <c r="C814" s="65" t="s">
        <v>664</v>
      </c>
    </row>
    <row r="815" spans="1:3" hidden="1">
      <c r="A815" s="65">
        <v>9001902</v>
      </c>
      <c r="B815" s="65" t="s">
        <v>1541</v>
      </c>
      <c r="C815" s="65" t="s">
        <v>793</v>
      </c>
    </row>
    <row r="816" spans="1:3" hidden="1">
      <c r="A816" s="65">
        <v>9001909</v>
      </c>
      <c r="B816" s="65" t="s">
        <v>1542</v>
      </c>
      <c r="C816" s="65" t="s">
        <v>793</v>
      </c>
    </row>
    <row r="817" spans="1:3" hidden="1">
      <c r="A817" s="65">
        <v>9001910</v>
      </c>
      <c r="B817" s="65" t="s">
        <v>1543</v>
      </c>
      <c r="C817" s="65" t="s">
        <v>793</v>
      </c>
    </row>
    <row r="818" spans="1:3" hidden="1">
      <c r="A818" s="65">
        <v>9001911</v>
      </c>
      <c r="B818" s="65" t="s">
        <v>1544</v>
      </c>
      <c r="C818" s="65" t="s">
        <v>900</v>
      </c>
    </row>
    <row r="819" spans="1:3" hidden="1">
      <c r="A819" s="65">
        <v>9001912</v>
      </c>
      <c r="B819" s="65" t="s">
        <v>1545</v>
      </c>
      <c r="C819" s="65" t="s">
        <v>793</v>
      </c>
    </row>
    <row r="820" spans="1:3" hidden="1">
      <c r="A820" s="65">
        <v>9001913</v>
      </c>
      <c r="B820" s="65" t="s">
        <v>1546</v>
      </c>
      <c r="C820" s="65" t="s">
        <v>805</v>
      </c>
    </row>
    <row r="821" spans="1:3" hidden="1">
      <c r="A821" s="65">
        <v>9001919</v>
      </c>
      <c r="B821" s="65" t="s">
        <v>1547</v>
      </c>
      <c r="C821" s="65" t="s">
        <v>805</v>
      </c>
    </row>
    <row r="822" spans="1:3" hidden="1">
      <c r="A822" s="65">
        <v>9001920</v>
      </c>
      <c r="B822" s="65" t="s">
        <v>1548</v>
      </c>
      <c r="C822" s="65" t="s">
        <v>738</v>
      </c>
    </row>
    <row r="823" spans="1:3" hidden="1">
      <c r="A823" s="65">
        <v>9001921</v>
      </c>
      <c r="B823" s="65" t="s">
        <v>1549</v>
      </c>
      <c r="C823" s="65" t="s">
        <v>677</v>
      </c>
    </row>
    <row r="824" spans="1:3" hidden="1">
      <c r="A824" s="65">
        <v>9001922</v>
      </c>
      <c r="B824" s="65" t="s">
        <v>1550</v>
      </c>
      <c r="C824" s="65" t="s">
        <v>677</v>
      </c>
    </row>
    <row r="825" spans="1:3" hidden="1">
      <c r="A825" s="65">
        <v>9001923</v>
      </c>
      <c r="B825" s="65" t="s">
        <v>1551</v>
      </c>
      <c r="C825" s="65" t="s">
        <v>677</v>
      </c>
    </row>
    <row r="826" spans="1:3" hidden="1">
      <c r="A826" s="65">
        <v>9001924</v>
      </c>
      <c r="B826" s="65" t="s">
        <v>1552</v>
      </c>
      <c r="C826" s="65" t="s">
        <v>1553</v>
      </c>
    </row>
    <row r="827" spans="1:3" hidden="1">
      <c r="A827" s="65">
        <v>9001925</v>
      </c>
      <c r="B827" s="65" t="s">
        <v>1554</v>
      </c>
      <c r="C827" s="65" t="s">
        <v>727</v>
      </c>
    </row>
    <row r="828" spans="1:3" hidden="1">
      <c r="A828" s="65">
        <v>9001926</v>
      </c>
      <c r="B828" s="65" t="s">
        <v>1555</v>
      </c>
      <c r="C828" s="65" t="s">
        <v>786</v>
      </c>
    </row>
    <row r="829" spans="1:3" hidden="1">
      <c r="A829" s="65">
        <v>9001927</v>
      </c>
      <c r="B829" s="65" t="s">
        <v>1556</v>
      </c>
      <c r="C829" s="65" t="s">
        <v>805</v>
      </c>
    </row>
    <row r="830" spans="1:3" hidden="1">
      <c r="A830" s="65">
        <v>9001928</v>
      </c>
      <c r="B830" s="65" t="s">
        <v>1557</v>
      </c>
      <c r="C830" s="65" t="s">
        <v>805</v>
      </c>
    </row>
    <row r="831" spans="1:3" hidden="1">
      <c r="A831" s="65">
        <v>9001929</v>
      </c>
      <c r="B831" s="65" t="s">
        <v>1558</v>
      </c>
      <c r="C831" s="65" t="s">
        <v>677</v>
      </c>
    </row>
    <row r="832" spans="1:3" hidden="1">
      <c r="A832" s="65">
        <v>9001930</v>
      </c>
      <c r="B832" s="65" t="s">
        <v>1559</v>
      </c>
      <c r="C832" s="65" t="s">
        <v>677</v>
      </c>
    </row>
    <row r="833" spans="1:3" hidden="1">
      <c r="A833" s="65">
        <v>9001931</v>
      </c>
      <c r="B833" s="65" t="s">
        <v>1560</v>
      </c>
      <c r="C833" s="65" t="s">
        <v>677</v>
      </c>
    </row>
    <row r="834" spans="1:3" hidden="1">
      <c r="A834" s="65">
        <v>9001932</v>
      </c>
      <c r="B834" s="65" t="s">
        <v>1561</v>
      </c>
      <c r="C834" s="65" t="s">
        <v>677</v>
      </c>
    </row>
    <row r="835" spans="1:3" hidden="1">
      <c r="A835" s="65">
        <v>9001933</v>
      </c>
      <c r="B835" s="65" t="s">
        <v>1562</v>
      </c>
      <c r="C835" s="65" t="s">
        <v>677</v>
      </c>
    </row>
    <row r="836" spans="1:3" hidden="1">
      <c r="A836" s="65">
        <v>9001934</v>
      </c>
      <c r="B836" s="65" t="s">
        <v>1563</v>
      </c>
      <c r="C836" s="65" t="s">
        <v>677</v>
      </c>
    </row>
    <row r="837" spans="1:3" hidden="1">
      <c r="A837" s="65">
        <v>9001935</v>
      </c>
      <c r="B837" s="65" t="s">
        <v>1564</v>
      </c>
      <c r="C837" s="65" t="s">
        <v>683</v>
      </c>
    </row>
    <row r="838" spans="1:3" hidden="1">
      <c r="A838" s="65">
        <v>9001936</v>
      </c>
      <c r="B838" s="65" t="s">
        <v>1565</v>
      </c>
      <c r="C838" s="65" t="s">
        <v>664</v>
      </c>
    </row>
    <row r="839" spans="1:3" hidden="1">
      <c r="A839" s="65">
        <v>9001939</v>
      </c>
      <c r="B839" s="65" t="s">
        <v>1566</v>
      </c>
      <c r="C839" s="65" t="s">
        <v>793</v>
      </c>
    </row>
    <row r="840" spans="1:3" hidden="1">
      <c r="A840" s="65">
        <v>9001940</v>
      </c>
      <c r="B840" s="65" t="s">
        <v>1567</v>
      </c>
      <c r="C840" s="65" t="s">
        <v>805</v>
      </c>
    </row>
    <row r="841" spans="1:3" hidden="1">
      <c r="A841" s="65">
        <v>9001941</v>
      </c>
      <c r="B841" s="65" t="s">
        <v>1568</v>
      </c>
      <c r="C841" s="65" t="s">
        <v>805</v>
      </c>
    </row>
    <row r="842" spans="1:3" hidden="1">
      <c r="A842" s="65">
        <v>9001942</v>
      </c>
      <c r="B842" s="65" t="s">
        <v>1569</v>
      </c>
      <c r="C842" s="65" t="s">
        <v>805</v>
      </c>
    </row>
    <row r="843" spans="1:3" hidden="1">
      <c r="A843" s="65">
        <v>9001949</v>
      </c>
      <c r="B843" s="65" t="s">
        <v>1570</v>
      </c>
      <c r="C843" s="65" t="s">
        <v>793</v>
      </c>
    </row>
    <row r="844" spans="1:3" hidden="1">
      <c r="A844" s="65">
        <v>9001950</v>
      </c>
      <c r="B844" s="65" t="s">
        <v>1571</v>
      </c>
      <c r="C844" s="65" t="s">
        <v>793</v>
      </c>
    </row>
    <row r="845" spans="1:3" hidden="1">
      <c r="A845" s="65">
        <v>9001951</v>
      </c>
      <c r="B845" s="65" t="s">
        <v>1572</v>
      </c>
      <c r="C845" s="65" t="s">
        <v>805</v>
      </c>
    </row>
    <row r="846" spans="1:3" hidden="1">
      <c r="A846" s="65">
        <v>9001952</v>
      </c>
      <c r="B846" s="65" t="s">
        <v>1573</v>
      </c>
      <c r="C846" s="65" t="s">
        <v>805</v>
      </c>
    </row>
    <row r="847" spans="1:3" hidden="1">
      <c r="A847" s="65">
        <v>9001953</v>
      </c>
      <c r="B847" s="65" t="s">
        <v>1574</v>
      </c>
      <c r="C847" s="65" t="s">
        <v>805</v>
      </c>
    </row>
    <row r="848" spans="1:3" hidden="1">
      <c r="A848" s="65">
        <v>9001954</v>
      </c>
      <c r="B848" s="65" t="s">
        <v>1575</v>
      </c>
      <c r="C848" s="65" t="s">
        <v>738</v>
      </c>
    </row>
    <row r="849" spans="1:3" hidden="1">
      <c r="A849" s="65">
        <v>9001955</v>
      </c>
      <c r="B849" s="65" t="s">
        <v>1576</v>
      </c>
      <c r="C849" s="65" t="s">
        <v>805</v>
      </c>
    </row>
    <row r="850" spans="1:3" hidden="1">
      <c r="A850" s="65">
        <v>9001956</v>
      </c>
      <c r="B850" s="65" t="s">
        <v>1577</v>
      </c>
      <c r="C850" s="65" t="s">
        <v>805</v>
      </c>
    </row>
    <row r="851" spans="1:3" hidden="1">
      <c r="A851" s="65">
        <v>9001957</v>
      </c>
      <c r="B851" s="65" t="s">
        <v>1578</v>
      </c>
      <c r="C851" s="65" t="s">
        <v>805</v>
      </c>
    </row>
    <row r="852" spans="1:3" hidden="1">
      <c r="A852" s="65">
        <v>9001958</v>
      </c>
      <c r="B852" s="65" t="s">
        <v>1579</v>
      </c>
      <c r="C852" s="65" t="s">
        <v>805</v>
      </c>
    </row>
    <row r="853" spans="1:3" hidden="1">
      <c r="A853" s="65">
        <v>9001959</v>
      </c>
      <c r="B853" s="65" t="s">
        <v>1580</v>
      </c>
      <c r="C853" s="65" t="s">
        <v>805</v>
      </c>
    </row>
    <row r="854" spans="1:3" hidden="1">
      <c r="A854" s="65">
        <v>9001960</v>
      </c>
      <c r="B854" s="65" t="s">
        <v>1581</v>
      </c>
      <c r="C854" s="65" t="s">
        <v>805</v>
      </c>
    </row>
    <row r="855" spans="1:3" hidden="1">
      <c r="A855" s="65">
        <v>9001961</v>
      </c>
      <c r="B855" s="65" t="s">
        <v>1582</v>
      </c>
      <c r="C855" s="65" t="s">
        <v>805</v>
      </c>
    </row>
    <row r="856" spans="1:3" hidden="1">
      <c r="A856" s="65">
        <v>9001962</v>
      </c>
      <c r="B856" s="65" t="s">
        <v>1583</v>
      </c>
      <c r="C856" s="65" t="s">
        <v>805</v>
      </c>
    </row>
    <row r="857" spans="1:3" hidden="1">
      <c r="A857" s="65">
        <v>9001963</v>
      </c>
      <c r="B857" s="65" t="s">
        <v>1584</v>
      </c>
      <c r="C857" s="65" t="s">
        <v>805</v>
      </c>
    </row>
    <row r="858" spans="1:3" hidden="1">
      <c r="A858" s="65">
        <v>9001964</v>
      </c>
      <c r="B858" s="65" t="s">
        <v>1585</v>
      </c>
      <c r="C858" s="65" t="s">
        <v>805</v>
      </c>
    </row>
    <row r="859" spans="1:3" hidden="1">
      <c r="A859" s="65">
        <v>9001965</v>
      </c>
      <c r="B859" s="65" t="s">
        <v>1586</v>
      </c>
      <c r="C859" s="65" t="s">
        <v>805</v>
      </c>
    </row>
    <row r="860" spans="1:3" hidden="1">
      <c r="A860" s="65">
        <v>9001966</v>
      </c>
      <c r="B860" s="65" t="s">
        <v>1587</v>
      </c>
      <c r="C860" s="65" t="s">
        <v>805</v>
      </c>
    </row>
    <row r="861" spans="1:3" hidden="1">
      <c r="A861" s="65">
        <v>9001967</v>
      </c>
      <c r="B861" s="65" t="s">
        <v>1588</v>
      </c>
      <c r="C861" s="65" t="s">
        <v>793</v>
      </c>
    </row>
    <row r="862" spans="1:3" hidden="1">
      <c r="A862" s="65">
        <v>9001968</v>
      </c>
      <c r="B862" s="65" t="s">
        <v>1589</v>
      </c>
      <c r="C862" s="65" t="s">
        <v>793</v>
      </c>
    </row>
    <row r="863" spans="1:3" hidden="1">
      <c r="A863" s="65">
        <v>9001969</v>
      </c>
      <c r="B863" s="65" t="s">
        <v>1590</v>
      </c>
      <c r="C863" s="65" t="s">
        <v>793</v>
      </c>
    </row>
    <row r="864" spans="1:3" hidden="1">
      <c r="A864" s="65">
        <v>9001970</v>
      </c>
      <c r="B864" s="65" t="s">
        <v>1591</v>
      </c>
      <c r="C864" s="65" t="s">
        <v>793</v>
      </c>
    </row>
    <row r="865" spans="1:3" hidden="1">
      <c r="A865" s="65">
        <v>9001971</v>
      </c>
      <c r="B865" s="65" t="s">
        <v>1592</v>
      </c>
      <c r="C865" s="65" t="s">
        <v>732</v>
      </c>
    </row>
    <row r="866" spans="1:3" hidden="1">
      <c r="A866" s="65">
        <v>9001979</v>
      </c>
      <c r="B866" s="65" t="s">
        <v>649</v>
      </c>
      <c r="C866" s="65" t="s">
        <v>732</v>
      </c>
    </row>
    <row r="867" spans="1:3" hidden="1">
      <c r="A867" s="65">
        <v>9001980</v>
      </c>
      <c r="B867" s="65" t="s">
        <v>1593</v>
      </c>
      <c r="C867" s="65" t="s">
        <v>1594</v>
      </c>
    </row>
    <row r="868" spans="1:3" hidden="1">
      <c r="A868" s="65">
        <v>9001981</v>
      </c>
      <c r="B868" s="65" t="s">
        <v>1595</v>
      </c>
      <c r="C868" s="65" t="s">
        <v>1596</v>
      </c>
    </row>
    <row r="869" spans="1:3" hidden="1">
      <c r="A869" s="65">
        <v>9001982</v>
      </c>
      <c r="B869" s="65" t="s">
        <v>1597</v>
      </c>
      <c r="C869" s="65" t="s">
        <v>1598</v>
      </c>
    </row>
    <row r="870" spans="1:3" hidden="1">
      <c r="A870" s="65">
        <v>9001983</v>
      </c>
      <c r="B870" s="65" t="s">
        <v>1599</v>
      </c>
      <c r="C870" s="65" t="s">
        <v>1600</v>
      </c>
    </row>
    <row r="871" spans="1:3" hidden="1">
      <c r="A871" s="65">
        <v>9001984</v>
      </c>
      <c r="B871" s="65" t="s">
        <v>1601</v>
      </c>
      <c r="C871" s="65" t="s">
        <v>1602</v>
      </c>
    </row>
    <row r="872" spans="1:3" hidden="1">
      <c r="A872" s="65">
        <v>9001985</v>
      </c>
      <c r="B872" s="65" t="s">
        <v>1603</v>
      </c>
      <c r="C872" s="65" t="s">
        <v>1604</v>
      </c>
    </row>
    <row r="873" spans="1:3" hidden="1">
      <c r="A873" s="65">
        <v>9001986</v>
      </c>
      <c r="B873" s="65" t="s">
        <v>1605</v>
      </c>
      <c r="C873" s="65" t="s">
        <v>1606</v>
      </c>
    </row>
    <row r="874" spans="1:3" hidden="1">
      <c r="A874" s="65">
        <v>9001987</v>
      </c>
      <c r="B874" s="65" t="s">
        <v>1607</v>
      </c>
      <c r="C874" s="65" t="s">
        <v>1608</v>
      </c>
    </row>
    <row r="875" spans="1:3" hidden="1">
      <c r="A875" s="65">
        <v>9001988</v>
      </c>
      <c r="B875" s="65" t="s">
        <v>1609</v>
      </c>
      <c r="C875" s="65" t="s">
        <v>674</v>
      </c>
    </row>
    <row r="876" spans="1:3" hidden="1">
      <c r="A876" s="65">
        <v>9001989</v>
      </c>
      <c r="B876" s="65" t="s">
        <v>1610</v>
      </c>
      <c r="C876" s="65" t="s">
        <v>1611</v>
      </c>
    </row>
    <row r="877" spans="1:3" hidden="1">
      <c r="A877" s="65">
        <v>9001990</v>
      </c>
      <c r="B877" s="65" t="s">
        <v>1612</v>
      </c>
      <c r="C877" s="65" t="s">
        <v>1135</v>
      </c>
    </row>
    <row r="878" spans="1:3" hidden="1">
      <c r="A878" s="65">
        <v>9001991</v>
      </c>
      <c r="B878" s="65" t="s">
        <v>1613</v>
      </c>
      <c r="C878" s="65" t="s">
        <v>660</v>
      </c>
    </row>
    <row r="879" spans="1:3" hidden="1">
      <c r="A879" s="65">
        <v>9001992</v>
      </c>
      <c r="B879" s="65" t="s">
        <v>1614</v>
      </c>
      <c r="C879" s="65" t="s">
        <v>1615</v>
      </c>
    </row>
    <row r="880" spans="1:3" hidden="1">
      <c r="A880" s="65">
        <v>9001993</v>
      </c>
      <c r="B880" s="65" t="s">
        <v>1616</v>
      </c>
      <c r="C880" s="65" t="s">
        <v>1617</v>
      </c>
    </row>
    <row r="881" spans="1:3" hidden="1">
      <c r="A881" s="65">
        <v>9001994</v>
      </c>
      <c r="B881" s="65" t="s">
        <v>1618</v>
      </c>
      <c r="C881" s="65" t="s">
        <v>893</v>
      </c>
    </row>
    <row r="882" spans="1:3" hidden="1">
      <c r="A882" s="65">
        <v>9001995</v>
      </c>
      <c r="B882" s="65" t="s">
        <v>1619</v>
      </c>
      <c r="C882" s="65" t="s">
        <v>745</v>
      </c>
    </row>
    <row r="883" spans="1:3" hidden="1">
      <c r="A883" s="65">
        <v>9001996</v>
      </c>
      <c r="B883" s="65" t="s">
        <v>1620</v>
      </c>
      <c r="C883" s="65" t="s">
        <v>743</v>
      </c>
    </row>
    <row r="884" spans="1:3" hidden="1">
      <c r="A884" s="65">
        <v>9001997</v>
      </c>
      <c r="B884" s="65" t="s">
        <v>1621</v>
      </c>
      <c r="C884" s="65" t="s">
        <v>942</v>
      </c>
    </row>
    <row r="885" spans="1:3" hidden="1">
      <c r="A885" s="65">
        <v>9001998</v>
      </c>
      <c r="B885" s="65" t="s">
        <v>1622</v>
      </c>
      <c r="C885" s="65" t="s">
        <v>1425</v>
      </c>
    </row>
    <row r="886" spans="1:3" hidden="1">
      <c r="A886" s="65">
        <v>9001999</v>
      </c>
      <c r="B886" s="65" t="s">
        <v>839</v>
      </c>
      <c r="C886" s="65" t="s">
        <v>840</v>
      </c>
    </row>
    <row r="887" spans="1:3" hidden="1">
      <c r="A887" s="65">
        <v>9002000</v>
      </c>
      <c r="B887" s="65" t="s">
        <v>1623</v>
      </c>
      <c r="C887" s="65" t="s">
        <v>852</v>
      </c>
    </row>
    <row r="888" spans="1:3" hidden="1">
      <c r="A888" s="65">
        <v>9002009</v>
      </c>
      <c r="B888" s="65" t="s">
        <v>1624</v>
      </c>
      <c r="C888" s="65" t="s">
        <v>793</v>
      </c>
    </row>
    <row r="889" spans="1:3" hidden="1">
      <c r="A889" s="65">
        <v>9002010</v>
      </c>
      <c r="B889" s="65" t="s">
        <v>1625</v>
      </c>
      <c r="C889" s="65" t="s">
        <v>900</v>
      </c>
    </row>
    <row r="890" spans="1:3" hidden="1">
      <c r="A890" s="65">
        <v>9002019</v>
      </c>
      <c r="B890" s="65" t="s">
        <v>1626</v>
      </c>
      <c r="C890" s="65" t="s">
        <v>686</v>
      </c>
    </row>
    <row r="891" spans="1:3" hidden="1">
      <c r="A891" s="65">
        <v>9002020</v>
      </c>
      <c r="B891" s="65" t="s">
        <v>1627</v>
      </c>
      <c r="C891" s="65" t="s">
        <v>686</v>
      </c>
    </row>
    <row r="892" spans="1:3" hidden="1">
      <c r="A892" s="65">
        <v>9002021</v>
      </c>
      <c r="B892" s="65" t="s">
        <v>1628</v>
      </c>
      <c r="C892" s="65" t="s">
        <v>664</v>
      </c>
    </row>
    <row r="893" spans="1:3" hidden="1">
      <c r="A893" s="65">
        <v>9002029</v>
      </c>
      <c r="B893" s="65" t="s">
        <v>1629</v>
      </c>
      <c r="C893" s="65" t="s">
        <v>686</v>
      </c>
    </row>
    <row r="894" spans="1:3" hidden="1">
      <c r="A894" s="65">
        <v>9002039</v>
      </c>
      <c r="B894" s="65" t="s">
        <v>1630</v>
      </c>
      <c r="C894" s="65" t="s">
        <v>805</v>
      </c>
    </row>
    <row r="895" spans="1:3" hidden="1">
      <c r="A895" s="65">
        <v>9002049</v>
      </c>
      <c r="B895" s="65" t="s">
        <v>1631</v>
      </c>
      <c r="C895" s="65" t="s">
        <v>738</v>
      </c>
    </row>
    <row r="896" spans="1:3" hidden="1">
      <c r="A896" s="65">
        <v>9002050</v>
      </c>
      <c r="B896" s="65" t="s">
        <v>1632</v>
      </c>
      <c r="C896" s="65" t="s">
        <v>827</v>
      </c>
    </row>
    <row r="897" spans="1:3" hidden="1">
      <c r="A897" s="65">
        <v>9002059</v>
      </c>
      <c r="B897" s="65" t="s">
        <v>1633</v>
      </c>
      <c r="C897" s="65" t="s">
        <v>741</v>
      </c>
    </row>
    <row r="898" spans="1:3" hidden="1">
      <c r="A898" s="65">
        <v>9002060</v>
      </c>
      <c r="B898" s="65" t="s">
        <v>1634</v>
      </c>
      <c r="C898" s="65" t="s">
        <v>738</v>
      </c>
    </row>
    <row r="899" spans="1:3" hidden="1">
      <c r="A899" s="65">
        <v>9002061</v>
      </c>
      <c r="B899" s="65" t="s">
        <v>1635</v>
      </c>
      <c r="C899" s="65" t="s">
        <v>827</v>
      </c>
    </row>
    <row r="900" spans="1:3" hidden="1">
      <c r="A900" s="65">
        <v>9002062</v>
      </c>
      <c r="B900" s="65" t="s">
        <v>1636</v>
      </c>
      <c r="C900" s="65" t="s">
        <v>805</v>
      </c>
    </row>
    <row r="901" spans="1:3" hidden="1">
      <c r="A901" s="65">
        <v>9002063</v>
      </c>
      <c r="B901" s="65" t="s">
        <v>1637</v>
      </c>
      <c r="C901" s="65" t="s">
        <v>1181</v>
      </c>
    </row>
    <row r="902" spans="1:3" hidden="1">
      <c r="A902" s="65">
        <v>9002064</v>
      </c>
      <c r="B902" s="65" t="s">
        <v>1638</v>
      </c>
      <c r="C902" s="65" t="s">
        <v>686</v>
      </c>
    </row>
    <row r="903" spans="1:3" hidden="1">
      <c r="A903" s="65">
        <v>9002069</v>
      </c>
      <c r="B903" s="65" t="s">
        <v>1639</v>
      </c>
      <c r="C903" s="65" t="s">
        <v>738</v>
      </c>
    </row>
    <row r="904" spans="1:3" hidden="1">
      <c r="A904" s="65">
        <v>9002070</v>
      </c>
      <c r="B904" s="65" t="s">
        <v>1640</v>
      </c>
      <c r="C904" s="65" t="s">
        <v>1181</v>
      </c>
    </row>
    <row r="905" spans="1:3" hidden="1">
      <c r="A905" s="65">
        <v>9002071</v>
      </c>
      <c r="B905" s="65" t="s">
        <v>1641</v>
      </c>
      <c r="C905" s="65" t="s">
        <v>1181</v>
      </c>
    </row>
    <row r="906" spans="1:3" hidden="1">
      <c r="A906" s="65">
        <v>9002072</v>
      </c>
      <c r="B906" s="65" t="s">
        <v>1642</v>
      </c>
      <c r="C906" s="65" t="s">
        <v>1181</v>
      </c>
    </row>
    <row r="907" spans="1:3" hidden="1">
      <c r="A907" s="65">
        <v>9002073</v>
      </c>
      <c r="B907" s="65" t="s">
        <v>1643</v>
      </c>
      <c r="C907" s="65" t="s">
        <v>1181</v>
      </c>
    </row>
    <row r="908" spans="1:3" hidden="1">
      <c r="A908" s="65">
        <v>9002074</v>
      </c>
      <c r="B908" s="65" t="s">
        <v>1644</v>
      </c>
      <c r="C908" s="65" t="s">
        <v>1181</v>
      </c>
    </row>
    <row r="909" spans="1:3" hidden="1">
      <c r="A909" s="65">
        <v>9002075</v>
      </c>
      <c r="B909" s="65" t="s">
        <v>1645</v>
      </c>
      <c r="C909" s="65" t="s">
        <v>807</v>
      </c>
    </row>
    <row r="910" spans="1:3" hidden="1">
      <c r="A910" s="65">
        <v>9002076</v>
      </c>
      <c r="B910" s="65" t="s">
        <v>1646</v>
      </c>
      <c r="C910" s="65" t="s">
        <v>805</v>
      </c>
    </row>
    <row r="911" spans="1:3" hidden="1">
      <c r="A911" s="65">
        <v>9002077</v>
      </c>
      <c r="B911" s="65" t="s">
        <v>1647</v>
      </c>
      <c r="C911" s="65" t="s">
        <v>677</v>
      </c>
    </row>
    <row r="912" spans="1:3" hidden="1">
      <c r="A912" s="65">
        <v>9002079</v>
      </c>
      <c r="B912" s="65" t="s">
        <v>1648</v>
      </c>
      <c r="C912" s="65" t="s">
        <v>805</v>
      </c>
    </row>
    <row r="913" spans="1:3" hidden="1">
      <c r="A913" s="65">
        <v>9002089</v>
      </c>
      <c r="B913" s="65" t="s">
        <v>1649</v>
      </c>
      <c r="C913" s="65" t="s">
        <v>683</v>
      </c>
    </row>
    <row r="914" spans="1:3" hidden="1">
      <c r="A914" s="65">
        <v>9002099</v>
      </c>
      <c r="B914" s="65" t="s">
        <v>1650</v>
      </c>
      <c r="C914" s="65" t="s">
        <v>738</v>
      </c>
    </row>
    <row r="915" spans="1:3" hidden="1">
      <c r="A915" s="65">
        <v>9002100</v>
      </c>
      <c r="B915" s="65" t="s">
        <v>1651</v>
      </c>
      <c r="C915" s="65" t="s">
        <v>664</v>
      </c>
    </row>
    <row r="916" spans="1:3" hidden="1">
      <c r="A916" s="65">
        <v>9002109</v>
      </c>
      <c r="B916" s="65" t="s">
        <v>1652</v>
      </c>
      <c r="C916" s="65" t="s">
        <v>664</v>
      </c>
    </row>
    <row r="917" spans="1:3" hidden="1">
      <c r="A917" s="65">
        <v>9002110</v>
      </c>
      <c r="B917" s="65" t="s">
        <v>1653</v>
      </c>
      <c r="C917" s="65" t="s">
        <v>738</v>
      </c>
    </row>
    <row r="918" spans="1:3" hidden="1">
      <c r="A918" s="65">
        <v>9002111</v>
      </c>
      <c r="B918" s="65" t="s">
        <v>1654</v>
      </c>
      <c r="C918" s="65" t="s">
        <v>793</v>
      </c>
    </row>
    <row r="919" spans="1:3" hidden="1">
      <c r="A919" s="65">
        <v>9002112</v>
      </c>
      <c r="B919" s="65" t="s">
        <v>1655</v>
      </c>
      <c r="C919" s="65" t="s">
        <v>793</v>
      </c>
    </row>
    <row r="920" spans="1:3" hidden="1">
      <c r="A920" s="65">
        <v>9002113</v>
      </c>
      <c r="B920" s="65" t="s">
        <v>1656</v>
      </c>
      <c r="C920" s="65" t="s">
        <v>786</v>
      </c>
    </row>
    <row r="921" spans="1:3" hidden="1">
      <c r="A921" s="65">
        <v>9002114</v>
      </c>
      <c r="B921" s="65" t="s">
        <v>1657</v>
      </c>
      <c r="C921" s="65" t="s">
        <v>786</v>
      </c>
    </row>
    <row r="922" spans="1:3" hidden="1">
      <c r="A922" s="65">
        <v>9002115</v>
      </c>
      <c r="B922" s="65" t="s">
        <v>1658</v>
      </c>
      <c r="C922" s="65" t="s">
        <v>786</v>
      </c>
    </row>
    <row r="923" spans="1:3" hidden="1">
      <c r="A923" s="65">
        <v>9002116</v>
      </c>
      <c r="B923" s="65" t="s">
        <v>1659</v>
      </c>
      <c r="C923" s="65" t="s">
        <v>786</v>
      </c>
    </row>
    <row r="924" spans="1:3" hidden="1">
      <c r="A924" s="65">
        <v>9002117</v>
      </c>
      <c r="B924" s="65" t="s">
        <v>1660</v>
      </c>
      <c r="C924" s="65" t="s">
        <v>805</v>
      </c>
    </row>
    <row r="925" spans="1:3" hidden="1">
      <c r="A925" s="65">
        <v>9002118</v>
      </c>
      <c r="B925" s="65" t="s">
        <v>1661</v>
      </c>
      <c r="C925" s="65" t="s">
        <v>805</v>
      </c>
    </row>
    <row r="926" spans="1:3" hidden="1">
      <c r="A926" s="65">
        <v>9002119</v>
      </c>
      <c r="B926" s="65" t="s">
        <v>1662</v>
      </c>
      <c r="C926" s="65" t="s">
        <v>805</v>
      </c>
    </row>
    <row r="927" spans="1:3" hidden="1">
      <c r="A927" s="65">
        <v>9002120</v>
      </c>
      <c r="B927" s="65" t="s">
        <v>1663</v>
      </c>
      <c r="C927" s="65" t="s">
        <v>805</v>
      </c>
    </row>
    <row r="928" spans="1:3" hidden="1">
      <c r="A928" s="65">
        <v>9002121</v>
      </c>
      <c r="B928" s="65" t="s">
        <v>1664</v>
      </c>
      <c r="C928" s="65" t="s">
        <v>805</v>
      </c>
    </row>
    <row r="929" spans="1:3" hidden="1">
      <c r="A929" s="65">
        <v>9002122</v>
      </c>
      <c r="B929" s="65" t="s">
        <v>1665</v>
      </c>
      <c r="C929" s="65" t="s">
        <v>805</v>
      </c>
    </row>
    <row r="930" spans="1:3" hidden="1">
      <c r="A930" s="65">
        <v>9002123</v>
      </c>
      <c r="B930" s="65" t="s">
        <v>1666</v>
      </c>
      <c r="C930" s="65" t="s">
        <v>805</v>
      </c>
    </row>
    <row r="931" spans="1:3" hidden="1">
      <c r="A931" s="65">
        <v>9002124</v>
      </c>
      <c r="B931" s="65" t="s">
        <v>1667</v>
      </c>
      <c r="C931" s="65" t="s">
        <v>805</v>
      </c>
    </row>
    <row r="932" spans="1:3" hidden="1">
      <c r="A932" s="65">
        <v>9002125</v>
      </c>
      <c r="B932" s="65" t="s">
        <v>1668</v>
      </c>
      <c r="C932" s="65" t="s">
        <v>805</v>
      </c>
    </row>
    <row r="933" spans="1:3" hidden="1">
      <c r="A933" s="65">
        <v>9002126</v>
      </c>
      <c r="B933" s="65" t="s">
        <v>1669</v>
      </c>
      <c r="C933" s="65" t="s">
        <v>805</v>
      </c>
    </row>
    <row r="934" spans="1:3" hidden="1">
      <c r="A934" s="65">
        <v>9002127</v>
      </c>
      <c r="B934" s="65" t="s">
        <v>1670</v>
      </c>
      <c r="C934" s="65" t="s">
        <v>805</v>
      </c>
    </row>
    <row r="935" spans="1:3" hidden="1">
      <c r="A935" s="65">
        <v>9002128</v>
      </c>
      <c r="B935" s="65" t="s">
        <v>1671</v>
      </c>
      <c r="C935" s="65" t="s">
        <v>805</v>
      </c>
    </row>
    <row r="936" spans="1:3" hidden="1">
      <c r="A936" s="65">
        <v>9002129</v>
      </c>
      <c r="B936" s="65" t="s">
        <v>1672</v>
      </c>
      <c r="C936" s="65" t="s">
        <v>805</v>
      </c>
    </row>
    <row r="937" spans="1:3" hidden="1">
      <c r="A937" s="65">
        <v>9002130</v>
      </c>
      <c r="B937" s="65" t="s">
        <v>1673</v>
      </c>
      <c r="C937" s="65" t="s">
        <v>674</v>
      </c>
    </row>
    <row r="938" spans="1:3" hidden="1">
      <c r="A938" s="65">
        <v>9002131</v>
      </c>
      <c r="B938" s="65" t="s">
        <v>1674</v>
      </c>
      <c r="C938" s="65" t="s">
        <v>805</v>
      </c>
    </row>
    <row r="939" spans="1:3" hidden="1">
      <c r="A939" s="65">
        <v>9002132</v>
      </c>
      <c r="B939" s="65" t="s">
        <v>1675</v>
      </c>
      <c r="C939" s="65" t="s">
        <v>805</v>
      </c>
    </row>
    <row r="940" spans="1:3" hidden="1">
      <c r="A940" s="65">
        <v>9002133</v>
      </c>
      <c r="B940" s="65" t="s">
        <v>1676</v>
      </c>
      <c r="C940" s="65" t="s">
        <v>664</v>
      </c>
    </row>
    <row r="941" spans="1:3" hidden="1">
      <c r="A941" s="65">
        <v>9002134</v>
      </c>
      <c r="B941" s="65" t="s">
        <v>1677</v>
      </c>
      <c r="C941" s="65" t="s">
        <v>738</v>
      </c>
    </row>
    <row r="942" spans="1:3" hidden="1">
      <c r="A942" s="65">
        <v>9002135</v>
      </c>
      <c r="B942" s="65" t="s">
        <v>1678</v>
      </c>
      <c r="C942" s="65" t="s">
        <v>805</v>
      </c>
    </row>
    <row r="943" spans="1:3" hidden="1">
      <c r="A943" s="65">
        <v>9002136</v>
      </c>
      <c r="B943" s="65" t="s">
        <v>1679</v>
      </c>
      <c r="C943" s="65" t="s">
        <v>807</v>
      </c>
    </row>
    <row r="944" spans="1:3" hidden="1">
      <c r="A944" s="65">
        <v>9002137</v>
      </c>
      <c r="B944" s="65" t="s">
        <v>1680</v>
      </c>
      <c r="C944" s="65" t="s">
        <v>664</v>
      </c>
    </row>
    <row r="945" spans="1:3" hidden="1">
      <c r="A945" s="65">
        <v>9002138</v>
      </c>
      <c r="B945" s="65" t="s">
        <v>1681</v>
      </c>
      <c r="C945" s="65" t="s">
        <v>738</v>
      </c>
    </row>
    <row r="946" spans="1:3" hidden="1">
      <c r="A946" s="65">
        <v>9002139</v>
      </c>
      <c r="B946" s="65" t="s">
        <v>1682</v>
      </c>
      <c r="C946" s="65" t="s">
        <v>738</v>
      </c>
    </row>
    <row r="947" spans="1:3" hidden="1">
      <c r="A947" s="65">
        <v>9002149</v>
      </c>
      <c r="B947" s="65" t="s">
        <v>1683</v>
      </c>
      <c r="C947" s="65" t="s">
        <v>738</v>
      </c>
    </row>
    <row r="948" spans="1:3" hidden="1">
      <c r="A948" s="65">
        <v>9002150</v>
      </c>
      <c r="B948" s="65" t="s">
        <v>1684</v>
      </c>
      <c r="C948" s="65" t="s">
        <v>805</v>
      </c>
    </row>
    <row r="949" spans="1:3" hidden="1">
      <c r="A949" s="65">
        <v>9002151</v>
      </c>
      <c r="B949" s="65" t="s">
        <v>1685</v>
      </c>
      <c r="C949" s="65" t="s">
        <v>805</v>
      </c>
    </row>
    <row r="950" spans="1:3" hidden="1">
      <c r="A950" s="65">
        <v>9002152</v>
      </c>
      <c r="B950" s="65" t="s">
        <v>1686</v>
      </c>
      <c r="C950" s="65" t="s">
        <v>805</v>
      </c>
    </row>
    <row r="951" spans="1:3" hidden="1">
      <c r="A951" s="65">
        <v>9002153</v>
      </c>
      <c r="B951" s="65" t="s">
        <v>1687</v>
      </c>
      <c r="C951" s="65" t="s">
        <v>805</v>
      </c>
    </row>
    <row r="952" spans="1:3" hidden="1">
      <c r="A952" s="65">
        <v>9002154</v>
      </c>
      <c r="B952" s="65" t="s">
        <v>1688</v>
      </c>
      <c r="C952" s="65" t="s">
        <v>686</v>
      </c>
    </row>
    <row r="953" spans="1:3" hidden="1">
      <c r="A953" s="65">
        <v>9002155</v>
      </c>
      <c r="B953" s="65" t="s">
        <v>1689</v>
      </c>
      <c r="C953" s="65" t="s">
        <v>1312</v>
      </c>
    </row>
    <row r="954" spans="1:3" hidden="1">
      <c r="A954" s="65">
        <v>9002156</v>
      </c>
      <c r="B954" s="65" t="s">
        <v>1690</v>
      </c>
      <c r="C954" s="65" t="s">
        <v>793</v>
      </c>
    </row>
    <row r="955" spans="1:3" hidden="1">
      <c r="A955" s="65">
        <v>9002157</v>
      </c>
      <c r="B955" s="65" t="s">
        <v>1691</v>
      </c>
      <c r="C955" s="65" t="s">
        <v>793</v>
      </c>
    </row>
    <row r="956" spans="1:3" hidden="1">
      <c r="A956" s="65">
        <v>9002158</v>
      </c>
      <c r="B956" s="65" t="s">
        <v>1692</v>
      </c>
      <c r="C956" s="65" t="s">
        <v>793</v>
      </c>
    </row>
    <row r="957" spans="1:3" hidden="1">
      <c r="A957" s="65">
        <v>9002159</v>
      </c>
      <c r="B957" s="65" t="s">
        <v>1693</v>
      </c>
      <c r="C957" s="65" t="s">
        <v>793</v>
      </c>
    </row>
    <row r="958" spans="1:3" hidden="1">
      <c r="A958" s="65">
        <v>9002160</v>
      </c>
      <c r="B958" s="65" t="s">
        <v>1694</v>
      </c>
      <c r="C958" s="65" t="s">
        <v>793</v>
      </c>
    </row>
    <row r="959" spans="1:3" hidden="1">
      <c r="A959" s="65">
        <v>9002161</v>
      </c>
      <c r="B959" s="65" t="s">
        <v>1695</v>
      </c>
      <c r="C959" s="65" t="s">
        <v>805</v>
      </c>
    </row>
    <row r="960" spans="1:3" hidden="1">
      <c r="A960" s="65">
        <v>9002162</v>
      </c>
      <c r="B960" s="65" t="s">
        <v>1696</v>
      </c>
      <c r="C960" s="65" t="s">
        <v>793</v>
      </c>
    </row>
    <row r="961" spans="1:3" hidden="1">
      <c r="A961" s="65">
        <v>9002163</v>
      </c>
      <c r="B961" s="65" t="s">
        <v>1697</v>
      </c>
      <c r="C961" s="65" t="s">
        <v>793</v>
      </c>
    </row>
    <row r="962" spans="1:3" hidden="1">
      <c r="A962" s="65">
        <v>9002169</v>
      </c>
      <c r="B962" s="65" t="s">
        <v>1698</v>
      </c>
      <c r="C962" s="65" t="s">
        <v>1101</v>
      </c>
    </row>
    <row r="963" spans="1:3" hidden="1">
      <c r="A963" s="65">
        <v>9002170</v>
      </c>
      <c r="B963" s="65" t="s">
        <v>1699</v>
      </c>
      <c r="C963" s="65" t="s">
        <v>1181</v>
      </c>
    </row>
    <row r="964" spans="1:3" hidden="1">
      <c r="A964" s="65">
        <v>9002171</v>
      </c>
      <c r="B964" s="65" t="s">
        <v>1700</v>
      </c>
      <c r="C964" s="65" t="s">
        <v>807</v>
      </c>
    </row>
    <row r="965" spans="1:3" hidden="1">
      <c r="A965" s="65">
        <v>9002179</v>
      </c>
      <c r="B965" s="65" t="s">
        <v>1701</v>
      </c>
      <c r="C965" s="65" t="s">
        <v>677</v>
      </c>
    </row>
    <row r="966" spans="1:3" hidden="1">
      <c r="A966" s="65">
        <v>9002180</v>
      </c>
      <c r="B966" s="65" t="s">
        <v>1702</v>
      </c>
      <c r="C966" s="65" t="s">
        <v>738</v>
      </c>
    </row>
    <row r="967" spans="1:3" hidden="1">
      <c r="A967" s="65">
        <v>9002189</v>
      </c>
      <c r="B967" s="65" t="s">
        <v>1703</v>
      </c>
      <c r="C967" s="65" t="s">
        <v>805</v>
      </c>
    </row>
    <row r="968" spans="1:3" hidden="1">
      <c r="A968" s="65">
        <v>9002190</v>
      </c>
      <c r="B968" s="65" t="s">
        <v>1704</v>
      </c>
      <c r="C968" s="65" t="s">
        <v>805</v>
      </c>
    </row>
    <row r="969" spans="1:3" hidden="1">
      <c r="A969" s="65">
        <v>9002191</v>
      </c>
      <c r="B969" s="65" t="s">
        <v>1705</v>
      </c>
      <c r="C969" s="65" t="s">
        <v>686</v>
      </c>
    </row>
    <row r="970" spans="1:3" hidden="1">
      <c r="A970" s="65">
        <v>9002192</v>
      </c>
      <c r="B970" s="65" t="s">
        <v>1706</v>
      </c>
      <c r="C970" s="65" t="s">
        <v>738</v>
      </c>
    </row>
    <row r="971" spans="1:3" hidden="1">
      <c r="A971" s="65">
        <v>9002193</v>
      </c>
      <c r="B971" s="65" t="s">
        <v>1707</v>
      </c>
      <c r="C971" s="65" t="s">
        <v>664</v>
      </c>
    </row>
    <row r="972" spans="1:3" hidden="1">
      <c r="A972" s="65">
        <v>9002194</v>
      </c>
      <c r="B972" s="65" t="s">
        <v>1708</v>
      </c>
      <c r="C972" s="65" t="s">
        <v>805</v>
      </c>
    </row>
    <row r="973" spans="1:3" hidden="1">
      <c r="A973" s="65">
        <v>9002195</v>
      </c>
      <c r="B973" s="65" t="s">
        <v>1709</v>
      </c>
      <c r="C973" s="65" t="s">
        <v>805</v>
      </c>
    </row>
    <row r="974" spans="1:3" hidden="1">
      <c r="A974" s="65">
        <v>9002196</v>
      </c>
      <c r="B974" s="65" t="s">
        <v>1710</v>
      </c>
      <c r="C974" s="65" t="s">
        <v>805</v>
      </c>
    </row>
    <row r="975" spans="1:3" hidden="1">
      <c r="A975" s="65">
        <v>9002197</v>
      </c>
      <c r="B975" s="65" t="s">
        <v>1711</v>
      </c>
      <c r="C975" s="65" t="s">
        <v>805</v>
      </c>
    </row>
    <row r="976" spans="1:3" hidden="1">
      <c r="A976" s="65">
        <v>9002198</v>
      </c>
      <c r="B976" s="65" t="s">
        <v>1712</v>
      </c>
      <c r="C976" s="65" t="s">
        <v>805</v>
      </c>
    </row>
    <row r="977" spans="1:3" hidden="1">
      <c r="A977" s="65">
        <v>9002199</v>
      </c>
      <c r="B977" s="65" t="s">
        <v>1713</v>
      </c>
      <c r="C977" s="65" t="s">
        <v>805</v>
      </c>
    </row>
    <row r="978" spans="1:3" hidden="1">
      <c r="A978" s="65">
        <v>9002200</v>
      </c>
      <c r="B978" s="65" t="s">
        <v>1714</v>
      </c>
      <c r="C978" s="65" t="s">
        <v>805</v>
      </c>
    </row>
    <row r="979" spans="1:3" hidden="1">
      <c r="A979" s="65">
        <v>9002209</v>
      </c>
      <c r="B979" s="65" t="s">
        <v>1715</v>
      </c>
      <c r="C979" s="65" t="s">
        <v>738</v>
      </c>
    </row>
    <row r="980" spans="1:3" hidden="1">
      <c r="A980" s="65">
        <v>9002219</v>
      </c>
      <c r="B980" s="65" t="s">
        <v>1716</v>
      </c>
      <c r="C980" s="65" t="s">
        <v>805</v>
      </c>
    </row>
    <row r="981" spans="1:3" hidden="1">
      <c r="A981" s="65">
        <v>9002220</v>
      </c>
      <c r="B981" s="65" t="s">
        <v>1717</v>
      </c>
      <c r="C981" s="65" t="s">
        <v>805</v>
      </c>
    </row>
    <row r="982" spans="1:3" hidden="1">
      <c r="A982" s="65">
        <v>9002221</v>
      </c>
      <c r="B982" s="65" t="s">
        <v>1718</v>
      </c>
      <c r="C982" s="65" t="s">
        <v>805</v>
      </c>
    </row>
    <row r="983" spans="1:3" hidden="1">
      <c r="A983" s="65">
        <v>9002222</v>
      </c>
      <c r="B983" s="65" t="s">
        <v>1719</v>
      </c>
      <c r="C983" s="65" t="s">
        <v>805</v>
      </c>
    </row>
    <row r="984" spans="1:3" hidden="1">
      <c r="A984" s="65">
        <v>9002223</v>
      </c>
      <c r="B984" s="65" t="s">
        <v>1720</v>
      </c>
      <c r="C984" s="65" t="s">
        <v>805</v>
      </c>
    </row>
    <row r="985" spans="1:3" hidden="1">
      <c r="A985" s="65">
        <v>9002224</v>
      </c>
      <c r="B985" s="65" t="s">
        <v>1721</v>
      </c>
      <c r="C985" s="65" t="s">
        <v>664</v>
      </c>
    </row>
    <row r="986" spans="1:3" hidden="1">
      <c r="A986" s="65">
        <v>9002225</v>
      </c>
      <c r="B986" s="65" t="s">
        <v>1722</v>
      </c>
      <c r="C986" s="65" t="s">
        <v>805</v>
      </c>
    </row>
    <row r="987" spans="1:3" hidden="1">
      <c r="A987" s="65">
        <v>9002226</v>
      </c>
      <c r="B987" s="65" t="s">
        <v>1723</v>
      </c>
      <c r="C987" s="65" t="s">
        <v>805</v>
      </c>
    </row>
    <row r="988" spans="1:3" hidden="1">
      <c r="A988" s="65">
        <v>9002227</v>
      </c>
      <c r="B988" s="65" t="s">
        <v>1724</v>
      </c>
      <c r="C988" s="65" t="s">
        <v>805</v>
      </c>
    </row>
    <row r="989" spans="1:3" hidden="1">
      <c r="A989" s="65">
        <v>9002228</v>
      </c>
      <c r="B989" s="65" t="s">
        <v>1725</v>
      </c>
      <c r="C989" s="65" t="s">
        <v>805</v>
      </c>
    </row>
    <row r="990" spans="1:3" hidden="1">
      <c r="A990" s="65">
        <v>9002229</v>
      </c>
      <c r="B990" s="65" t="s">
        <v>1726</v>
      </c>
      <c r="C990" s="65" t="s">
        <v>805</v>
      </c>
    </row>
    <row r="991" spans="1:3" hidden="1">
      <c r="A991" s="65">
        <v>9002230</v>
      </c>
      <c r="B991" s="65" t="s">
        <v>1727</v>
      </c>
      <c r="C991" s="65" t="s">
        <v>805</v>
      </c>
    </row>
    <row r="992" spans="1:3" hidden="1">
      <c r="A992" s="65">
        <v>9002231</v>
      </c>
      <c r="B992" s="65" t="s">
        <v>1728</v>
      </c>
      <c r="C992" s="65" t="s">
        <v>805</v>
      </c>
    </row>
    <row r="993" spans="1:3" hidden="1">
      <c r="A993" s="65">
        <v>9002232</v>
      </c>
      <c r="B993" s="65" t="s">
        <v>1729</v>
      </c>
      <c r="C993" s="65" t="s">
        <v>805</v>
      </c>
    </row>
    <row r="994" spans="1:3" hidden="1">
      <c r="A994" s="65">
        <v>9002233</v>
      </c>
      <c r="B994" s="65" t="s">
        <v>1730</v>
      </c>
      <c r="C994" s="65" t="s">
        <v>805</v>
      </c>
    </row>
    <row r="995" spans="1:3" hidden="1">
      <c r="A995" s="65">
        <v>9002234</v>
      </c>
      <c r="B995" s="65" t="s">
        <v>1731</v>
      </c>
      <c r="C995" s="65" t="s">
        <v>809</v>
      </c>
    </row>
    <row r="996" spans="1:3" hidden="1">
      <c r="A996" s="65">
        <v>9002235</v>
      </c>
      <c r="B996" s="65" t="s">
        <v>1732</v>
      </c>
      <c r="C996" s="65" t="s">
        <v>786</v>
      </c>
    </row>
    <row r="997" spans="1:3" hidden="1">
      <c r="A997" s="65">
        <v>9002236</v>
      </c>
      <c r="B997" s="65" t="s">
        <v>1733</v>
      </c>
      <c r="C997" s="65" t="s">
        <v>786</v>
      </c>
    </row>
    <row r="998" spans="1:3" hidden="1">
      <c r="A998" s="65">
        <v>9002237</v>
      </c>
      <c r="B998" s="65" t="s">
        <v>1734</v>
      </c>
      <c r="C998" s="65" t="s">
        <v>741</v>
      </c>
    </row>
    <row r="999" spans="1:3" hidden="1">
      <c r="A999" s="65">
        <v>9002238</v>
      </c>
      <c r="B999" s="65" t="s">
        <v>1735</v>
      </c>
      <c r="C999" s="65" t="s">
        <v>738</v>
      </c>
    </row>
    <row r="1000" spans="1:3" hidden="1">
      <c r="A1000" s="65">
        <v>9002239</v>
      </c>
      <c r="B1000" s="65" t="s">
        <v>1736</v>
      </c>
      <c r="C1000" s="65" t="s">
        <v>738</v>
      </c>
    </row>
    <row r="1001" spans="1:3" hidden="1">
      <c r="A1001" s="65">
        <v>9002240</v>
      </c>
      <c r="B1001" s="65" t="s">
        <v>1737</v>
      </c>
      <c r="C1001" s="65" t="s">
        <v>805</v>
      </c>
    </row>
    <row r="1002" spans="1:3" hidden="1">
      <c r="A1002" s="65">
        <v>9002241</v>
      </c>
      <c r="B1002" s="65" t="s">
        <v>1738</v>
      </c>
      <c r="C1002" s="65" t="s">
        <v>805</v>
      </c>
    </row>
    <row r="1003" spans="1:3" hidden="1">
      <c r="A1003" s="65">
        <v>9002242</v>
      </c>
      <c r="B1003" s="65" t="s">
        <v>1739</v>
      </c>
      <c r="C1003" s="65" t="s">
        <v>664</v>
      </c>
    </row>
    <row r="1004" spans="1:3" hidden="1">
      <c r="A1004" s="65">
        <v>9002243</v>
      </c>
      <c r="B1004" s="65" t="s">
        <v>1740</v>
      </c>
      <c r="C1004" s="65" t="s">
        <v>738</v>
      </c>
    </row>
    <row r="1005" spans="1:3" hidden="1">
      <c r="A1005" s="65">
        <v>9002249</v>
      </c>
      <c r="B1005" s="65" t="s">
        <v>1741</v>
      </c>
      <c r="C1005" s="65" t="s">
        <v>805</v>
      </c>
    </row>
    <row r="1006" spans="1:3" hidden="1">
      <c r="A1006" s="65">
        <v>9002250</v>
      </c>
      <c r="B1006" s="65" t="s">
        <v>1742</v>
      </c>
      <c r="C1006" s="65" t="s">
        <v>805</v>
      </c>
    </row>
    <row r="1007" spans="1:3" hidden="1">
      <c r="A1007" s="65">
        <v>9002251</v>
      </c>
      <c r="B1007" s="65" t="s">
        <v>1743</v>
      </c>
      <c r="C1007" s="65" t="s">
        <v>738</v>
      </c>
    </row>
    <row r="1008" spans="1:3" hidden="1">
      <c r="A1008" s="65">
        <v>9002252</v>
      </c>
      <c r="B1008" s="65" t="s">
        <v>1744</v>
      </c>
      <c r="C1008" s="65" t="s">
        <v>805</v>
      </c>
    </row>
    <row r="1009" spans="1:3" hidden="1">
      <c r="A1009" s="65">
        <v>9002253</v>
      </c>
      <c r="B1009" s="65" t="s">
        <v>1745</v>
      </c>
      <c r="C1009" s="65" t="s">
        <v>805</v>
      </c>
    </row>
    <row r="1010" spans="1:3" hidden="1">
      <c r="A1010" s="65">
        <v>9002254</v>
      </c>
      <c r="B1010" s="65" t="s">
        <v>1746</v>
      </c>
      <c r="C1010" s="65" t="s">
        <v>738</v>
      </c>
    </row>
    <row r="1011" spans="1:3" hidden="1">
      <c r="A1011" s="65">
        <v>9002259</v>
      </c>
      <c r="B1011" s="65" t="s">
        <v>1747</v>
      </c>
      <c r="C1011" s="65" t="s">
        <v>809</v>
      </c>
    </row>
    <row r="1012" spans="1:3" hidden="1">
      <c r="A1012" s="65">
        <v>9002260</v>
      </c>
      <c r="B1012" s="65" t="s">
        <v>1748</v>
      </c>
      <c r="C1012" s="65" t="s">
        <v>805</v>
      </c>
    </row>
    <row r="1013" spans="1:3" hidden="1">
      <c r="A1013" s="65">
        <v>9002261</v>
      </c>
      <c r="B1013" s="65" t="s">
        <v>1749</v>
      </c>
      <c r="C1013" s="65" t="s">
        <v>686</v>
      </c>
    </row>
    <row r="1014" spans="1:3" hidden="1">
      <c r="A1014" s="65">
        <v>9002269</v>
      </c>
      <c r="B1014" s="65" t="s">
        <v>1750</v>
      </c>
      <c r="C1014" s="65" t="s">
        <v>793</v>
      </c>
    </row>
    <row r="1015" spans="1:3" hidden="1">
      <c r="A1015" s="65">
        <v>9002270</v>
      </c>
      <c r="B1015" s="65" t="s">
        <v>1751</v>
      </c>
      <c r="C1015" s="65" t="s">
        <v>793</v>
      </c>
    </row>
    <row r="1016" spans="1:3" hidden="1">
      <c r="A1016" s="65">
        <v>9002271</v>
      </c>
      <c r="B1016" s="65" t="s">
        <v>1752</v>
      </c>
      <c r="C1016" s="65" t="s">
        <v>805</v>
      </c>
    </row>
    <row r="1017" spans="1:3" hidden="1">
      <c r="A1017" s="65">
        <v>9002272</v>
      </c>
      <c r="B1017" s="65" t="s">
        <v>1753</v>
      </c>
      <c r="C1017" s="65" t="s">
        <v>805</v>
      </c>
    </row>
    <row r="1018" spans="1:3" hidden="1">
      <c r="A1018" s="65">
        <v>9002273</v>
      </c>
      <c r="B1018" s="65" t="s">
        <v>1754</v>
      </c>
      <c r="C1018" s="65" t="s">
        <v>805</v>
      </c>
    </row>
    <row r="1019" spans="1:3" hidden="1">
      <c r="A1019" s="65">
        <v>9002274</v>
      </c>
      <c r="B1019" s="65" t="s">
        <v>1755</v>
      </c>
      <c r="C1019" s="65" t="s">
        <v>805</v>
      </c>
    </row>
    <row r="1020" spans="1:3" hidden="1">
      <c r="A1020" s="65">
        <v>9002275</v>
      </c>
      <c r="B1020" s="65" t="s">
        <v>1756</v>
      </c>
      <c r="C1020" s="65" t="s">
        <v>805</v>
      </c>
    </row>
    <row r="1021" spans="1:3" hidden="1">
      <c r="A1021" s="65">
        <v>9002276</v>
      </c>
      <c r="B1021" s="65" t="s">
        <v>1757</v>
      </c>
      <c r="C1021" s="65" t="s">
        <v>805</v>
      </c>
    </row>
    <row r="1022" spans="1:3" hidden="1">
      <c r="A1022" s="65">
        <v>9002277</v>
      </c>
      <c r="B1022" s="65" t="s">
        <v>1758</v>
      </c>
      <c r="C1022" s="65" t="s">
        <v>805</v>
      </c>
    </row>
    <row r="1023" spans="1:3" hidden="1">
      <c r="A1023" s="65">
        <v>9002278</v>
      </c>
      <c r="B1023" s="65" t="s">
        <v>1759</v>
      </c>
      <c r="C1023" s="65" t="s">
        <v>805</v>
      </c>
    </row>
    <row r="1024" spans="1:3" hidden="1">
      <c r="A1024" s="65">
        <v>9002279</v>
      </c>
      <c r="B1024" s="65" t="s">
        <v>1760</v>
      </c>
      <c r="C1024" s="65" t="s">
        <v>805</v>
      </c>
    </row>
    <row r="1025" spans="1:3" hidden="1">
      <c r="A1025" s="65">
        <v>9002280</v>
      </c>
      <c r="B1025" s="65" t="s">
        <v>1761</v>
      </c>
      <c r="C1025" s="65" t="s">
        <v>793</v>
      </c>
    </row>
    <row r="1026" spans="1:3" hidden="1">
      <c r="A1026" s="65">
        <v>9002281</v>
      </c>
      <c r="B1026" s="65" t="s">
        <v>1762</v>
      </c>
      <c r="C1026" s="65" t="s">
        <v>793</v>
      </c>
    </row>
    <row r="1027" spans="1:3" hidden="1">
      <c r="A1027" s="65">
        <v>9002282</v>
      </c>
      <c r="B1027" s="65" t="s">
        <v>1763</v>
      </c>
      <c r="C1027" s="65" t="s">
        <v>664</v>
      </c>
    </row>
    <row r="1028" spans="1:3" hidden="1">
      <c r="A1028" s="65">
        <v>9002283</v>
      </c>
      <c r="B1028" s="65" t="s">
        <v>1764</v>
      </c>
      <c r="C1028" s="65" t="s">
        <v>741</v>
      </c>
    </row>
    <row r="1029" spans="1:3" hidden="1">
      <c r="A1029" s="65">
        <v>9002284</v>
      </c>
      <c r="B1029" s="65" t="s">
        <v>1765</v>
      </c>
      <c r="C1029" s="65" t="s">
        <v>805</v>
      </c>
    </row>
    <row r="1030" spans="1:3" hidden="1">
      <c r="A1030" s="65">
        <v>9002289</v>
      </c>
      <c r="B1030" s="65" t="s">
        <v>1766</v>
      </c>
      <c r="C1030" s="65" t="s">
        <v>738</v>
      </c>
    </row>
    <row r="1031" spans="1:3" hidden="1">
      <c r="A1031" s="65">
        <v>9002290</v>
      </c>
      <c r="B1031" s="65" t="s">
        <v>1767</v>
      </c>
      <c r="C1031" s="65" t="s">
        <v>786</v>
      </c>
    </row>
    <row r="1032" spans="1:3" hidden="1">
      <c r="A1032" s="65">
        <v>9002291</v>
      </c>
      <c r="B1032" s="65" t="s">
        <v>1768</v>
      </c>
      <c r="C1032" s="65" t="s">
        <v>738</v>
      </c>
    </row>
    <row r="1033" spans="1:3" hidden="1">
      <c r="A1033" s="65">
        <v>9002292</v>
      </c>
      <c r="B1033" s="65" t="s">
        <v>1769</v>
      </c>
      <c r="C1033" s="65" t="s">
        <v>745</v>
      </c>
    </row>
    <row r="1034" spans="1:3" hidden="1">
      <c r="A1034" s="65">
        <v>9002293</v>
      </c>
      <c r="B1034" s="65" t="s">
        <v>1770</v>
      </c>
      <c r="C1034" s="65" t="s">
        <v>664</v>
      </c>
    </row>
    <row r="1035" spans="1:3" hidden="1">
      <c r="A1035" s="65">
        <v>9002294</v>
      </c>
      <c r="B1035" s="65" t="s">
        <v>1771</v>
      </c>
      <c r="C1035" s="65" t="s">
        <v>793</v>
      </c>
    </row>
    <row r="1036" spans="1:3" hidden="1">
      <c r="A1036" s="65">
        <v>9002295</v>
      </c>
      <c r="B1036" s="65" t="s">
        <v>1772</v>
      </c>
      <c r="C1036" s="65" t="s">
        <v>686</v>
      </c>
    </row>
    <row r="1037" spans="1:3" hidden="1">
      <c r="A1037" s="65">
        <v>9002296</v>
      </c>
      <c r="B1037" s="65" t="s">
        <v>1773</v>
      </c>
      <c r="C1037" s="65" t="s">
        <v>686</v>
      </c>
    </row>
    <row r="1038" spans="1:3" hidden="1">
      <c r="A1038" s="65">
        <v>9002297</v>
      </c>
      <c r="B1038" s="65" t="s">
        <v>1774</v>
      </c>
      <c r="C1038" s="65" t="s">
        <v>664</v>
      </c>
    </row>
    <row r="1039" spans="1:3" hidden="1">
      <c r="A1039" s="65">
        <v>9002298</v>
      </c>
      <c r="B1039" s="65" t="s">
        <v>1775</v>
      </c>
      <c r="C1039" s="65" t="s">
        <v>793</v>
      </c>
    </row>
    <row r="1040" spans="1:3" hidden="1">
      <c r="A1040" s="65">
        <v>9002299</v>
      </c>
      <c r="B1040" s="65" t="s">
        <v>1776</v>
      </c>
      <c r="C1040" s="65" t="s">
        <v>793</v>
      </c>
    </row>
    <row r="1041" spans="1:3" hidden="1">
      <c r="A1041" s="65">
        <v>9002300</v>
      </c>
      <c r="B1041" s="65" t="s">
        <v>1777</v>
      </c>
      <c r="C1041" s="65" t="s">
        <v>1312</v>
      </c>
    </row>
    <row r="1042" spans="1:3" hidden="1">
      <c r="A1042" s="65">
        <v>9002301</v>
      </c>
      <c r="B1042" s="65" t="s">
        <v>1778</v>
      </c>
      <c r="C1042" s="65" t="s">
        <v>793</v>
      </c>
    </row>
    <row r="1043" spans="1:3" hidden="1">
      <c r="A1043" s="65">
        <v>9002302</v>
      </c>
      <c r="B1043" s="65" t="s">
        <v>1779</v>
      </c>
      <c r="C1043" s="65" t="s">
        <v>793</v>
      </c>
    </row>
    <row r="1044" spans="1:3" hidden="1">
      <c r="A1044" s="65">
        <v>9002303</v>
      </c>
      <c r="B1044" s="65" t="s">
        <v>1780</v>
      </c>
      <c r="C1044" s="65" t="s">
        <v>793</v>
      </c>
    </row>
    <row r="1045" spans="1:3" hidden="1">
      <c r="A1045" s="65">
        <v>9002304</v>
      </c>
      <c r="B1045" s="65" t="s">
        <v>1781</v>
      </c>
      <c r="C1045" s="65" t="s">
        <v>805</v>
      </c>
    </row>
    <row r="1046" spans="1:3" hidden="1">
      <c r="A1046" s="65">
        <v>9002305</v>
      </c>
      <c r="B1046" s="65" t="s">
        <v>1782</v>
      </c>
      <c r="C1046" s="65" t="s">
        <v>793</v>
      </c>
    </row>
    <row r="1047" spans="1:3" hidden="1">
      <c r="A1047" s="65">
        <v>9002306</v>
      </c>
      <c r="B1047" s="65" t="s">
        <v>1783</v>
      </c>
      <c r="C1047" s="65" t="s">
        <v>793</v>
      </c>
    </row>
    <row r="1048" spans="1:3" hidden="1">
      <c r="A1048" s="65">
        <v>9002307</v>
      </c>
      <c r="B1048" s="65" t="s">
        <v>1784</v>
      </c>
      <c r="C1048" s="65" t="s">
        <v>793</v>
      </c>
    </row>
    <row r="1049" spans="1:3" hidden="1">
      <c r="A1049" s="65">
        <v>9002308</v>
      </c>
      <c r="B1049" s="65" t="s">
        <v>1785</v>
      </c>
      <c r="C1049" s="65" t="s">
        <v>793</v>
      </c>
    </row>
    <row r="1050" spans="1:3" hidden="1">
      <c r="A1050" s="65">
        <v>9002309</v>
      </c>
      <c r="B1050" s="65" t="s">
        <v>1786</v>
      </c>
      <c r="C1050" s="65" t="s">
        <v>793</v>
      </c>
    </row>
    <row r="1051" spans="1:3" hidden="1">
      <c r="A1051" s="65">
        <v>9002310</v>
      </c>
      <c r="B1051" s="65" t="s">
        <v>1787</v>
      </c>
      <c r="C1051" s="65" t="s">
        <v>793</v>
      </c>
    </row>
    <row r="1052" spans="1:3" hidden="1">
      <c r="A1052" s="65">
        <v>9002311</v>
      </c>
      <c r="B1052" s="65" t="s">
        <v>1788</v>
      </c>
      <c r="C1052" s="65" t="s">
        <v>664</v>
      </c>
    </row>
    <row r="1053" spans="1:3" hidden="1">
      <c r="A1053" s="65">
        <v>9002312</v>
      </c>
      <c r="B1053" s="65" t="s">
        <v>1789</v>
      </c>
      <c r="C1053" s="65" t="s">
        <v>664</v>
      </c>
    </row>
    <row r="1054" spans="1:3" hidden="1">
      <c r="A1054" s="65">
        <v>9002313</v>
      </c>
      <c r="B1054" s="65" t="s">
        <v>1790</v>
      </c>
      <c r="C1054" s="65" t="s">
        <v>793</v>
      </c>
    </row>
    <row r="1055" spans="1:3" hidden="1">
      <c r="A1055" s="65">
        <v>9002314</v>
      </c>
      <c r="B1055" s="65" t="s">
        <v>1791</v>
      </c>
      <c r="C1055" s="65" t="s">
        <v>674</v>
      </c>
    </row>
    <row r="1056" spans="1:3" hidden="1">
      <c r="A1056" s="65">
        <v>9002315</v>
      </c>
      <c r="B1056" s="65" t="s">
        <v>1792</v>
      </c>
      <c r="C1056" s="65" t="s">
        <v>674</v>
      </c>
    </row>
    <row r="1057" spans="1:3" hidden="1">
      <c r="A1057" s="65">
        <v>9002316</v>
      </c>
      <c r="B1057" s="65" t="s">
        <v>1793</v>
      </c>
      <c r="C1057" s="65" t="s">
        <v>674</v>
      </c>
    </row>
    <row r="1058" spans="1:3" hidden="1">
      <c r="A1058" s="65">
        <v>9002317</v>
      </c>
      <c r="B1058" s="65" t="s">
        <v>1794</v>
      </c>
      <c r="C1058" s="65" t="s">
        <v>805</v>
      </c>
    </row>
    <row r="1059" spans="1:3" hidden="1">
      <c r="A1059" s="65">
        <v>9002318</v>
      </c>
      <c r="B1059" s="65" t="s">
        <v>1795</v>
      </c>
      <c r="C1059" s="65" t="s">
        <v>805</v>
      </c>
    </row>
    <row r="1060" spans="1:3" hidden="1">
      <c r="A1060" s="65">
        <v>9002319</v>
      </c>
      <c r="B1060" s="65" t="s">
        <v>1796</v>
      </c>
      <c r="C1060" s="65" t="s">
        <v>805</v>
      </c>
    </row>
    <row r="1061" spans="1:3" hidden="1">
      <c r="A1061" s="65">
        <v>9002320</v>
      </c>
      <c r="B1061" s="65" t="s">
        <v>1797</v>
      </c>
      <c r="C1061" s="65" t="s">
        <v>793</v>
      </c>
    </row>
    <row r="1062" spans="1:3" hidden="1">
      <c r="A1062" s="65">
        <v>9002321</v>
      </c>
      <c r="B1062" s="65" t="s">
        <v>1734</v>
      </c>
      <c r="C1062" s="65" t="s">
        <v>741</v>
      </c>
    </row>
    <row r="1063" spans="1:3" hidden="1">
      <c r="A1063" s="65">
        <v>9002322</v>
      </c>
      <c r="B1063" s="65" t="s">
        <v>1798</v>
      </c>
      <c r="C1063" s="65" t="s">
        <v>805</v>
      </c>
    </row>
    <row r="1064" spans="1:3" hidden="1">
      <c r="A1064" s="65">
        <v>9002323</v>
      </c>
      <c r="B1064" s="65" t="s">
        <v>1799</v>
      </c>
      <c r="C1064" s="65" t="s">
        <v>738</v>
      </c>
    </row>
    <row r="1065" spans="1:3" hidden="1">
      <c r="A1065" s="65">
        <v>9002324</v>
      </c>
      <c r="B1065" s="65" t="s">
        <v>1800</v>
      </c>
      <c r="C1065" s="65" t="s">
        <v>738</v>
      </c>
    </row>
    <row r="1066" spans="1:3" hidden="1">
      <c r="A1066" s="65">
        <v>9002325</v>
      </c>
      <c r="B1066" s="65" t="s">
        <v>1801</v>
      </c>
      <c r="C1066" s="65" t="s">
        <v>805</v>
      </c>
    </row>
    <row r="1067" spans="1:3" hidden="1">
      <c r="A1067" s="65">
        <v>9002326</v>
      </c>
      <c r="B1067" s="65" t="s">
        <v>1802</v>
      </c>
      <c r="C1067" s="65" t="s">
        <v>805</v>
      </c>
    </row>
    <row r="1068" spans="1:3" hidden="1">
      <c r="A1068" s="65">
        <v>9002327</v>
      </c>
      <c r="B1068" s="65" t="s">
        <v>1803</v>
      </c>
      <c r="C1068" s="65" t="s">
        <v>805</v>
      </c>
    </row>
    <row r="1069" spans="1:3" hidden="1">
      <c r="A1069" s="65">
        <v>9002328</v>
      </c>
      <c r="B1069" s="65" t="s">
        <v>1804</v>
      </c>
      <c r="C1069" s="65" t="s">
        <v>738</v>
      </c>
    </row>
    <row r="1070" spans="1:3" hidden="1">
      <c r="A1070" s="65">
        <v>9002329</v>
      </c>
      <c r="B1070" s="65" t="s">
        <v>1805</v>
      </c>
      <c r="C1070" s="65" t="s">
        <v>793</v>
      </c>
    </row>
    <row r="1071" spans="1:3" hidden="1">
      <c r="A1071" s="65">
        <v>9002330</v>
      </c>
      <c r="B1071" s="65" t="s">
        <v>1806</v>
      </c>
      <c r="C1071" s="65" t="s">
        <v>738</v>
      </c>
    </row>
    <row r="1072" spans="1:3" hidden="1">
      <c r="A1072" s="65">
        <v>9002331</v>
      </c>
      <c r="B1072" s="65" t="s">
        <v>1807</v>
      </c>
      <c r="C1072" s="65" t="s">
        <v>738</v>
      </c>
    </row>
    <row r="1073" spans="1:3" hidden="1">
      <c r="A1073" s="65">
        <v>9002339</v>
      </c>
      <c r="B1073" s="65" t="s">
        <v>1808</v>
      </c>
      <c r="C1073" s="65" t="s">
        <v>805</v>
      </c>
    </row>
    <row r="1074" spans="1:3" hidden="1">
      <c r="A1074" s="65">
        <v>9002349</v>
      </c>
      <c r="B1074" s="65" t="s">
        <v>1809</v>
      </c>
      <c r="C1074" s="65" t="s">
        <v>686</v>
      </c>
    </row>
    <row r="1075" spans="1:3" hidden="1">
      <c r="A1075" s="65">
        <v>9002350</v>
      </c>
      <c r="B1075" s="65" t="s">
        <v>1810</v>
      </c>
      <c r="C1075" s="65" t="s">
        <v>686</v>
      </c>
    </row>
    <row r="1076" spans="1:3" hidden="1">
      <c r="A1076" s="65">
        <v>9002351</v>
      </c>
      <c r="B1076" s="65" t="s">
        <v>1811</v>
      </c>
      <c r="C1076" s="65" t="s">
        <v>686</v>
      </c>
    </row>
    <row r="1077" spans="1:3" hidden="1">
      <c r="A1077" s="65">
        <v>9002352</v>
      </c>
      <c r="B1077" s="65" t="s">
        <v>1812</v>
      </c>
      <c r="C1077" s="65" t="s">
        <v>793</v>
      </c>
    </row>
    <row r="1078" spans="1:3" hidden="1">
      <c r="A1078" s="65">
        <v>9002353</v>
      </c>
      <c r="B1078" s="65" t="s">
        <v>1813</v>
      </c>
      <c r="C1078" s="65" t="s">
        <v>664</v>
      </c>
    </row>
    <row r="1079" spans="1:3" hidden="1">
      <c r="A1079" s="65">
        <v>9002354</v>
      </c>
      <c r="B1079" s="65" t="s">
        <v>1814</v>
      </c>
      <c r="C1079" s="65" t="s">
        <v>664</v>
      </c>
    </row>
    <row r="1080" spans="1:3" hidden="1">
      <c r="A1080" s="65">
        <v>9002355</v>
      </c>
      <c r="B1080" s="65" t="s">
        <v>1815</v>
      </c>
      <c r="C1080" s="65" t="s">
        <v>805</v>
      </c>
    </row>
    <row r="1081" spans="1:3" hidden="1">
      <c r="A1081" s="65">
        <v>9002356</v>
      </c>
      <c r="B1081" s="65" t="s">
        <v>1816</v>
      </c>
      <c r="C1081" s="65" t="s">
        <v>805</v>
      </c>
    </row>
    <row r="1082" spans="1:3" hidden="1">
      <c r="A1082" s="65">
        <v>9002357</v>
      </c>
      <c r="B1082" s="65" t="s">
        <v>1817</v>
      </c>
      <c r="C1082" s="65" t="s">
        <v>1312</v>
      </c>
    </row>
    <row r="1083" spans="1:3" hidden="1">
      <c r="A1083" s="65">
        <v>9002358</v>
      </c>
      <c r="B1083" s="65" t="s">
        <v>1818</v>
      </c>
      <c r="C1083" s="65" t="s">
        <v>1312</v>
      </c>
    </row>
    <row r="1084" spans="1:3" hidden="1">
      <c r="A1084" s="65">
        <v>9002359</v>
      </c>
      <c r="B1084" s="65" t="s">
        <v>1819</v>
      </c>
      <c r="C1084" s="65" t="s">
        <v>686</v>
      </c>
    </row>
    <row r="1085" spans="1:3" hidden="1">
      <c r="A1085" s="65">
        <v>9002360</v>
      </c>
      <c r="B1085" s="65" t="s">
        <v>1820</v>
      </c>
      <c r="C1085" s="65" t="s">
        <v>805</v>
      </c>
    </row>
    <row r="1086" spans="1:3" hidden="1">
      <c r="A1086" s="65">
        <v>9002361</v>
      </c>
      <c r="B1086" s="65" t="s">
        <v>1821</v>
      </c>
      <c r="C1086" s="65" t="s">
        <v>805</v>
      </c>
    </row>
    <row r="1087" spans="1:3" hidden="1">
      <c r="A1087" s="65">
        <v>9002362</v>
      </c>
      <c r="B1087" s="65" t="s">
        <v>1822</v>
      </c>
      <c r="C1087" s="65" t="s">
        <v>805</v>
      </c>
    </row>
    <row r="1088" spans="1:3" hidden="1">
      <c r="A1088" s="65">
        <v>9002363</v>
      </c>
      <c r="B1088" s="65" t="s">
        <v>1823</v>
      </c>
      <c r="C1088" s="65" t="s">
        <v>1101</v>
      </c>
    </row>
    <row r="1089" spans="1:3" hidden="1">
      <c r="A1089" s="65">
        <v>9002364</v>
      </c>
      <c r="B1089" s="65" t="s">
        <v>1824</v>
      </c>
      <c r="C1089" s="65" t="s">
        <v>1425</v>
      </c>
    </row>
    <row r="1090" spans="1:3" hidden="1">
      <c r="A1090" s="65">
        <v>9002365</v>
      </c>
      <c r="B1090" s="65" t="s">
        <v>1825</v>
      </c>
      <c r="C1090" s="65" t="s">
        <v>793</v>
      </c>
    </row>
    <row r="1091" spans="1:3" hidden="1">
      <c r="A1091" s="65">
        <v>9002366</v>
      </c>
      <c r="B1091" s="65" t="s">
        <v>1826</v>
      </c>
      <c r="C1091" s="65" t="s">
        <v>741</v>
      </c>
    </row>
    <row r="1092" spans="1:3" hidden="1">
      <c r="A1092" s="65">
        <v>9002367</v>
      </c>
      <c r="B1092" s="65" t="s">
        <v>1827</v>
      </c>
      <c r="C1092" s="65" t="s">
        <v>805</v>
      </c>
    </row>
    <row r="1093" spans="1:3" hidden="1">
      <c r="A1093" s="65">
        <v>9002368</v>
      </c>
      <c r="B1093" s="65" t="s">
        <v>1828</v>
      </c>
      <c r="C1093" s="65" t="s">
        <v>805</v>
      </c>
    </row>
    <row r="1094" spans="1:3" hidden="1">
      <c r="A1094" s="65">
        <v>9002369</v>
      </c>
      <c r="B1094" s="65" t="s">
        <v>1829</v>
      </c>
      <c r="C1094" s="65" t="s">
        <v>686</v>
      </c>
    </row>
    <row r="1095" spans="1:3" hidden="1">
      <c r="A1095" s="65">
        <v>9002370</v>
      </c>
      <c r="B1095" s="65" t="s">
        <v>1830</v>
      </c>
      <c r="C1095" s="65" t="s">
        <v>738</v>
      </c>
    </row>
    <row r="1096" spans="1:3" hidden="1">
      <c r="A1096" s="65">
        <v>9002371</v>
      </c>
      <c r="B1096" s="65" t="s">
        <v>1831</v>
      </c>
      <c r="C1096" s="65" t="s">
        <v>805</v>
      </c>
    </row>
    <row r="1097" spans="1:3" hidden="1">
      <c r="A1097" s="65">
        <v>9002372</v>
      </c>
      <c r="B1097" s="65" t="s">
        <v>1832</v>
      </c>
      <c r="C1097" s="65" t="s">
        <v>793</v>
      </c>
    </row>
    <row r="1098" spans="1:3" hidden="1">
      <c r="A1098" s="65">
        <v>9002379</v>
      </c>
      <c r="B1098" s="65" t="s">
        <v>1833</v>
      </c>
      <c r="C1098" s="65" t="s">
        <v>738</v>
      </c>
    </row>
    <row r="1099" spans="1:3" hidden="1">
      <c r="A1099" s="65">
        <v>9002380</v>
      </c>
      <c r="B1099" s="65" t="s">
        <v>1834</v>
      </c>
      <c r="C1099" s="65" t="s">
        <v>793</v>
      </c>
    </row>
    <row r="1100" spans="1:3" hidden="1">
      <c r="A1100" s="65">
        <v>9002381</v>
      </c>
      <c r="B1100" s="65" t="s">
        <v>1835</v>
      </c>
      <c r="C1100" s="65" t="s">
        <v>732</v>
      </c>
    </row>
    <row r="1101" spans="1:3" hidden="1">
      <c r="A1101" s="65">
        <v>9002389</v>
      </c>
      <c r="B1101" s="65" t="s">
        <v>1836</v>
      </c>
      <c r="C1101" s="65" t="s">
        <v>805</v>
      </c>
    </row>
    <row r="1102" spans="1:3" hidden="1">
      <c r="A1102" s="65">
        <v>9002390</v>
      </c>
      <c r="B1102" s="65" t="s">
        <v>1837</v>
      </c>
      <c r="C1102" s="65" t="s">
        <v>805</v>
      </c>
    </row>
    <row r="1103" spans="1:3" hidden="1">
      <c r="A1103" s="65">
        <v>9002391</v>
      </c>
      <c r="B1103" s="65" t="s">
        <v>1838</v>
      </c>
      <c r="C1103" s="65" t="s">
        <v>793</v>
      </c>
    </row>
    <row r="1104" spans="1:3" hidden="1">
      <c r="A1104" s="65">
        <v>9002392</v>
      </c>
      <c r="B1104" s="65" t="s">
        <v>1839</v>
      </c>
      <c r="C1104" s="65" t="s">
        <v>793</v>
      </c>
    </row>
    <row r="1105" spans="1:3" hidden="1">
      <c r="A1105" s="65">
        <v>9002393</v>
      </c>
      <c r="B1105" s="65" t="s">
        <v>1840</v>
      </c>
      <c r="C1105" s="65" t="s">
        <v>793</v>
      </c>
    </row>
    <row r="1106" spans="1:3" hidden="1">
      <c r="A1106" s="65">
        <v>9002394</v>
      </c>
      <c r="B1106" s="65" t="s">
        <v>1841</v>
      </c>
      <c r="C1106" s="65" t="s">
        <v>786</v>
      </c>
    </row>
    <row r="1107" spans="1:3" hidden="1">
      <c r="A1107" s="65">
        <v>9002395</v>
      </c>
      <c r="B1107" s="65" t="s">
        <v>1842</v>
      </c>
      <c r="C1107" s="65" t="s">
        <v>793</v>
      </c>
    </row>
    <row r="1108" spans="1:3" hidden="1">
      <c r="A1108" s="65">
        <v>9002396</v>
      </c>
      <c r="B1108" s="65" t="s">
        <v>1843</v>
      </c>
      <c r="C1108" s="65" t="s">
        <v>793</v>
      </c>
    </row>
    <row r="1109" spans="1:3" hidden="1">
      <c r="A1109" s="65">
        <v>9002397</v>
      </c>
      <c r="B1109" s="65" t="s">
        <v>1844</v>
      </c>
      <c r="C1109" s="65" t="s">
        <v>1312</v>
      </c>
    </row>
    <row r="1110" spans="1:3" hidden="1">
      <c r="A1110" s="65">
        <v>9002398</v>
      </c>
      <c r="B1110" s="65" t="s">
        <v>1845</v>
      </c>
      <c r="C1110" s="65" t="s">
        <v>805</v>
      </c>
    </row>
    <row r="1111" spans="1:3" hidden="1">
      <c r="A1111" s="65">
        <v>9002399</v>
      </c>
      <c r="B1111" s="65" t="s">
        <v>1846</v>
      </c>
      <c r="C1111" s="65" t="s">
        <v>793</v>
      </c>
    </row>
    <row r="1112" spans="1:3" hidden="1">
      <c r="A1112" s="65">
        <v>9002409</v>
      </c>
      <c r="B1112" s="65" t="s">
        <v>1847</v>
      </c>
      <c r="C1112" s="65" t="s">
        <v>738</v>
      </c>
    </row>
    <row r="1113" spans="1:3" hidden="1">
      <c r="A1113" s="65">
        <v>9002410</v>
      </c>
      <c r="B1113" s="65" t="s">
        <v>1848</v>
      </c>
      <c r="C1113" s="65" t="s">
        <v>805</v>
      </c>
    </row>
    <row r="1114" spans="1:3" hidden="1">
      <c r="A1114" s="65">
        <v>9002419</v>
      </c>
      <c r="B1114" s="65" t="s">
        <v>1849</v>
      </c>
      <c r="C1114" s="65" t="s">
        <v>827</v>
      </c>
    </row>
    <row r="1115" spans="1:3" hidden="1">
      <c r="A1115" s="65">
        <v>9002420</v>
      </c>
      <c r="B1115" s="65" t="s">
        <v>1850</v>
      </c>
      <c r="C1115" s="65" t="s">
        <v>738</v>
      </c>
    </row>
    <row r="1116" spans="1:3" hidden="1">
      <c r="A1116" s="65">
        <v>9002429</v>
      </c>
      <c r="B1116" s="65" t="s">
        <v>1851</v>
      </c>
      <c r="C1116" s="65" t="s">
        <v>805</v>
      </c>
    </row>
    <row r="1117" spans="1:3" hidden="1">
      <c r="A1117" s="65">
        <v>9002430</v>
      </c>
      <c r="B1117" s="65" t="s">
        <v>1852</v>
      </c>
      <c r="C1117" s="65" t="s">
        <v>793</v>
      </c>
    </row>
    <row r="1118" spans="1:3" hidden="1">
      <c r="A1118" s="65">
        <v>9002431</v>
      </c>
      <c r="B1118" s="65" t="s">
        <v>1853</v>
      </c>
      <c r="C1118" s="65" t="s">
        <v>683</v>
      </c>
    </row>
    <row r="1119" spans="1:3" hidden="1">
      <c r="A1119" s="65">
        <v>9002432</v>
      </c>
      <c r="B1119" s="65" t="s">
        <v>1854</v>
      </c>
      <c r="C1119" s="65" t="s">
        <v>674</v>
      </c>
    </row>
    <row r="1120" spans="1:3" hidden="1">
      <c r="A1120" s="65">
        <v>9002433</v>
      </c>
      <c r="B1120" s="65" t="s">
        <v>1855</v>
      </c>
      <c r="C1120" s="65" t="s">
        <v>805</v>
      </c>
    </row>
    <row r="1121" spans="1:3" hidden="1">
      <c r="A1121" s="65">
        <v>9002434</v>
      </c>
      <c r="B1121" s="65" t="s">
        <v>1856</v>
      </c>
      <c r="C1121" s="65" t="s">
        <v>809</v>
      </c>
    </row>
    <row r="1122" spans="1:3" hidden="1">
      <c r="A1122" s="65">
        <v>9002435</v>
      </c>
      <c r="B1122" s="65" t="s">
        <v>1857</v>
      </c>
      <c r="C1122" s="65" t="s">
        <v>745</v>
      </c>
    </row>
    <row r="1123" spans="1:3" hidden="1">
      <c r="A1123" s="65">
        <v>9002436</v>
      </c>
      <c r="B1123" s="65" t="s">
        <v>1858</v>
      </c>
      <c r="C1123" s="65" t="s">
        <v>738</v>
      </c>
    </row>
    <row r="1124" spans="1:3" hidden="1">
      <c r="A1124" s="65">
        <v>9002437</v>
      </c>
      <c r="B1124" s="65" t="s">
        <v>1859</v>
      </c>
      <c r="C1124" s="65" t="s">
        <v>745</v>
      </c>
    </row>
    <row r="1125" spans="1:3" hidden="1">
      <c r="A1125" s="65">
        <v>9002438</v>
      </c>
      <c r="B1125" s="65" t="s">
        <v>1860</v>
      </c>
      <c r="C1125" s="65" t="s">
        <v>732</v>
      </c>
    </row>
    <row r="1126" spans="1:3" hidden="1">
      <c r="A1126" s="65">
        <v>9002439</v>
      </c>
      <c r="B1126" s="65" t="s">
        <v>1861</v>
      </c>
      <c r="C1126" s="65" t="s">
        <v>664</v>
      </c>
    </row>
    <row r="1127" spans="1:3" hidden="1">
      <c r="A1127" s="65">
        <v>9002440</v>
      </c>
      <c r="B1127" s="65" t="s">
        <v>1862</v>
      </c>
      <c r="C1127" s="65" t="s">
        <v>738</v>
      </c>
    </row>
    <row r="1128" spans="1:3" hidden="1">
      <c r="A1128" s="65">
        <v>9002441</v>
      </c>
      <c r="B1128" s="65" t="s">
        <v>1863</v>
      </c>
      <c r="C1128" s="65" t="s">
        <v>805</v>
      </c>
    </row>
    <row r="1129" spans="1:3" hidden="1">
      <c r="A1129" s="65">
        <v>9002442</v>
      </c>
      <c r="B1129" s="65" t="s">
        <v>1864</v>
      </c>
      <c r="C1129" s="65" t="s">
        <v>805</v>
      </c>
    </row>
    <row r="1130" spans="1:3" hidden="1">
      <c r="A1130" s="65">
        <v>9002443</v>
      </c>
      <c r="B1130" s="65" t="s">
        <v>1865</v>
      </c>
      <c r="C1130" s="65" t="s">
        <v>805</v>
      </c>
    </row>
    <row r="1131" spans="1:3" hidden="1">
      <c r="A1131" s="65">
        <v>9002444</v>
      </c>
      <c r="B1131" s="65" t="s">
        <v>1866</v>
      </c>
      <c r="C1131" s="65" t="s">
        <v>793</v>
      </c>
    </row>
    <row r="1132" spans="1:3" hidden="1">
      <c r="A1132" s="65">
        <v>9002445</v>
      </c>
      <c r="B1132" s="65" t="s">
        <v>1867</v>
      </c>
      <c r="C1132" s="65" t="s">
        <v>793</v>
      </c>
    </row>
    <row r="1133" spans="1:3" hidden="1">
      <c r="A1133" s="65">
        <v>9002446</v>
      </c>
      <c r="B1133" s="65" t="s">
        <v>1868</v>
      </c>
      <c r="C1133" s="65" t="s">
        <v>1312</v>
      </c>
    </row>
    <row r="1134" spans="1:3" hidden="1">
      <c r="A1134" s="65">
        <v>9002447</v>
      </c>
      <c r="B1134" s="65" t="s">
        <v>1869</v>
      </c>
      <c r="C1134" s="65" t="s">
        <v>805</v>
      </c>
    </row>
    <row r="1135" spans="1:3" hidden="1">
      <c r="A1135" s="65">
        <v>9002448</v>
      </c>
      <c r="B1135" s="65" t="s">
        <v>1870</v>
      </c>
      <c r="C1135" s="65" t="s">
        <v>805</v>
      </c>
    </row>
    <row r="1136" spans="1:3" hidden="1">
      <c r="A1136" s="65">
        <v>9002449</v>
      </c>
      <c r="B1136" s="65" t="s">
        <v>1871</v>
      </c>
      <c r="C1136" s="65" t="s">
        <v>805</v>
      </c>
    </row>
    <row r="1137" spans="1:3" hidden="1">
      <c r="A1137" s="65">
        <v>9002450</v>
      </c>
      <c r="B1137" s="65" t="s">
        <v>1872</v>
      </c>
      <c r="C1137" s="65" t="s">
        <v>805</v>
      </c>
    </row>
    <row r="1138" spans="1:3" hidden="1">
      <c r="A1138" s="65">
        <v>9002451</v>
      </c>
      <c r="B1138" s="65" t="s">
        <v>1873</v>
      </c>
      <c r="C1138" s="65" t="s">
        <v>677</v>
      </c>
    </row>
    <row r="1139" spans="1:3" hidden="1">
      <c r="A1139" s="65">
        <v>9002452</v>
      </c>
      <c r="B1139" s="65" t="s">
        <v>1874</v>
      </c>
      <c r="C1139" s="65" t="s">
        <v>793</v>
      </c>
    </row>
    <row r="1140" spans="1:3" hidden="1">
      <c r="A1140" s="65">
        <v>9002453</v>
      </c>
      <c r="B1140" s="65" t="s">
        <v>1875</v>
      </c>
      <c r="C1140" s="65" t="s">
        <v>793</v>
      </c>
    </row>
    <row r="1141" spans="1:3" hidden="1">
      <c r="A1141" s="65">
        <v>9002454</v>
      </c>
      <c r="B1141" s="65" t="s">
        <v>1876</v>
      </c>
      <c r="C1141" s="65" t="s">
        <v>793</v>
      </c>
    </row>
    <row r="1142" spans="1:3" hidden="1">
      <c r="A1142" s="65">
        <v>9002455</v>
      </c>
      <c r="B1142" s="65" t="s">
        <v>1877</v>
      </c>
      <c r="C1142" s="65" t="s">
        <v>793</v>
      </c>
    </row>
    <row r="1143" spans="1:3" hidden="1">
      <c r="A1143" s="65">
        <v>9002456</v>
      </c>
      <c r="B1143" s="65" t="s">
        <v>1878</v>
      </c>
      <c r="C1143" s="65" t="s">
        <v>793</v>
      </c>
    </row>
    <row r="1144" spans="1:3" hidden="1">
      <c r="A1144" s="65">
        <v>9002457</v>
      </c>
      <c r="B1144" s="65" t="s">
        <v>1879</v>
      </c>
      <c r="C1144" s="65" t="s">
        <v>793</v>
      </c>
    </row>
    <row r="1145" spans="1:3" hidden="1">
      <c r="A1145" s="65">
        <v>9002458</v>
      </c>
      <c r="B1145" s="65" t="s">
        <v>1880</v>
      </c>
      <c r="C1145" s="65" t="s">
        <v>805</v>
      </c>
    </row>
    <row r="1146" spans="1:3" hidden="1">
      <c r="A1146" s="65">
        <v>9002459</v>
      </c>
      <c r="B1146" s="65" t="s">
        <v>1881</v>
      </c>
      <c r="C1146" s="65" t="s">
        <v>793</v>
      </c>
    </row>
    <row r="1147" spans="1:3" hidden="1">
      <c r="A1147" s="65">
        <v>9002460</v>
      </c>
      <c r="B1147" s="65" t="s">
        <v>1882</v>
      </c>
      <c r="C1147" s="65" t="s">
        <v>793</v>
      </c>
    </row>
    <row r="1148" spans="1:3" hidden="1">
      <c r="A1148" s="65">
        <v>9002461</v>
      </c>
      <c r="B1148" s="65" t="s">
        <v>1883</v>
      </c>
      <c r="C1148" s="65" t="s">
        <v>805</v>
      </c>
    </row>
    <row r="1149" spans="1:3" hidden="1">
      <c r="A1149" s="65">
        <v>9002462</v>
      </c>
      <c r="B1149" s="65" t="s">
        <v>1884</v>
      </c>
      <c r="C1149" s="65" t="s">
        <v>805</v>
      </c>
    </row>
    <row r="1150" spans="1:3" hidden="1">
      <c r="A1150" s="65">
        <v>9002463</v>
      </c>
      <c r="B1150" s="65" t="s">
        <v>1885</v>
      </c>
      <c r="C1150" s="65" t="s">
        <v>805</v>
      </c>
    </row>
    <row r="1151" spans="1:3" hidden="1">
      <c r="A1151" s="65">
        <v>9002464</v>
      </c>
      <c r="B1151" s="65" t="s">
        <v>1886</v>
      </c>
      <c r="C1151" s="65" t="s">
        <v>805</v>
      </c>
    </row>
    <row r="1152" spans="1:3" hidden="1">
      <c r="A1152" s="65">
        <v>9002465</v>
      </c>
      <c r="B1152" s="65" t="s">
        <v>1887</v>
      </c>
      <c r="C1152" s="65" t="s">
        <v>1312</v>
      </c>
    </row>
    <row r="1153" spans="1:3" hidden="1">
      <c r="A1153" s="65">
        <v>9002466</v>
      </c>
      <c r="B1153" s="65" t="s">
        <v>1888</v>
      </c>
      <c r="C1153" s="65" t="s">
        <v>664</v>
      </c>
    </row>
    <row r="1154" spans="1:3" hidden="1">
      <c r="A1154" s="65">
        <v>9002467</v>
      </c>
      <c r="B1154" s="65" t="s">
        <v>1889</v>
      </c>
      <c r="C1154" s="65" t="s">
        <v>683</v>
      </c>
    </row>
    <row r="1155" spans="1:3" hidden="1">
      <c r="A1155" s="65">
        <v>9002468</v>
      </c>
      <c r="B1155" s="65" t="s">
        <v>1890</v>
      </c>
      <c r="C1155" s="65" t="s">
        <v>677</v>
      </c>
    </row>
    <row r="1156" spans="1:3" hidden="1">
      <c r="A1156" s="65">
        <v>9002469</v>
      </c>
      <c r="B1156" s="65" t="s">
        <v>1891</v>
      </c>
      <c r="C1156" s="65" t="s">
        <v>664</v>
      </c>
    </row>
    <row r="1157" spans="1:3" hidden="1">
      <c r="A1157" s="65">
        <v>9002470</v>
      </c>
      <c r="B1157" s="65" t="s">
        <v>1892</v>
      </c>
      <c r="C1157" s="65" t="s">
        <v>751</v>
      </c>
    </row>
    <row r="1158" spans="1:3" hidden="1">
      <c r="A1158" s="65">
        <v>9002471</v>
      </c>
      <c r="B1158" s="65" t="s">
        <v>1893</v>
      </c>
      <c r="C1158" s="65" t="s">
        <v>686</v>
      </c>
    </row>
    <row r="1159" spans="1:3" hidden="1">
      <c r="A1159" s="65">
        <v>9002472</v>
      </c>
      <c r="B1159" s="65" t="s">
        <v>1894</v>
      </c>
      <c r="C1159" s="65" t="s">
        <v>805</v>
      </c>
    </row>
    <row r="1160" spans="1:3" hidden="1">
      <c r="A1160" s="65">
        <v>9002473</v>
      </c>
      <c r="B1160" s="65" t="s">
        <v>1895</v>
      </c>
      <c r="C1160" s="65" t="s">
        <v>686</v>
      </c>
    </row>
    <row r="1161" spans="1:3" hidden="1">
      <c r="A1161" s="65">
        <v>9002474</v>
      </c>
      <c r="B1161" s="65" t="s">
        <v>1896</v>
      </c>
      <c r="C1161" s="65" t="s">
        <v>805</v>
      </c>
    </row>
    <row r="1162" spans="1:3" hidden="1">
      <c r="A1162" s="65">
        <v>9002475</v>
      </c>
      <c r="B1162" s="65" t="s">
        <v>1897</v>
      </c>
      <c r="C1162" s="65" t="s">
        <v>664</v>
      </c>
    </row>
    <row r="1163" spans="1:3" hidden="1">
      <c r="A1163" s="65">
        <v>9002476</v>
      </c>
      <c r="B1163" s="65" t="s">
        <v>1898</v>
      </c>
      <c r="C1163" s="65" t="s">
        <v>738</v>
      </c>
    </row>
    <row r="1164" spans="1:3" hidden="1">
      <c r="A1164" s="65">
        <v>9002477</v>
      </c>
      <c r="B1164" s="65" t="s">
        <v>1899</v>
      </c>
      <c r="C1164" s="65" t="s">
        <v>805</v>
      </c>
    </row>
    <row r="1165" spans="1:3" hidden="1">
      <c r="A1165" s="65">
        <v>9002478</v>
      </c>
      <c r="B1165" s="65" t="s">
        <v>1900</v>
      </c>
      <c r="C1165" s="65" t="s">
        <v>686</v>
      </c>
    </row>
    <row r="1166" spans="1:3" hidden="1">
      <c r="A1166" s="65">
        <v>9002479</v>
      </c>
      <c r="B1166" s="65" t="s">
        <v>1901</v>
      </c>
      <c r="C1166" s="65" t="s">
        <v>664</v>
      </c>
    </row>
    <row r="1167" spans="1:3" hidden="1">
      <c r="A1167" s="65">
        <v>9002480</v>
      </c>
      <c r="B1167" s="65" t="s">
        <v>1902</v>
      </c>
      <c r="C1167" s="65" t="s">
        <v>805</v>
      </c>
    </row>
    <row r="1168" spans="1:3" hidden="1">
      <c r="A1168" s="65">
        <v>9002481</v>
      </c>
      <c r="B1168" s="65" t="s">
        <v>1903</v>
      </c>
      <c r="C1168" s="65" t="s">
        <v>805</v>
      </c>
    </row>
    <row r="1169" spans="1:3" hidden="1">
      <c r="A1169" s="65">
        <v>9002482</v>
      </c>
      <c r="B1169" s="65" t="s">
        <v>1904</v>
      </c>
      <c r="C1169" s="65" t="s">
        <v>805</v>
      </c>
    </row>
    <row r="1170" spans="1:3" hidden="1">
      <c r="A1170" s="65">
        <v>9002483</v>
      </c>
      <c r="B1170" s="65" t="s">
        <v>1905</v>
      </c>
      <c r="C1170" s="65" t="s">
        <v>805</v>
      </c>
    </row>
    <row r="1171" spans="1:3" hidden="1">
      <c r="A1171" s="65">
        <v>9002484</v>
      </c>
      <c r="B1171" s="65" t="s">
        <v>1906</v>
      </c>
      <c r="C1171" s="65" t="s">
        <v>805</v>
      </c>
    </row>
    <row r="1172" spans="1:3" hidden="1">
      <c r="A1172" s="65">
        <v>9002485</v>
      </c>
      <c r="B1172" s="65" t="s">
        <v>1907</v>
      </c>
      <c r="C1172" s="65" t="s">
        <v>805</v>
      </c>
    </row>
    <row r="1173" spans="1:3" hidden="1">
      <c r="A1173" s="65">
        <v>9002486</v>
      </c>
      <c r="B1173" s="65" t="s">
        <v>1908</v>
      </c>
      <c r="C1173" s="65" t="s">
        <v>805</v>
      </c>
    </row>
    <row r="1174" spans="1:3" hidden="1">
      <c r="A1174" s="65">
        <v>9002487</v>
      </c>
      <c r="B1174" s="65" t="s">
        <v>1909</v>
      </c>
      <c r="C1174" s="65" t="s">
        <v>805</v>
      </c>
    </row>
    <row r="1175" spans="1:3" hidden="1">
      <c r="A1175" s="65">
        <v>9002488</v>
      </c>
      <c r="B1175" s="65" t="s">
        <v>1910</v>
      </c>
      <c r="C1175" s="65" t="s">
        <v>738</v>
      </c>
    </row>
    <row r="1176" spans="1:3" hidden="1">
      <c r="A1176" s="65">
        <v>9002489</v>
      </c>
      <c r="B1176" s="65" t="s">
        <v>1911</v>
      </c>
      <c r="C1176" s="65" t="s">
        <v>664</v>
      </c>
    </row>
    <row r="1177" spans="1:3" hidden="1">
      <c r="A1177" s="65">
        <v>9002490</v>
      </c>
      <c r="B1177" s="65" t="s">
        <v>1912</v>
      </c>
      <c r="C1177" s="65" t="s">
        <v>805</v>
      </c>
    </row>
    <row r="1178" spans="1:3" hidden="1">
      <c r="A1178" s="65">
        <v>9002491</v>
      </c>
      <c r="B1178" s="65" t="s">
        <v>1913</v>
      </c>
      <c r="C1178" s="65" t="s">
        <v>805</v>
      </c>
    </row>
    <row r="1179" spans="1:3" hidden="1">
      <c r="A1179" s="65">
        <v>9002492</v>
      </c>
      <c r="B1179" s="65" t="s">
        <v>1914</v>
      </c>
      <c r="C1179" s="65" t="s">
        <v>805</v>
      </c>
    </row>
    <row r="1180" spans="1:3" hidden="1">
      <c r="A1180" s="65">
        <v>9002493</v>
      </c>
      <c r="B1180" s="65" t="s">
        <v>1915</v>
      </c>
      <c r="C1180" s="65" t="s">
        <v>805</v>
      </c>
    </row>
    <row r="1181" spans="1:3" hidden="1">
      <c r="A1181" s="65">
        <v>9002494</v>
      </c>
      <c r="B1181" s="65" t="s">
        <v>1916</v>
      </c>
      <c r="C1181" s="65" t="s">
        <v>805</v>
      </c>
    </row>
    <row r="1182" spans="1:3" hidden="1">
      <c r="A1182" s="65">
        <v>9002495</v>
      </c>
      <c r="B1182" s="65" t="s">
        <v>1917</v>
      </c>
      <c r="C1182" s="65" t="s">
        <v>805</v>
      </c>
    </row>
    <row r="1183" spans="1:3" hidden="1">
      <c r="A1183" s="65">
        <v>9002496</v>
      </c>
      <c r="B1183" s="65" t="s">
        <v>1918</v>
      </c>
      <c r="C1183" s="65" t="s">
        <v>805</v>
      </c>
    </row>
    <row r="1184" spans="1:3" hidden="1">
      <c r="A1184" s="65">
        <v>9002497</v>
      </c>
      <c r="B1184" s="65" t="s">
        <v>1919</v>
      </c>
      <c r="C1184" s="65" t="s">
        <v>805</v>
      </c>
    </row>
    <row r="1185" spans="1:3" hidden="1">
      <c r="A1185" s="65">
        <v>9002498</v>
      </c>
      <c r="B1185" s="65" t="s">
        <v>1920</v>
      </c>
      <c r="C1185" s="65" t="s">
        <v>805</v>
      </c>
    </row>
    <row r="1186" spans="1:3" hidden="1">
      <c r="A1186" s="65">
        <v>9002499</v>
      </c>
      <c r="B1186" s="65" t="s">
        <v>1921</v>
      </c>
      <c r="C1186" s="65" t="s">
        <v>738</v>
      </c>
    </row>
    <row r="1187" spans="1:3" hidden="1">
      <c r="A1187" s="65">
        <v>9002500</v>
      </c>
      <c r="B1187" s="65" t="s">
        <v>1922</v>
      </c>
      <c r="C1187" s="65" t="s">
        <v>683</v>
      </c>
    </row>
    <row r="1188" spans="1:3" hidden="1">
      <c r="A1188" s="65">
        <v>9002501</v>
      </c>
      <c r="B1188" s="65" t="s">
        <v>1923</v>
      </c>
      <c r="C1188" s="65" t="s">
        <v>683</v>
      </c>
    </row>
    <row r="1189" spans="1:3" hidden="1">
      <c r="A1189" s="65">
        <v>9002502</v>
      </c>
      <c r="B1189" s="65" t="s">
        <v>1924</v>
      </c>
      <c r="C1189" s="65" t="s">
        <v>683</v>
      </c>
    </row>
    <row r="1190" spans="1:3" hidden="1">
      <c r="A1190" s="65">
        <v>9002503</v>
      </c>
      <c r="B1190" s="65" t="s">
        <v>1925</v>
      </c>
      <c r="C1190" s="65" t="s">
        <v>1926</v>
      </c>
    </row>
    <row r="1191" spans="1:3" hidden="1">
      <c r="A1191" s="65">
        <v>9002504</v>
      </c>
      <c r="B1191" s="65" t="s">
        <v>1927</v>
      </c>
      <c r="C1191" s="65" t="s">
        <v>677</v>
      </c>
    </row>
    <row r="1192" spans="1:3" hidden="1">
      <c r="A1192" s="65">
        <v>9002505</v>
      </c>
      <c r="B1192" s="65" t="s">
        <v>1928</v>
      </c>
      <c r="C1192" s="65" t="s">
        <v>677</v>
      </c>
    </row>
    <row r="1193" spans="1:3" hidden="1">
      <c r="A1193" s="65">
        <v>9002506</v>
      </c>
      <c r="B1193" s="65" t="s">
        <v>1929</v>
      </c>
      <c r="C1193" s="65" t="s">
        <v>677</v>
      </c>
    </row>
    <row r="1194" spans="1:3" hidden="1">
      <c r="A1194" s="65">
        <v>9002507</v>
      </c>
      <c r="B1194" s="65" t="s">
        <v>1930</v>
      </c>
      <c r="C1194" s="65" t="s">
        <v>677</v>
      </c>
    </row>
    <row r="1195" spans="1:3" hidden="1">
      <c r="A1195" s="65">
        <v>9002508</v>
      </c>
      <c r="B1195" s="65" t="s">
        <v>1931</v>
      </c>
      <c r="C1195" s="65" t="s">
        <v>677</v>
      </c>
    </row>
    <row r="1196" spans="1:3" hidden="1">
      <c r="A1196" s="65">
        <v>9002509</v>
      </c>
      <c r="B1196" s="65" t="s">
        <v>1932</v>
      </c>
      <c r="C1196" s="65" t="s">
        <v>686</v>
      </c>
    </row>
    <row r="1197" spans="1:3" hidden="1">
      <c r="A1197" s="65">
        <v>9002510</v>
      </c>
      <c r="B1197" s="65" t="s">
        <v>1933</v>
      </c>
      <c r="C1197" s="65" t="s">
        <v>686</v>
      </c>
    </row>
    <row r="1198" spans="1:3" hidden="1">
      <c r="A1198" s="65">
        <v>9002511</v>
      </c>
      <c r="B1198" s="65" t="s">
        <v>1934</v>
      </c>
      <c r="C1198" s="65" t="s">
        <v>664</v>
      </c>
    </row>
    <row r="1199" spans="1:3" hidden="1">
      <c r="A1199" s="65">
        <v>9002512</v>
      </c>
      <c r="B1199" s="65" t="s">
        <v>1723</v>
      </c>
      <c r="C1199" s="65" t="s">
        <v>805</v>
      </c>
    </row>
    <row r="1200" spans="1:3" hidden="1">
      <c r="A1200" s="65">
        <v>9002513</v>
      </c>
      <c r="B1200" s="65" t="s">
        <v>1935</v>
      </c>
      <c r="C1200" s="65" t="s">
        <v>805</v>
      </c>
    </row>
    <row r="1201" spans="1:3" hidden="1">
      <c r="A1201" s="65">
        <v>9002514</v>
      </c>
      <c r="B1201" s="65" t="s">
        <v>1936</v>
      </c>
      <c r="C1201" s="65" t="s">
        <v>805</v>
      </c>
    </row>
    <row r="1202" spans="1:3" hidden="1">
      <c r="A1202" s="65">
        <v>9002515</v>
      </c>
      <c r="B1202" s="65" t="s">
        <v>1937</v>
      </c>
      <c r="C1202" s="65" t="s">
        <v>805</v>
      </c>
    </row>
    <row r="1203" spans="1:3" hidden="1">
      <c r="A1203" s="65">
        <v>9002516</v>
      </c>
      <c r="B1203" s="65" t="s">
        <v>1938</v>
      </c>
      <c r="C1203" s="65" t="s">
        <v>793</v>
      </c>
    </row>
    <row r="1204" spans="1:3" hidden="1">
      <c r="A1204" s="65">
        <v>9002517</v>
      </c>
      <c r="B1204" s="65" t="s">
        <v>1939</v>
      </c>
      <c r="C1204" s="65" t="s">
        <v>805</v>
      </c>
    </row>
    <row r="1205" spans="1:3" hidden="1">
      <c r="A1205" s="65">
        <v>9002518</v>
      </c>
      <c r="B1205" s="65" t="s">
        <v>1940</v>
      </c>
      <c r="C1205" s="65" t="s">
        <v>738</v>
      </c>
    </row>
    <row r="1206" spans="1:3" hidden="1">
      <c r="A1206" s="65">
        <v>9002519</v>
      </c>
      <c r="B1206" s="65" t="s">
        <v>1941</v>
      </c>
      <c r="C1206" s="65" t="s">
        <v>677</v>
      </c>
    </row>
    <row r="1207" spans="1:3" hidden="1">
      <c r="A1207" s="65">
        <v>9002520</v>
      </c>
      <c r="B1207" s="65" t="s">
        <v>1942</v>
      </c>
      <c r="C1207" s="65" t="s">
        <v>677</v>
      </c>
    </row>
    <row r="1208" spans="1:3" hidden="1">
      <c r="A1208" s="65">
        <v>9002521</v>
      </c>
      <c r="B1208" s="65" t="s">
        <v>1943</v>
      </c>
      <c r="C1208" s="65" t="s">
        <v>677</v>
      </c>
    </row>
    <row r="1209" spans="1:3" hidden="1">
      <c r="A1209" s="65">
        <v>9002522</v>
      </c>
      <c r="B1209" s="65" t="s">
        <v>1944</v>
      </c>
      <c r="C1209" s="65" t="s">
        <v>677</v>
      </c>
    </row>
    <row r="1210" spans="1:3" hidden="1">
      <c r="A1210" s="65">
        <v>9002523</v>
      </c>
      <c r="B1210" s="65" t="s">
        <v>1945</v>
      </c>
      <c r="C1210" s="65" t="s">
        <v>677</v>
      </c>
    </row>
    <row r="1211" spans="1:3" hidden="1">
      <c r="A1211" s="65">
        <v>9002524</v>
      </c>
      <c r="B1211" s="65" t="s">
        <v>1946</v>
      </c>
      <c r="C1211" s="65" t="s">
        <v>677</v>
      </c>
    </row>
    <row r="1212" spans="1:3" hidden="1">
      <c r="A1212" s="65">
        <v>9002525</v>
      </c>
      <c r="B1212" s="65" t="s">
        <v>1947</v>
      </c>
      <c r="C1212" s="65" t="s">
        <v>677</v>
      </c>
    </row>
    <row r="1213" spans="1:3" hidden="1">
      <c r="A1213" s="65">
        <v>9002526</v>
      </c>
      <c r="B1213" s="65" t="s">
        <v>1948</v>
      </c>
      <c r="C1213" s="65" t="s">
        <v>677</v>
      </c>
    </row>
    <row r="1214" spans="1:3" hidden="1">
      <c r="A1214" s="65">
        <v>9002527</v>
      </c>
      <c r="B1214" s="65" t="s">
        <v>1949</v>
      </c>
      <c r="C1214" s="65" t="s">
        <v>677</v>
      </c>
    </row>
    <row r="1215" spans="1:3" hidden="1">
      <c r="A1215" s="65">
        <v>9002528</v>
      </c>
      <c r="B1215" s="65" t="s">
        <v>1950</v>
      </c>
      <c r="C1215" s="65" t="s">
        <v>677</v>
      </c>
    </row>
    <row r="1216" spans="1:3" hidden="1">
      <c r="A1216" s="65">
        <v>9002529</v>
      </c>
      <c r="B1216" s="65" t="s">
        <v>1951</v>
      </c>
      <c r="C1216" s="65" t="s">
        <v>807</v>
      </c>
    </row>
    <row r="1217" spans="1:3" hidden="1">
      <c r="A1217" s="65">
        <v>9002530</v>
      </c>
      <c r="B1217" s="65" t="s">
        <v>1952</v>
      </c>
      <c r="C1217" s="65" t="s">
        <v>807</v>
      </c>
    </row>
    <row r="1218" spans="1:3" hidden="1">
      <c r="A1218" s="65">
        <v>9002531</v>
      </c>
      <c r="B1218" s="65" t="s">
        <v>1734</v>
      </c>
      <c r="C1218" s="65" t="s">
        <v>741</v>
      </c>
    </row>
    <row r="1219" spans="1:3" hidden="1">
      <c r="A1219" s="65">
        <v>9002532</v>
      </c>
      <c r="B1219" s="65" t="s">
        <v>1953</v>
      </c>
      <c r="C1219" s="65" t="s">
        <v>741</v>
      </c>
    </row>
    <row r="1220" spans="1:3" hidden="1">
      <c r="A1220" s="65">
        <v>9002533</v>
      </c>
      <c r="B1220" s="65" t="s">
        <v>1954</v>
      </c>
      <c r="C1220" s="65" t="s">
        <v>786</v>
      </c>
    </row>
    <row r="1221" spans="1:3" hidden="1">
      <c r="A1221" s="65">
        <v>9002534</v>
      </c>
      <c r="B1221" s="65" t="s">
        <v>1955</v>
      </c>
      <c r="C1221" s="65" t="s">
        <v>786</v>
      </c>
    </row>
    <row r="1222" spans="1:3" hidden="1">
      <c r="A1222" s="65">
        <v>9002535</v>
      </c>
      <c r="B1222" s="65" t="s">
        <v>1956</v>
      </c>
      <c r="C1222" s="65" t="s">
        <v>786</v>
      </c>
    </row>
    <row r="1223" spans="1:3" hidden="1">
      <c r="A1223" s="65">
        <v>9002536</v>
      </c>
      <c r="B1223" s="65" t="s">
        <v>1957</v>
      </c>
      <c r="C1223" s="65" t="s">
        <v>786</v>
      </c>
    </row>
    <row r="1224" spans="1:3" hidden="1">
      <c r="A1224" s="65">
        <v>9002537</v>
      </c>
      <c r="B1224" s="65" t="s">
        <v>1958</v>
      </c>
      <c r="C1224" s="65" t="s">
        <v>805</v>
      </c>
    </row>
    <row r="1225" spans="1:3" hidden="1">
      <c r="A1225" s="65">
        <v>9002538</v>
      </c>
      <c r="B1225" s="65" t="s">
        <v>1959</v>
      </c>
      <c r="C1225" s="65" t="s">
        <v>786</v>
      </c>
    </row>
    <row r="1226" spans="1:3" hidden="1">
      <c r="A1226" s="65">
        <v>9002539</v>
      </c>
      <c r="B1226" s="65" t="s">
        <v>1960</v>
      </c>
      <c r="C1226" s="65" t="s">
        <v>805</v>
      </c>
    </row>
    <row r="1227" spans="1:3" hidden="1">
      <c r="A1227" s="65">
        <v>9002540</v>
      </c>
      <c r="B1227" s="65" t="s">
        <v>1961</v>
      </c>
      <c r="C1227" s="65" t="s">
        <v>1962</v>
      </c>
    </row>
    <row r="1228" spans="1:3" hidden="1">
      <c r="A1228" s="65">
        <v>9002541</v>
      </c>
      <c r="B1228" s="65" t="s">
        <v>1963</v>
      </c>
      <c r="C1228" s="65" t="s">
        <v>664</v>
      </c>
    </row>
    <row r="1229" spans="1:3" hidden="1">
      <c r="A1229" s="65">
        <v>9002542</v>
      </c>
      <c r="B1229" s="65" t="s">
        <v>1964</v>
      </c>
      <c r="C1229" s="65" t="s">
        <v>1101</v>
      </c>
    </row>
    <row r="1230" spans="1:3" hidden="1">
      <c r="A1230" s="65">
        <v>9002543</v>
      </c>
      <c r="B1230" s="65" t="s">
        <v>1965</v>
      </c>
      <c r="C1230" s="65" t="s">
        <v>1101</v>
      </c>
    </row>
    <row r="1231" spans="1:3" hidden="1">
      <c r="A1231" s="65">
        <v>9002544</v>
      </c>
      <c r="B1231" s="65" t="s">
        <v>1966</v>
      </c>
      <c r="C1231" s="65" t="s">
        <v>664</v>
      </c>
    </row>
    <row r="1232" spans="1:3" hidden="1">
      <c r="A1232" s="65">
        <v>9002545</v>
      </c>
      <c r="B1232" s="65" t="s">
        <v>1967</v>
      </c>
      <c r="C1232" s="65" t="s">
        <v>793</v>
      </c>
    </row>
    <row r="1233" spans="1:3" hidden="1">
      <c r="A1233" s="65">
        <v>9002546</v>
      </c>
      <c r="B1233" s="65" t="s">
        <v>1968</v>
      </c>
      <c r="C1233" s="65" t="s">
        <v>738</v>
      </c>
    </row>
    <row r="1234" spans="1:3" hidden="1">
      <c r="A1234" s="65">
        <v>9002547</v>
      </c>
      <c r="B1234" s="65" t="s">
        <v>1969</v>
      </c>
      <c r="C1234" s="65" t="s">
        <v>805</v>
      </c>
    </row>
    <row r="1235" spans="1:3" hidden="1">
      <c r="A1235" s="65">
        <v>9002548</v>
      </c>
      <c r="B1235" s="65" t="s">
        <v>1970</v>
      </c>
      <c r="C1235" s="65" t="s">
        <v>805</v>
      </c>
    </row>
    <row r="1236" spans="1:3" hidden="1">
      <c r="A1236" s="65">
        <v>9002549</v>
      </c>
      <c r="B1236" s="65" t="s">
        <v>1971</v>
      </c>
      <c r="C1236" s="65" t="s">
        <v>805</v>
      </c>
    </row>
    <row r="1237" spans="1:3" hidden="1">
      <c r="A1237" s="65">
        <v>9002550</v>
      </c>
      <c r="B1237" s="65" t="s">
        <v>1972</v>
      </c>
      <c r="C1237" s="65" t="s">
        <v>793</v>
      </c>
    </row>
    <row r="1238" spans="1:3" hidden="1">
      <c r="A1238" s="65">
        <v>9002551</v>
      </c>
      <c r="B1238" s="65" t="s">
        <v>1973</v>
      </c>
      <c r="C1238" s="65" t="s">
        <v>664</v>
      </c>
    </row>
    <row r="1239" spans="1:3" hidden="1">
      <c r="A1239" s="65">
        <v>9002552</v>
      </c>
      <c r="B1239" s="65" t="s">
        <v>1974</v>
      </c>
      <c r="C1239" s="65" t="s">
        <v>664</v>
      </c>
    </row>
    <row r="1240" spans="1:3" hidden="1">
      <c r="A1240" s="65">
        <v>9002553</v>
      </c>
      <c r="B1240" s="65" t="s">
        <v>1975</v>
      </c>
      <c r="C1240" s="65" t="s">
        <v>664</v>
      </c>
    </row>
    <row r="1241" spans="1:3" hidden="1">
      <c r="A1241" s="65">
        <v>9002554</v>
      </c>
      <c r="B1241" s="65" t="s">
        <v>1976</v>
      </c>
      <c r="C1241" s="65" t="s">
        <v>732</v>
      </c>
    </row>
    <row r="1242" spans="1:3" hidden="1">
      <c r="A1242" s="65">
        <v>9002555</v>
      </c>
      <c r="B1242" s="65" t="s">
        <v>1977</v>
      </c>
      <c r="C1242" s="65" t="s">
        <v>664</v>
      </c>
    </row>
    <row r="1243" spans="1:3" hidden="1">
      <c r="A1243" s="65">
        <v>9002556</v>
      </c>
      <c r="B1243" s="65" t="s">
        <v>1978</v>
      </c>
      <c r="C1243" s="65" t="s">
        <v>741</v>
      </c>
    </row>
    <row r="1244" spans="1:3" hidden="1">
      <c r="A1244" s="65">
        <v>9002557</v>
      </c>
      <c r="B1244" s="65" t="s">
        <v>1979</v>
      </c>
      <c r="C1244" s="65" t="s">
        <v>741</v>
      </c>
    </row>
    <row r="1245" spans="1:3" hidden="1">
      <c r="A1245" s="65">
        <v>9002558</v>
      </c>
      <c r="B1245" s="65" t="s">
        <v>1980</v>
      </c>
      <c r="C1245" s="65" t="s">
        <v>741</v>
      </c>
    </row>
    <row r="1246" spans="1:3" hidden="1">
      <c r="A1246" s="65">
        <v>9002559</v>
      </c>
      <c r="B1246" s="65" t="s">
        <v>1981</v>
      </c>
      <c r="C1246" s="65" t="s">
        <v>786</v>
      </c>
    </row>
    <row r="1247" spans="1:3" hidden="1">
      <c r="A1247" s="65">
        <v>9002560</v>
      </c>
      <c r="B1247" s="65" t="s">
        <v>1982</v>
      </c>
      <c r="C1247" s="65" t="s">
        <v>786</v>
      </c>
    </row>
    <row r="1248" spans="1:3" hidden="1">
      <c r="A1248" s="65">
        <v>9002561</v>
      </c>
      <c r="B1248" s="65" t="s">
        <v>1983</v>
      </c>
      <c r="C1248" s="65" t="s">
        <v>852</v>
      </c>
    </row>
    <row r="1249" spans="1:3" hidden="1">
      <c r="A1249" s="65">
        <v>9002562</v>
      </c>
      <c r="B1249" s="65" t="s">
        <v>1984</v>
      </c>
      <c r="C1249" s="65" t="s">
        <v>807</v>
      </c>
    </row>
    <row r="1250" spans="1:3" hidden="1">
      <c r="A1250" s="65">
        <v>9002563</v>
      </c>
      <c r="B1250" s="65" t="s">
        <v>1985</v>
      </c>
      <c r="C1250" s="65" t="s">
        <v>677</v>
      </c>
    </row>
    <row r="1251" spans="1:3" hidden="1">
      <c r="A1251" s="65">
        <v>9002564</v>
      </c>
      <c r="B1251" s="65" t="s">
        <v>1986</v>
      </c>
      <c r="C1251" s="65" t="s">
        <v>664</v>
      </c>
    </row>
    <row r="1252" spans="1:3" hidden="1">
      <c r="A1252" s="65">
        <v>9002565</v>
      </c>
      <c r="B1252" s="65" t="s">
        <v>1987</v>
      </c>
      <c r="C1252" s="65" t="s">
        <v>664</v>
      </c>
    </row>
    <row r="1253" spans="1:3" hidden="1">
      <c r="A1253" s="65">
        <v>9002566</v>
      </c>
      <c r="B1253" s="65" t="s">
        <v>1988</v>
      </c>
      <c r="C1253" s="65" t="s">
        <v>664</v>
      </c>
    </row>
    <row r="1254" spans="1:3" hidden="1">
      <c r="A1254" s="65">
        <v>9002567</v>
      </c>
      <c r="B1254" s="65" t="s">
        <v>1989</v>
      </c>
      <c r="C1254" s="65" t="s">
        <v>807</v>
      </c>
    </row>
    <row r="1255" spans="1:3" hidden="1">
      <c r="A1255" s="65">
        <v>9002568</v>
      </c>
      <c r="B1255" s="65" t="s">
        <v>1990</v>
      </c>
      <c r="C1255" s="65" t="s">
        <v>664</v>
      </c>
    </row>
    <row r="1256" spans="1:3" hidden="1">
      <c r="A1256" s="65">
        <v>9002569</v>
      </c>
      <c r="B1256" s="65" t="s">
        <v>1991</v>
      </c>
      <c r="C1256" s="65" t="s">
        <v>805</v>
      </c>
    </row>
    <row r="1257" spans="1:3" hidden="1">
      <c r="A1257" s="65">
        <v>9002570</v>
      </c>
      <c r="B1257" s="65" t="s">
        <v>1992</v>
      </c>
      <c r="C1257" s="65" t="s">
        <v>664</v>
      </c>
    </row>
    <row r="1258" spans="1:3" hidden="1">
      <c r="A1258" s="65">
        <v>9002571</v>
      </c>
      <c r="B1258" s="65" t="s">
        <v>1993</v>
      </c>
      <c r="C1258" s="65" t="s">
        <v>664</v>
      </c>
    </row>
    <row r="1259" spans="1:3" hidden="1">
      <c r="A1259" s="65">
        <v>9002572</v>
      </c>
      <c r="B1259" s="65" t="s">
        <v>1994</v>
      </c>
      <c r="C1259" s="65" t="s">
        <v>664</v>
      </c>
    </row>
    <row r="1260" spans="1:3" hidden="1">
      <c r="A1260" s="65">
        <v>9002573</v>
      </c>
      <c r="B1260" s="65" t="s">
        <v>1995</v>
      </c>
      <c r="C1260" s="65" t="s">
        <v>793</v>
      </c>
    </row>
    <row r="1261" spans="1:3" hidden="1">
      <c r="A1261" s="65">
        <v>9002574</v>
      </c>
      <c r="B1261" s="65" t="s">
        <v>1996</v>
      </c>
      <c r="C1261" s="65" t="s">
        <v>805</v>
      </c>
    </row>
    <row r="1262" spans="1:3" hidden="1">
      <c r="A1262" s="65">
        <v>9002575</v>
      </c>
      <c r="B1262" s="65" t="s">
        <v>1997</v>
      </c>
      <c r="C1262" s="65" t="s">
        <v>793</v>
      </c>
    </row>
    <row r="1263" spans="1:3" hidden="1">
      <c r="A1263" s="65">
        <v>9002576</v>
      </c>
      <c r="B1263" s="65" t="s">
        <v>1998</v>
      </c>
      <c r="C1263" s="65" t="s">
        <v>786</v>
      </c>
    </row>
    <row r="1264" spans="1:3" hidden="1">
      <c r="A1264" s="65">
        <v>9002577</v>
      </c>
      <c r="B1264" s="65" t="s">
        <v>1999</v>
      </c>
      <c r="C1264" s="65" t="s">
        <v>664</v>
      </c>
    </row>
    <row r="1265" spans="1:3" hidden="1">
      <c r="A1265" s="65">
        <v>9002578</v>
      </c>
      <c r="B1265" s="65" t="s">
        <v>2000</v>
      </c>
      <c r="C1265" s="65" t="s">
        <v>809</v>
      </c>
    </row>
    <row r="1266" spans="1:3" hidden="1">
      <c r="A1266" s="65">
        <v>9002579</v>
      </c>
      <c r="B1266" s="65" t="s">
        <v>2001</v>
      </c>
      <c r="C1266" s="65" t="s">
        <v>805</v>
      </c>
    </row>
    <row r="1267" spans="1:3" hidden="1">
      <c r="A1267" s="65">
        <v>9002580</v>
      </c>
      <c r="B1267" s="65" t="s">
        <v>2002</v>
      </c>
      <c r="C1267" s="65" t="s">
        <v>786</v>
      </c>
    </row>
    <row r="1268" spans="1:3" hidden="1">
      <c r="A1268" s="65">
        <v>9002581</v>
      </c>
      <c r="B1268" s="65" t="s">
        <v>2003</v>
      </c>
      <c r="C1268" s="65" t="s">
        <v>786</v>
      </c>
    </row>
    <row r="1269" spans="1:3" hidden="1">
      <c r="A1269" s="65">
        <v>9002582</v>
      </c>
      <c r="B1269" s="65" t="s">
        <v>2004</v>
      </c>
      <c r="C1269" s="65" t="s">
        <v>805</v>
      </c>
    </row>
    <row r="1270" spans="1:3" hidden="1">
      <c r="A1270" s="65">
        <v>9002583</v>
      </c>
      <c r="B1270" s="65" t="s">
        <v>2005</v>
      </c>
      <c r="C1270" s="65" t="s">
        <v>805</v>
      </c>
    </row>
    <row r="1271" spans="1:3" hidden="1">
      <c r="A1271" s="65">
        <v>9002584</v>
      </c>
      <c r="B1271" s="65" t="s">
        <v>2006</v>
      </c>
      <c r="C1271" s="65" t="s">
        <v>805</v>
      </c>
    </row>
    <row r="1272" spans="1:3" hidden="1">
      <c r="A1272" s="65">
        <v>9002585</v>
      </c>
      <c r="B1272" s="65" t="s">
        <v>2007</v>
      </c>
      <c r="C1272" s="65" t="s">
        <v>786</v>
      </c>
    </row>
    <row r="1273" spans="1:3" hidden="1">
      <c r="A1273" s="65">
        <v>9002586</v>
      </c>
      <c r="B1273" s="65" t="s">
        <v>2008</v>
      </c>
      <c r="C1273" s="65" t="s">
        <v>786</v>
      </c>
    </row>
    <row r="1274" spans="1:3" hidden="1">
      <c r="A1274" s="65">
        <v>9002587</v>
      </c>
      <c r="B1274" s="65" t="s">
        <v>2009</v>
      </c>
      <c r="C1274" s="65" t="s">
        <v>805</v>
      </c>
    </row>
    <row r="1275" spans="1:3" hidden="1">
      <c r="A1275" s="65">
        <v>9002588</v>
      </c>
      <c r="B1275" s="65" t="s">
        <v>2010</v>
      </c>
      <c r="C1275" s="65" t="s">
        <v>786</v>
      </c>
    </row>
    <row r="1276" spans="1:3" hidden="1">
      <c r="A1276" s="65">
        <v>9002589</v>
      </c>
      <c r="B1276" s="65" t="s">
        <v>2011</v>
      </c>
      <c r="C1276" s="65" t="s">
        <v>793</v>
      </c>
    </row>
    <row r="1277" spans="1:3" hidden="1">
      <c r="A1277" s="65">
        <v>9002590</v>
      </c>
      <c r="B1277" s="65" t="s">
        <v>2012</v>
      </c>
      <c r="C1277" s="65" t="s">
        <v>805</v>
      </c>
    </row>
    <row r="1278" spans="1:3" hidden="1">
      <c r="A1278" s="65">
        <v>9002591</v>
      </c>
      <c r="B1278" s="65" t="s">
        <v>2013</v>
      </c>
      <c r="C1278" s="65" t="s">
        <v>805</v>
      </c>
    </row>
    <row r="1279" spans="1:3" hidden="1">
      <c r="A1279" s="65">
        <v>9002592</v>
      </c>
      <c r="B1279" s="65" t="s">
        <v>2014</v>
      </c>
      <c r="C1279" s="65" t="s">
        <v>664</v>
      </c>
    </row>
    <row r="1280" spans="1:3" hidden="1">
      <c r="A1280" s="65">
        <v>9002593</v>
      </c>
      <c r="B1280" s="65" t="s">
        <v>2015</v>
      </c>
      <c r="C1280" s="65" t="s">
        <v>738</v>
      </c>
    </row>
    <row r="1281" spans="1:3" hidden="1">
      <c r="A1281" s="65">
        <v>9002594</v>
      </c>
      <c r="B1281" s="65" t="s">
        <v>2016</v>
      </c>
      <c r="C1281" s="65" t="s">
        <v>805</v>
      </c>
    </row>
    <row r="1282" spans="1:3" hidden="1">
      <c r="A1282" s="65">
        <v>9002595</v>
      </c>
      <c r="B1282" s="65" t="s">
        <v>1845</v>
      </c>
      <c r="C1282" s="65" t="s">
        <v>805</v>
      </c>
    </row>
    <row r="1283" spans="1:3" hidden="1">
      <c r="A1283" s="65">
        <v>9002596</v>
      </c>
      <c r="B1283" s="65" t="s">
        <v>2017</v>
      </c>
      <c r="C1283" s="65" t="s">
        <v>738</v>
      </c>
    </row>
    <row r="1284" spans="1:3" hidden="1">
      <c r="A1284" s="65">
        <v>9002597</v>
      </c>
      <c r="B1284" s="65" t="s">
        <v>2018</v>
      </c>
      <c r="C1284" s="65" t="s">
        <v>793</v>
      </c>
    </row>
    <row r="1285" spans="1:3" hidden="1">
      <c r="A1285" s="65">
        <v>9002598</v>
      </c>
      <c r="B1285" s="65" t="s">
        <v>2019</v>
      </c>
      <c r="C1285" s="65" t="s">
        <v>738</v>
      </c>
    </row>
    <row r="1286" spans="1:3" hidden="1">
      <c r="A1286" s="65">
        <v>9002599</v>
      </c>
      <c r="B1286" s="65" t="s">
        <v>2020</v>
      </c>
      <c r="C1286" s="65" t="s">
        <v>805</v>
      </c>
    </row>
    <row r="1287" spans="1:3" hidden="1">
      <c r="A1287" s="65">
        <v>9002600</v>
      </c>
      <c r="B1287" s="65" t="s">
        <v>2021</v>
      </c>
      <c r="C1287" s="65" t="s">
        <v>732</v>
      </c>
    </row>
    <row r="1288" spans="1:3" hidden="1">
      <c r="A1288" s="65">
        <v>9002601</v>
      </c>
      <c r="B1288" s="65" t="s">
        <v>2022</v>
      </c>
      <c r="C1288" s="65" t="s">
        <v>738</v>
      </c>
    </row>
    <row r="1289" spans="1:3" hidden="1">
      <c r="A1289" s="65">
        <v>9002602</v>
      </c>
      <c r="B1289" s="65" t="s">
        <v>2023</v>
      </c>
      <c r="C1289" s="65" t="s">
        <v>786</v>
      </c>
    </row>
    <row r="1290" spans="1:3" hidden="1">
      <c r="A1290" s="65">
        <v>9002603</v>
      </c>
      <c r="B1290" s="65" t="s">
        <v>2024</v>
      </c>
      <c r="C1290" s="65" t="s">
        <v>805</v>
      </c>
    </row>
    <row r="1291" spans="1:3" hidden="1">
      <c r="A1291" s="65">
        <v>9002604</v>
      </c>
      <c r="B1291" s="65" t="s">
        <v>2025</v>
      </c>
      <c r="C1291" s="65" t="s">
        <v>664</v>
      </c>
    </row>
    <row r="1292" spans="1:3" hidden="1">
      <c r="A1292" s="65">
        <v>9002605</v>
      </c>
      <c r="B1292" s="65" t="s">
        <v>2026</v>
      </c>
      <c r="C1292" s="65" t="s">
        <v>738</v>
      </c>
    </row>
    <row r="1293" spans="1:3" hidden="1">
      <c r="A1293" s="65">
        <v>9002606</v>
      </c>
      <c r="B1293" s="65" t="s">
        <v>2027</v>
      </c>
      <c r="C1293" s="65" t="s">
        <v>738</v>
      </c>
    </row>
    <row r="1294" spans="1:3" hidden="1">
      <c r="A1294" s="65">
        <v>9002609</v>
      </c>
      <c r="B1294" s="65" t="s">
        <v>2028</v>
      </c>
      <c r="C1294" s="65" t="s">
        <v>741</v>
      </c>
    </row>
    <row r="1295" spans="1:3" hidden="1">
      <c r="A1295" s="65">
        <v>9002610</v>
      </c>
      <c r="B1295" s="65" t="s">
        <v>2029</v>
      </c>
      <c r="C1295" s="65" t="s">
        <v>775</v>
      </c>
    </row>
    <row r="1296" spans="1:3" hidden="1">
      <c r="A1296" s="65">
        <v>9002619</v>
      </c>
      <c r="B1296" s="65" t="s">
        <v>2030</v>
      </c>
      <c r="C1296" s="65" t="s">
        <v>807</v>
      </c>
    </row>
    <row r="1297" spans="1:3" hidden="1">
      <c r="A1297" s="65">
        <v>9002620</v>
      </c>
      <c r="B1297" s="65" t="s">
        <v>2031</v>
      </c>
      <c r="C1297" s="65" t="s">
        <v>807</v>
      </c>
    </row>
    <row r="1298" spans="1:3" hidden="1">
      <c r="A1298" s="65">
        <v>9002621</v>
      </c>
      <c r="B1298" s="65" t="s">
        <v>2032</v>
      </c>
      <c r="C1298" s="65" t="s">
        <v>775</v>
      </c>
    </row>
    <row r="1299" spans="1:3" hidden="1">
      <c r="A1299" s="65">
        <v>9002622</v>
      </c>
      <c r="B1299" s="65" t="s">
        <v>2033</v>
      </c>
      <c r="C1299" s="65" t="s">
        <v>793</v>
      </c>
    </row>
    <row r="1300" spans="1:3" hidden="1">
      <c r="A1300" s="65">
        <v>9002629</v>
      </c>
      <c r="B1300" s="65" t="s">
        <v>2034</v>
      </c>
      <c r="C1300" s="65" t="s">
        <v>738</v>
      </c>
    </row>
    <row r="1301" spans="1:3" hidden="1">
      <c r="A1301" s="65">
        <v>9002630</v>
      </c>
      <c r="B1301" s="65" t="s">
        <v>2035</v>
      </c>
      <c r="C1301" s="65" t="s">
        <v>805</v>
      </c>
    </row>
    <row r="1302" spans="1:3" hidden="1">
      <c r="A1302" s="65">
        <v>9002631</v>
      </c>
      <c r="B1302" s="65" t="s">
        <v>2036</v>
      </c>
      <c r="C1302" s="65" t="s">
        <v>805</v>
      </c>
    </row>
    <row r="1303" spans="1:3" hidden="1">
      <c r="A1303" s="65">
        <v>9002632</v>
      </c>
      <c r="B1303" s="65" t="s">
        <v>2037</v>
      </c>
      <c r="C1303" s="65" t="s">
        <v>805</v>
      </c>
    </row>
    <row r="1304" spans="1:3" hidden="1">
      <c r="A1304" s="65">
        <v>9002633</v>
      </c>
      <c r="B1304" s="65" t="s">
        <v>2038</v>
      </c>
      <c r="C1304" s="65" t="s">
        <v>805</v>
      </c>
    </row>
    <row r="1305" spans="1:3" hidden="1">
      <c r="A1305" s="65">
        <v>9002634</v>
      </c>
      <c r="B1305" s="65" t="s">
        <v>2039</v>
      </c>
      <c r="C1305" s="65" t="s">
        <v>805</v>
      </c>
    </row>
    <row r="1306" spans="1:3" hidden="1">
      <c r="A1306" s="65">
        <v>9002635</v>
      </c>
      <c r="B1306" s="65" t="s">
        <v>2040</v>
      </c>
      <c r="C1306" s="65" t="s">
        <v>805</v>
      </c>
    </row>
    <row r="1307" spans="1:3" hidden="1">
      <c r="A1307" s="65">
        <v>9002636</v>
      </c>
      <c r="B1307" s="65" t="s">
        <v>2041</v>
      </c>
      <c r="C1307" s="65" t="s">
        <v>805</v>
      </c>
    </row>
    <row r="1308" spans="1:3" hidden="1">
      <c r="A1308" s="65">
        <v>9002637</v>
      </c>
      <c r="B1308" s="65" t="s">
        <v>2042</v>
      </c>
      <c r="C1308" s="65" t="s">
        <v>805</v>
      </c>
    </row>
    <row r="1309" spans="1:3" hidden="1">
      <c r="A1309" s="65">
        <v>9002638</v>
      </c>
      <c r="B1309" s="65" t="s">
        <v>2043</v>
      </c>
      <c r="C1309" s="65" t="s">
        <v>805</v>
      </c>
    </row>
    <row r="1310" spans="1:3" hidden="1">
      <c r="A1310" s="65">
        <v>9002639</v>
      </c>
      <c r="B1310" s="65" t="s">
        <v>2044</v>
      </c>
      <c r="C1310" s="65" t="s">
        <v>738</v>
      </c>
    </row>
    <row r="1311" spans="1:3" hidden="1">
      <c r="A1311" s="65">
        <v>9002640</v>
      </c>
      <c r="B1311" s="65" t="s">
        <v>2045</v>
      </c>
      <c r="C1311" s="65" t="s">
        <v>664</v>
      </c>
    </row>
    <row r="1312" spans="1:3" hidden="1">
      <c r="A1312" s="65">
        <v>9002641</v>
      </c>
      <c r="B1312" s="65" t="s">
        <v>2046</v>
      </c>
      <c r="C1312" s="65" t="s">
        <v>664</v>
      </c>
    </row>
    <row r="1313" spans="1:3" hidden="1">
      <c r="A1313" s="65">
        <v>9002642</v>
      </c>
      <c r="B1313" s="65" t="s">
        <v>2047</v>
      </c>
      <c r="C1313" s="65" t="s">
        <v>664</v>
      </c>
    </row>
    <row r="1314" spans="1:3" hidden="1">
      <c r="A1314" s="65">
        <v>9002643</v>
      </c>
      <c r="B1314" s="65" t="s">
        <v>2048</v>
      </c>
      <c r="C1314" s="65" t="s">
        <v>664</v>
      </c>
    </row>
    <row r="1315" spans="1:3" hidden="1">
      <c r="A1315" s="65">
        <v>9002644</v>
      </c>
      <c r="B1315" s="65" t="s">
        <v>2049</v>
      </c>
      <c r="C1315" s="65" t="s">
        <v>664</v>
      </c>
    </row>
    <row r="1316" spans="1:3" hidden="1">
      <c r="A1316" s="65">
        <v>9002645</v>
      </c>
      <c r="B1316" s="65" t="s">
        <v>2050</v>
      </c>
      <c r="C1316" s="65" t="s">
        <v>664</v>
      </c>
    </row>
    <row r="1317" spans="1:3" hidden="1">
      <c r="A1317" s="65">
        <v>9002646</v>
      </c>
      <c r="B1317" s="65" t="s">
        <v>2051</v>
      </c>
      <c r="C1317" s="65" t="s">
        <v>683</v>
      </c>
    </row>
    <row r="1318" spans="1:3" hidden="1">
      <c r="A1318" s="65">
        <v>9002647</v>
      </c>
      <c r="B1318" s="65" t="s">
        <v>2052</v>
      </c>
      <c r="C1318" s="65" t="s">
        <v>683</v>
      </c>
    </row>
    <row r="1319" spans="1:3" hidden="1">
      <c r="A1319" s="65">
        <v>9002648</v>
      </c>
      <c r="B1319" s="65" t="s">
        <v>2053</v>
      </c>
      <c r="C1319" s="65" t="s">
        <v>664</v>
      </c>
    </row>
    <row r="1320" spans="1:3" hidden="1">
      <c r="A1320" s="65">
        <v>9002649</v>
      </c>
      <c r="B1320" s="65" t="s">
        <v>2054</v>
      </c>
      <c r="C1320" s="65" t="s">
        <v>664</v>
      </c>
    </row>
    <row r="1321" spans="1:3" hidden="1">
      <c r="A1321" s="65">
        <v>9002650</v>
      </c>
      <c r="B1321" s="65" t="s">
        <v>2055</v>
      </c>
      <c r="C1321" s="65" t="s">
        <v>664</v>
      </c>
    </row>
    <row r="1322" spans="1:3" hidden="1">
      <c r="A1322" s="65">
        <v>9002651</v>
      </c>
      <c r="B1322" s="65" t="s">
        <v>2056</v>
      </c>
      <c r="C1322" s="65" t="s">
        <v>738</v>
      </c>
    </row>
    <row r="1323" spans="1:3" hidden="1">
      <c r="A1323" s="65">
        <v>9002652</v>
      </c>
      <c r="B1323" s="65" t="s">
        <v>2057</v>
      </c>
      <c r="C1323" s="65" t="s">
        <v>738</v>
      </c>
    </row>
    <row r="1324" spans="1:3" hidden="1">
      <c r="A1324" s="65">
        <v>9002653</v>
      </c>
      <c r="B1324" s="65" t="s">
        <v>2058</v>
      </c>
      <c r="C1324" s="65" t="s">
        <v>751</v>
      </c>
    </row>
    <row r="1325" spans="1:3" hidden="1">
      <c r="A1325" s="65">
        <v>9002654</v>
      </c>
      <c r="B1325" s="65" t="s">
        <v>2059</v>
      </c>
      <c r="C1325" s="65" t="s">
        <v>664</v>
      </c>
    </row>
    <row r="1326" spans="1:3" hidden="1">
      <c r="A1326" s="65">
        <v>9002655</v>
      </c>
      <c r="B1326" s="65" t="s">
        <v>2060</v>
      </c>
      <c r="C1326" s="65" t="s">
        <v>805</v>
      </c>
    </row>
    <row r="1327" spans="1:3" hidden="1">
      <c r="A1327" s="65">
        <v>9002656</v>
      </c>
      <c r="B1327" s="65" t="s">
        <v>2061</v>
      </c>
      <c r="C1327" s="65" t="s">
        <v>805</v>
      </c>
    </row>
    <row r="1328" spans="1:3" hidden="1">
      <c r="A1328" s="65">
        <v>9002657</v>
      </c>
      <c r="B1328" s="65" t="s">
        <v>2062</v>
      </c>
      <c r="C1328" s="65" t="s">
        <v>786</v>
      </c>
    </row>
    <row r="1329" spans="1:3" hidden="1">
      <c r="A1329" s="65">
        <v>9002659</v>
      </c>
      <c r="B1329" s="65" t="s">
        <v>2063</v>
      </c>
      <c r="C1329" s="65" t="s">
        <v>805</v>
      </c>
    </row>
    <row r="1330" spans="1:3" hidden="1">
      <c r="A1330" s="65">
        <v>9002660</v>
      </c>
      <c r="B1330" s="65" t="s">
        <v>2064</v>
      </c>
      <c r="C1330" s="65" t="s">
        <v>805</v>
      </c>
    </row>
    <row r="1331" spans="1:3" hidden="1">
      <c r="A1331" s="65">
        <v>9002661</v>
      </c>
      <c r="B1331" s="65" t="s">
        <v>2065</v>
      </c>
      <c r="C1331" s="65" t="s">
        <v>805</v>
      </c>
    </row>
    <row r="1332" spans="1:3" hidden="1">
      <c r="A1332" s="65">
        <v>9002662</v>
      </c>
      <c r="B1332" s="65" t="s">
        <v>2066</v>
      </c>
      <c r="C1332" s="65" t="s">
        <v>805</v>
      </c>
    </row>
    <row r="1333" spans="1:3" hidden="1">
      <c r="A1333" s="65">
        <v>9002663</v>
      </c>
      <c r="B1333" s="65" t="s">
        <v>2067</v>
      </c>
      <c r="C1333" s="65" t="s">
        <v>805</v>
      </c>
    </row>
    <row r="1334" spans="1:3" hidden="1">
      <c r="A1334" s="65">
        <v>9002664</v>
      </c>
      <c r="B1334" s="65" t="s">
        <v>2068</v>
      </c>
      <c r="C1334" s="65" t="s">
        <v>793</v>
      </c>
    </row>
    <row r="1335" spans="1:3" hidden="1">
      <c r="A1335" s="65">
        <v>9002665</v>
      </c>
      <c r="B1335" s="65" t="s">
        <v>2069</v>
      </c>
      <c r="C1335" s="65" t="s">
        <v>805</v>
      </c>
    </row>
    <row r="1336" spans="1:3" hidden="1">
      <c r="A1336" s="65">
        <v>9002666</v>
      </c>
      <c r="B1336" s="65" t="s">
        <v>2070</v>
      </c>
      <c r="C1336" s="65" t="s">
        <v>805</v>
      </c>
    </row>
    <row r="1337" spans="1:3" hidden="1">
      <c r="A1337" s="65">
        <v>9002667</v>
      </c>
      <c r="B1337" s="65" t="s">
        <v>2071</v>
      </c>
      <c r="C1337" s="65" t="s">
        <v>805</v>
      </c>
    </row>
    <row r="1338" spans="1:3" hidden="1">
      <c r="A1338" s="65">
        <v>9002668</v>
      </c>
      <c r="B1338" s="65" t="s">
        <v>2072</v>
      </c>
      <c r="C1338" s="65" t="s">
        <v>805</v>
      </c>
    </row>
    <row r="1339" spans="1:3" hidden="1">
      <c r="A1339" s="65">
        <v>9002669</v>
      </c>
      <c r="B1339" s="65" t="s">
        <v>2073</v>
      </c>
      <c r="C1339" s="65" t="s">
        <v>738</v>
      </c>
    </row>
    <row r="1340" spans="1:3" hidden="1">
      <c r="A1340" s="65">
        <v>9002670</v>
      </c>
      <c r="B1340" s="65" t="s">
        <v>2074</v>
      </c>
      <c r="C1340" s="65" t="s">
        <v>738</v>
      </c>
    </row>
    <row r="1341" spans="1:3" hidden="1">
      <c r="A1341" s="65">
        <v>9002671</v>
      </c>
      <c r="B1341" s="65" t="s">
        <v>2075</v>
      </c>
      <c r="C1341" s="65" t="s">
        <v>664</v>
      </c>
    </row>
    <row r="1342" spans="1:3" hidden="1">
      <c r="A1342" s="65">
        <v>9002672</v>
      </c>
      <c r="B1342" s="65" t="s">
        <v>2076</v>
      </c>
      <c r="C1342" s="65" t="s">
        <v>807</v>
      </c>
    </row>
    <row r="1343" spans="1:3" hidden="1">
      <c r="A1343" s="65">
        <v>9002673</v>
      </c>
      <c r="B1343" s="65" t="s">
        <v>2077</v>
      </c>
      <c r="C1343" s="65" t="s">
        <v>807</v>
      </c>
    </row>
    <row r="1344" spans="1:3" hidden="1">
      <c r="A1344" s="65">
        <v>9002679</v>
      </c>
      <c r="B1344" s="65" t="s">
        <v>2078</v>
      </c>
      <c r="C1344" s="65" t="s">
        <v>738</v>
      </c>
    </row>
    <row r="1345" spans="1:3" hidden="1">
      <c r="A1345" s="65">
        <v>9002680</v>
      </c>
      <c r="B1345" s="65" t="s">
        <v>2079</v>
      </c>
      <c r="C1345" s="65" t="s">
        <v>738</v>
      </c>
    </row>
    <row r="1346" spans="1:3" hidden="1">
      <c r="A1346" s="65">
        <v>9002681</v>
      </c>
      <c r="B1346" s="65" t="s">
        <v>2080</v>
      </c>
      <c r="C1346" s="65" t="s">
        <v>805</v>
      </c>
    </row>
    <row r="1347" spans="1:3" hidden="1">
      <c r="A1347" s="65">
        <v>9002682</v>
      </c>
      <c r="B1347" s="65" t="s">
        <v>2081</v>
      </c>
      <c r="C1347" s="65" t="s">
        <v>850</v>
      </c>
    </row>
    <row r="1348" spans="1:3" hidden="1">
      <c r="A1348" s="65">
        <v>9002689</v>
      </c>
      <c r="B1348" s="65" t="s">
        <v>2082</v>
      </c>
      <c r="C1348" s="65" t="s">
        <v>738</v>
      </c>
    </row>
    <row r="1349" spans="1:3" hidden="1">
      <c r="A1349" s="65">
        <v>9002699</v>
      </c>
      <c r="B1349" s="65" t="s">
        <v>2083</v>
      </c>
      <c r="C1349" s="65" t="s">
        <v>738</v>
      </c>
    </row>
    <row r="1350" spans="1:3" hidden="1">
      <c r="A1350" s="65">
        <v>9002700</v>
      </c>
      <c r="B1350" s="65" t="s">
        <v>2084</v>
      </c>
      <c r="C1350" s="65" t="s">
        <v>793</v>
      </c>
    </row>
    <row r="1351" spans="1:3" hidden="1">
      <c r="A1351" s="65">
        <v>9002701</v>
      </c>
      <c r="B1351" s="65" t="s">
        <v>2085</v>
      </c>
      <c r="C1351" s="65" t="s">
        <v>805</v>
      </c>
    </row>
    <row r="1352" spans="1:3" hidden="1">
      <c r="A1352" s="65">
        <v>9002702</v>
      </c>
      <c r="B1352" s="65" t="s">
        <v>2086</v>
      </c>
      <c r="C1352" s="65" t="s">
        <v>793</v>
      </c>
    </row>
    <row r="1353" spans="1:3" hidden="1">
      <c r="A1353" s="65">
        <v>9002703</v>
      </c>
      <c r="B1353" s="65" t="s">
        <v>2087</v>
      </c>
      <c r="C1353" s="65" t="s">
        <v>805</v>
      </c>
    </row>
    <row r="1354" spans="1:3" hidden="1">
      <c r="A1354" s="65">
        <v>9002704</v>
      </c>
      <c r="B1354" s="65" t="s">
        <v>2088</v>
      </c>
      <c r="C1354" s="65" t="s">
        <v>805</v>
      </c>
    </row>
    <row r="1355" spans="1:3" hidden="1">
      <c r="A1355" s="65">
        <v>9002705</v>
      </c>
      <c r="B1355" s="65" t="s">
        <v>2089</v>
      </c>
      <c r="C1355" s="65" t="s">
        <v>738</v>
      </c>
    </row>
    <row r="1356" spans="1:3" hidden="1">
      <c r="A1356" s="65">
        <v>9002706</v>
      </c>
      <c r="B1356" s="65" t="s">
        <v>2090</v>
      </c>
      <c r="C1356" s="65" t="s">
        <v>738</v>
      </c>
    </row>
    <row r="1357" spans="1:3" hidden="1">
      <c r="A1357" s="65">
        <v>9002707</v>
      </c>
      <c r="B1357" s="65" t="s">
        <v>2091</v>
      </c>
      <c r="C1357" s="65" t="s">
        <v>738</v>
      </c>
    </row>
    <row r="1358" spans="1:3" hidden="1">
      <c r="A1358" s="65">
        <v>9002708</v>
      </c>
      <c r="B1358" s="65" t="s">
        <v>2092</v>
      </c>
      <c r="C1358" s="65" t="s">
        <v>1181</v>
      </c>
    </row>
    <row r="1359" spans="1:3" hidden="1">
      <c r="A1359" s="65">
        <v>9002709</v>
      </c>
      <c r="B1359" s="65" t="s">
        <v>2093</v>
      </c>
      <c r="C1359" s="65" t="s">
        <v>793</v>
      </c>
    </row>
    <row r="1360" spans="1:3" hidden="1">
      <c r="A1360" s="65">
        <v>9002710</v>
      </c>
      <c r="B1360" s="65" t="s">
        <v>2094</v>
      </c>
      <c r="C1360" s="65" t="s">
        <v>805</v>
      </c>
    </row>
    <row r="1361" spans="1:3" hidden="1">
      <c r="A1361" s="65">
        <v>9002711</v>
      </c>
      <c r="B1361" s="65" t="s">
        <v>2095</v>
      </c>
      <c r="C1361" s="65" t="s">
        <v>738</v>
      </c>
    </row>
    <row r="1362" spans="1:3" hidden="1">
      <c r="A1362" s="65">
        <v>9002712</v>
      </c>
      <c r="B1362" s="65" t="s">
        <v>2096</v>
      </c>
      <c r="C1362" s="65" t="s">
        <v>738</v>
      </c>
    </row>
    <row r="1363" spans="1:3" hidden="1">
      <c r="A1363" s="65">
        <v>9002713</v>
      </c>
      <c r="B1363" s="65" t="s">
        <v>2097</v>
      </c>
      <c r="C1363" s="65" t="s">
        <v>738</v>
      </c>
    </row>
    <row r="1364" spans="1:3" hidden="1">
      <c r="A1364" s="65">
        <v>9002714</v>
      </c>
      <c r="B1364" s="65" t="s">
        <v>2098</v>
      </c>
      <c r="C1364" s="65" t="s">
        <v>738</v>
      </c>
    </row>
    <row r="1365" spans="1:3" hidden="1">
      <c r="A1365" s="65">
        <v>9002715</v>
      </c>
      <c r="B1365" s="65" t="s">
        <v>2099</v>
      </c>
      <c r="C1365" s="65" t="s">
        <v>686</v>
      </c>
    </row>
    <row r="1366" spans="1:3" hidden="1">
      <c r="A1366" s="65">
        <v>9002716</v>
      </c>
      <c r="B1366" s="65" t="s">
        <v>2100</v>
      </c>
      <c r="C1366" s="65" t="s">
        <v>793</v>
      </c>
    </row>
    <row r="1367" spans="1:3" hidden="1">
      <c r="A1367" s="65">
        <v>9002719</v>
      </c>
      <c r="B1367" s="65" t="s">
        <v>2101</v>
      </c>
      <c r="C1367" s="65" t="s">
        <v>793</v>
      </c>
    </row>
    <row r="1368" spans="1:3" hidden="1">
      <c r="A1368" s="65">
        <v>9002720</v>
      </c>
      <c r="B1368" s="65" t="s">
        <v>2102</v>
      </c>
      <c r="C1368" s="65" t="s">
        <v>805</v>
      </c>
    </row>
    <row r="1369" spans="1:3" hidden="1">
      <c r="A1369" s="65">
        <v>9002721</v>
      </c>
      <c r="B1369" s="65" t="s">
        <v>2103</v>
      </c>
      <c r="C1369" s="65" t="s">
        <v>805</v>
      </c>
    </row>
    <row r="1370" spans="1:3" hidden="1">
      <c r="A1370" s="65">
        <v>9002722</v>
      </c>
      <c r="B1370" s="65" t="s">
        <v>2104</v>
      </c>
      <c r="C1370" s="65" t="s">
        <v>805</v>
      </c>
    </row>
    <row r="1371" spans="1:3" hidden="1">
      <c r="A1371" s="65">
        <v>9002723</v>
      </c>
      <c r="B1371" s="65" t="s">
        <v>2105</v>
      </c>
      <c r="C1371" s="65" t="s">
        <v>805</v>
      </c>
    </row>
    <row r="1372" spans="1:3" hidden="1">
      <c r="A1372" s="65">
        <v>9002724</v>
      </c>
      <c r="B1372" s="65" t="s">
        <v>2106</v>
      </c>
      <c r="C1372" s="65" t="s">
        <v>807</v>
      </c>
    </row>
    <row r="1373" spans="1:3" hidden="1">
      <c r="A1373" s="65">
        <v>9002725</v>
      </c>
      <c r="B1373" s="65" t="s">
        <v>2107</v>
      </c>
      <c r="C1373" s="65" t="s">
        <v>683</v>
      </c>
    </row>
    <row r="1374" spans="1:3" hidden="1">
      <c r="A1374" s="65">
        <v>9002726</v>
      </c>
      <c r="B1374" s="65" t="s">
        <v>2108</v>
      </c>
      <c r="C1374" s="65" t="s">
        <v>683</v>
      </c>
    </row>
    <row r="1375" spans="1:3" hidden="1">
      <c r="A1375" s="65">
        <v>9002727</v>
      </c>
      <c r="B1375" s="65" t="s">
        <v>2109</v>
      </c>
      <c r="C1375" s="65" t="s">
        <v>683</v>
      </c>
    </row>
    <row r="1376" spans="1:3" hidden="1">
      <c r="A1376" s="65">
        <v>9002728</v>
      </c>
      <c r="B1376" s="65" t="s">
        <v>2110</v>
      </c>
      <c r="C1376" s="65" t="s">
        <v>683</v>
      </c>
    </row>
    <row r="1377" spans="1:3" hidden="1">
      <c r="A1377" s="65">
        <v>9002729</v>
      </c>
      <c r="B1377" s="65" t="s">
        <v>2111</v>
      </c>
      <c r="C1377" s="65" t="s">
        <v>805</v>
      </c>
    </row>
    <row r="1378" spans="1:3" hidden="1">
      <c r="A1378" s="65">
        <v>9002730</v>
      </c>
      <c r="B1378" s="65" t="s">
        <v>2112</v>
      </c>
      <c r="C1378" s="65" t="s">
        <v>805</v>
      </c>
    </row>
    <row r="1379" spans="1:3" hidden="1">
      <c r="A1379" s="65">
        <v>9002731</v>
      </c>
      <c r="B1379" s="65" t="s">
        <v>2113</v>
      </c>
      <c r="C1379" s="65" t="s">
        <v>805</v>
      </c>
    </row>
    <row r="1380" spans="1:3" hidden="1">
      <c r="A1380" s="65">
        <v>9002732</v>
      </c>
      <c r="B1380" s="65" t="s">
        <v>2114</v>
      </c>
      <c r="C1380" s="65" t="s">
        <v>805</v>
      </c>
    </row>
    <row r="1381" spans="1:3" hidden="1">
      <c r="A1381" s="65">
        <v>9002733</v>
      </c>
      <c r="B1381" s="65" t="s">
        <v>2115</v>
      </c>
      <c r="C1381" s="65" t="s">
        <v>805</v>
      </c>
    </row>
    <row r="1382" spans="1:3" hidden="1">
      <c r="A1382" s="65">
        <v>9002734</v>
      </c>
      <c r="B1382" s="65" t="s">
        <v>2116</v>
      </c>
      <c r="C1382" s="65" t="s">
        <v>805</v>
      </c>
    </row>
    <row r="1383" spans="1:3" hidden="1">
      <c r="A1383" s="65">
        <v>9002735</v>
      </c>
      <c r="B1383" s="65" t="s">
        <v>2117</v>
      </c>
      <c r="C1383" s="65" t="s">
        <v>805</v>
      </c>
    </row>
    <row r="1384" spans="1:3" hidden="1">
      <c r="A1384" s="65">
        <v>9002736</v>
      </c>
      <c r="B1384" s="65" t="s">
        <v>2118</v>
      </c>
      <c r="C1384" s="65" t="s">
        <v>805</v>
      </c>
    </row>
    <row r="1385" spans="1:3" hidden="1">
      <c r="A1385" s="65">
        <v>9002737</v>
      </c>
      <c r="B1385" s="65" t="s">
        <v>2119</v>
      </c>
      <c r="C1385" s="65" t="s">
        <v>805</v>
      </c>
    </row>
    <row r="1386" spans="1:3" hidden="1">
      <c r="A1386" s="65">
        <v>9002738</v>
      </c>
      <c r="B1386" s="65" t="s">
        <v>2120</v>
      </c>
      <c r="C1386" s="65" t="s">
        <v>805</v>
      </c>
    </row>
    <row r="1387" spans="1:3" hidden="1">
      <c r="A1387" s="65">
        <v>9002739</v>
      </c>
      <c r="B1387" s="65" t="s">
        <v>2121</v>
      </c>
      <c r="C1387" s="65" t="s">
        <v>805</v>
      </c>
    </row>
    <row r="1388" spans="1:3" hidden="1">
      <c r="A1388" s="65">
        <v>9002740</v>
      </c>
      <c r="B1388" s="65" t="s">
        <v>2122</v>
      </c>
      <c r="C1388" s="65" t="s">
        <v>805</v>
      </c>
    </row>
    <row r="1389" spans="1:3" hidden="1">
      <c r="A1389" s="65">
        <v>9002741</v>
      </c>
      <c r="B1389" s="65" t="s">
        <v>2123</v>
      </c>
      <c r="C1389" s="65" t="s">
        <v>805</v>
      </c>
    </row>
    <row r="1390" spans="1:3" hidden="1">
      <c r="A1390" s="65">
        <v>9002742</v>
      </c>
      <c r="B1390" s="65" t="s">
        <v>2124</v>
      </c>
      <c r="C1390" s="65" t="s">
        <v>805</v>
      </c>
    </row>
    <row r="1391" spans="1:3" hidden="1">
      <c r="A1391" s="65">
        <v>9002749</v>
      </c>
      <c r="B1391" s="65" t="s">
        <v>2125</v>
      </c>
      <c r="C1391" s="65" t="s">
        <v>686</v>
      </c>
    </row>
    <row r="1392" spans="1:3" hidden="1">
      <c r="A1392" s="65">
        <v>9002750</v>
      </c>
      <c r="B1392" s="65" t="s">
        <v>2126</v>
      </c>
      <c r="C1392" s="65" t="s">
        <v>805</v>
      </c>
    </row>
    <row r="1393" spans="1:3" hidden="1">
      <c r="A1393" s="65">
        <v>9002751</v>
      </c>
      <c r="B1393" s="65" t="s">
        <v>2127</v>
      </c>
      <c r="C1393" s="65" t="s">
        <v>793</v>
      </c>
    </row>
    <row r="1394" spans="1:3" hidden="1">
      <c r="A1394" s="65">
        <v>9002752</v>
      </c>
      <c r="B1394" s="65" t="s">
        <v>2128</v>
      </c>
      <c r="C1394" s="65" t="s">
        <v>805</v>
      </c>
    </row>
    <row r="1395" spans="1:3" hidden="1">
      <c r="A1395" s="65">
        <v>9002753</v>
      </c>
      <c r="B1395" s="65" t="s">
        <v>2129</v>
      </c>
      <c r="C1395" s="65" t="s">
        <v>805</v>
      </c>
    </row>
    <row r="1396" spans="1:3" hidden="1">
      <c r="A1396" s="65">
        <v>9002754</v>
      </c>
      <c r="B1396" s="65" t="s">
        <v>2130</v>
      </c>
      <c r="C1396" s="65" t="s">
        <v>805</v>
      </c>
    </row>
    <row r="1397" spans="1:3" hidden="1">
      <c r="A1397" s="65">
        <v>9002755</v>
      </c>
      <c r="B1397" s="65" t="s">
        <v>2131</v>
      </c>
      <c r="C1397" s="65" t="s">
        <v>805</v>
      </c>
    </row>
    <row r="1398" spans="1:3" hidden="1">
      <c r="A1398" s="65">
        <v>9002756</v>
      </c>
      <c r="B1398" s="65" t="s">
        <v>2132</v>
      </c>
      <c r="C1398" s="65" t="s">
        <v>805</v>
      </c>
    </row>
    <row r="1399" spans="1:3" hidden="1">
      <c r="A1399" s="65">
        <v>9002757</v>
      </c>
      <c r="B1399" s="65" t="s">
        <v>2133</v>
      </c>
      <c r="C1399" s="65" t="s">
        <v>793</v>
      </c>
    </row>
    <row r="1400" spans="1:3" hidden="1">
      <c r="A1400" s="65">
        <v>9002758</v>
      </c>
      <c r="B1400" s="65" t="s">
        <v>2134</v>
      </c>
      <c r="C1400" s="65" t="s">
        <v>793</v>
      </c>
    </row>
    <row r="1401" spans="1:3" hidden="1">
      <c r="A1401" s="65">
        <v>9002759</v>
      </c>
      <c r="B1401" s="65" t="s">
        <v>2135</v>
      </c>
      <c r="C1401" s="65" t="s">
        <v>805</v>
      </c>
    </row>
    <row r="1402" spans="1:3" hidden="1">
      <c r="A1402" s="65">
        <v>9002760</v>
      </c>
      <c r="B1402" s="65" t="s">
        <v>2136</v>
      </c>
      <c r="C1402" s="65" t="s">
        <v>805</v>
      </c>
    </row>
    <row r="1403" spans="1:3" hidden="1">
      <c r="A1403" s="65">
        <v>9002761</v>
      </c>
      <c r="B1403" s="65" t="s">
        <v>2137</v>
      </c>
      <c r="C1403" s="65" t="s">
        <v>805</v>
      </c>
    </row>
    <row r="1404" spans="1:3" hidden="1">
      <c r="A1404" s="65">
        <v>9002762</v>
      </c>
      <c r="B1404" s="65" t="s">
        <v>2138</v>
      </c>
      <c r="C1404" s="65" t="s">
        <v>805</v>
      </c>
    </row>
    <row r="1405" spans="1:3" hidden="1">
      <c r="A1405" s="65">
        <v>9002763</v>
      </c>
      <c r="B1405" s="65" t="s">
        <v>2139</v>
      </c>
      <c r="C1405" s="65" t="s">
        <v>805</v>
      </c>
    </row>
    <row r="1406" spans="1:3" hidden="1">
      <c r="A1406" s="65">
        <v>9002764</v>
      </c>
      <c r="B1406" s="65" t="s">
        <v>2140</v>
      </c>
      <c r="C1406" s="65" t="s">
        <v>805</v>
      </c>
    </row>
    <row r="1407" spans="1:3" hidden="1">
      <c r="A1407" s="65">
        <v>9002765</v>
      </c>
      <c r="B1407" s="65" t="s">
        <v>2141</v>
      </c>
      <c r="C1407" s="65" t="s">
        <v>805</v>
      </c>
    </row>
    <row r="1408" spans="1:3" hidden="1">
      <c r="A1408" s="65">
        <v>9002766</v>
      </c>
      <c r="B1408" s="65" t="s">
        <v>2142</v>
      </c>
      <c r="C1408" s="65" t="s">
        <v>805</v>
      </c>
    </row>
    <row r="1409" spans="1:3" hidden="1">
      <c r="A1409" s="65">
        <v>9002767</v>
      </c>
      <c r="B1409" s="65" t="s">
        <v>2143</v>
      </c>
      <c r="C1409" s="65" t="s">
        <v>805</v>
      </c>
    </row>
    <row r="1410" spans="1:3" hidden="1">
      <c r="A1410" s="65">
        <v>9002768</v>
      </c>
      <c r="B1410" s="65" t="s">
        <v>2144</v>
      </c>
      <c r="C1410" s="65" t="s">
        <v>805</v>
      </c>
    </row>
    <row r="1411" spans="1:3" hidden="1">
      <c r="A1411" s="65">
        <v>9002769</v>
      </c>
      <c r="B1411" s="65" t="s">
        <v>2145</v>
      </c>
      <c r="C1411" s="65" t="s">
        <v>805</v>
      </c>
    </row>
    <row r="1412" spans="1:3" hidden="1">
      <c r="A1412" s="65">
        <v>9002770</v>
      </c>
      <c r="B1412" s="65" t="s">
        <v>2146</v>
      </c>
      <c r="C1412" s="65" t="s">
        <v>793</v>
      </c>
    </row>
    <row r="1413" spans="1:3" hidden="1">
      <c r="A1413" s="65">
        <v>9002771</v>
      </c>
      <c r="B1413" s="65" t="s">
        <v>2147</v>
      </c>
      <c r="C1413" s="65" t="s">
        <v>805</v>
      </c>
    </row>
    <row r="1414" spans="1:3" hidden="1">
      <c r="A1414" s="65">
        <v>9002772</v>
      </c>
      <c r="B1414" s="65" t="s">
        <v>2148</v>
      </c>
      <c r="C1414" s="65" t="s">
        <v>805</v>
      </c>
    </row>
    <row r="1415" spans="1:3" hidden="1">
      <c r="A1415" s="65">
        <v>9002773</v>
      </c>
      <c r="B1415" s="65" t="s">
        <v>1492</v>
      </c>
      <c r="C1415" s="65" t="s">
        <v>805</v>
      </c>
    </row>
    <row r="1416" spans="1:3" hidden="1">
      <c r="A1416" s="65">
        <v>9002774</v>
      </c>
      <c r="B1416" s="65" t="s">
        <v>2149</v>
      </c>
      <c r="C1416" s="65" t="s">
        <v>664</v>
      </c>
    </row>
    <row r="1417" spans="1:3" hidden="1">
      <c r="A1417" s="65">
        <v>9002775</v>
      </c>
      <c r="B1417" s="65" t="s">
        <v>2150</v>
      </c>
      <c r="C1417" s="65" t="s">
        <v>664</v>
      </c>
    </row>
    <row r="1418" spans="1:3" hidden="1">
      <c r="A1418" s="65">
        <v>9002776</v>
      </c>
      <c r="B1418" s="65" t="s">
        <v>1537</v>
      </c>
      <c r="C1418" s="65" t="s">
        <v>741</v>
      </c>
    </row>
    <row r="1419" spans="1:3" hidden="1">
      <c r="A1419" s="65">
        <v>9002777</v>
      </c>
      <c r="B1419" s="65" t="s">
        <v>2151</v>
      </c>
      <c r="C1419" s="65" t="s">
        <v>786</v>
      </c>
    </row>
    <row r="1420" spans="1:3" hidden="1">
      <c r="A1420" s="65">
        <v>9002778</v>
      </c>
      <c r="B1420" s="65" t="s">
        <v>1332</v>
      </c>
      <c r="C1420" s="65" t="s">
        <v>786</v>
      </c>
    </row>
    <row r="1421" spans="1:3" hidden="1">
      <c r="A1421" s="65">
        <v>9002779</v>
      </c>
      <c r="B1421" s="65" t="s">
        <v>2152</v>
      </c>
      <c r="C1421" s="65" t="s">
        <v>786</v>
      </c>
    </row>
    <row r="1422" spans="1:3" hidden="1">
      <c r="A1422" s="65">
        <v>9002780</v>
      </c>
      <c r="B1422" s="65" t="s">
        <v>2153</v>
      </c>
      <c r="C1422" s="65" t="s">
        <v>786</v>
      </c>
    </row>
    <row r="1423" spans="1:3" hidden="1">
      <c r="A1423" s="65">
        <v>9002781</v>
      </c>
      <c r="B1423" s="65" t="s">
        <v>2154</v>
      </c>
      <c r="C1423" s="65" t="s">
        <v>805</v>
      </c>
    </row>
    <row r="1424" spans="1:3" hidden="1">
      <c r="A1424" s="65">
        <v>9002782</v>
      </c>
      <c r="B1424" s="65" t="s">
        <v>2155</v>
      </c>
      <c r="C1424" s="65" t="s">
        <v>805</v>
      </c>
    </row>
    <row r="1425" spans="1:3" hidden="1">
      <c r="A1425" s="65">
        <v>9002783</v>
      </c>
      <c r="B1425" s="65" t="s">
        <v>2156</v>
      </c>
      <c r="C1425" s="65" t="s">
        <v>738</v>
      </c>
    </row>
    <row r="1426" spans="1:3" hidden="1">
      <c r="A1426" s="65">
        <v>9002784</v>
      </c>
      <c r="B1426" s="65" t="s">
        <v>2157</v>
      </c>
      <c r="C1426" s="65" t="s">
        <v>1962</v>
      </c>
    </row>
    <row r="1427" spans="1:3" hidden="1">
      <c r="A1427" s="65">
        <v>9002785</v>
      </c>
      <c r="B1427" s="65" t="s">
        <v>2158</v>
      </c>
      <c r="C1427" s="65" t="s">
        <v>738</v>
      </c>
    </row>
    <row r="1428" spans="1:3" hidden="1">
      <c r="A1428" s="65">
        <v>9002786</v>
      </c>
      <c r="B1428" s="65" t="s">
        <v>2159</v>
      </c>
      <c r="C1428" s="65" t="s">
        <v>664</v>
      </c>
    </row>
    <row r="1429" spans="1:3" hidden="1">
      <c r="A1429" s="65">
        <v>9002787</v>
      </c>
      <c r="B1429" s="65" t="s">
        <v>1736</v>
      </c>
      <c r="C1429" s="65" t="s">
        <v>1101</v>
      </c>
    </row>
    <row r="1430" spans="1:3" hidden="1">
      <c r="A1430" s="65">
        <v>9002788</v>
      </c>
      <c r="B1430" s="65" t="s">
        <v>1735</v>
      </c>
      <c r="C1430" s="65" t="s">
        <v>1101</v>
      </c>
    </row>
    <row r="1431" spans="1:3" hidden="1">
      <c r="A1431" s="65">
        <v>9002789</v>
      </c>
      <c r="B1431" s="65" t="s">
        <v>978</v>
      </c>
      <c r="C1431" s="65" t="s">
        <v>1101</v>
      </c>
    </row>
    <row r="1432" spans="1:3" hidden="1">
      <c r="A1432" s="65">
        <v>9002790</v>
      </c>
      <c r="B1432" s="65" t="s">
        <v>2160</v>
      </c>
      <c r="C1432" s="65" t="s">
        <v>805</v>
      </c>
    </row>
    <row r="1433" spans="1:3" hidden="1">
      <c r="A1433" s="65">
        <v>9002791</v>
      </c>
      <c r="B1433" s="65" t="s">
        <v>2161</v>
      </c>
      <c r="C1433" s="65" t="s">
        <v>793</v>
      </c>
    </row>
    <row r="1434" spans="1:3" hidden="1">
      <c r="A1434" s="65">
        <v>9002792</v>
      </c>
      <c r="B1434" s="65" t="s">
        <v>774</v>
      </c>
      <c r="C1434" s="65" t="s">
        <v>775</v>
      </c>
    </row>
    <row r="1435" spans="1:3" hidden="1">
      <c r="A1435" s="65">
        <v>9002793</v>
      </c>
      <c r="B1435" s="65" t="s">
        <v>2162</v>
      </c>
      <c r="C1435" s="65" t="s">
        <v>664</v>
      </c>
    </row>
    <row r="1436" spans="1:3" hidden="1">
      <c r="A1436" s="65">
        <v>9002794</v>
      </c>
      <c r="B1436" s="65" t="s">
        <v>2163</v>
      </c>
      <c r="C1436" s="65" t="s">
        <v>745</v>
      </c>
    </row>
    <row r="1437" spans="1:3" hidden="1">
      <c r="A1437" s="65">
        <v>9002795</v>
      </c>
      <c r="B1437" s="65" t="s">
        <v>2164</v>
      </c>
      <c r="C1437" s="65" t="s">
        <v>807</v>
      </c>
    </row>
    <row r="1438" spans="1:3" hidden="1">
      <c r="A1438" s="65">
        <v>9002796</v>
      </c>
      <c r="B1438" s="65" t="s">
        <v>2165</v>
      </c>
      <c r="C1438" s="65" t="s">
        <v>793</v>
      </c>
    </row>
    <row r="1439" spans="1:3" hidden="1">
      <c r="A1439" s="65">
        <v>9002797</v>
      </c>
      <c r="B1439" s="65" t="s">
        <v>2166</v>
      </c>
      <c r="C1439" s="65" t="s">
        <v>807</v>
      </c>
    </row>
    <row r="1440" spans="1:3" hidden="1">
      <c r="A1440" s="65">
        <v>9002799</v>
      </c>
      <c r="B1440" s="65" t="s">
        <v>2167</v>
      </c>
      <c r="C1440" s="65" t="s">
        <v>683</v>
      </c>
    </row>
    <row r="1441" spans="1:3" hidden="1">
      <c r="A1441" s="65">
        <v>9002800</v>
      </c>
      <c r="B1441" s="65" t="s">
        <v>2168</v>
      </c>
      <c r="C1441" s="65" t="s">
        <v>683</v>
      </c>
    </row>
    <row r="1442" spans="1:3" hidden="1">
      <c r="A1442" s="65">
        <v>9002801</v>
      </c>
      <c r="B1442" s="65" t="s">
        <v>2169</v>
      </c>
      <c r="C1442" s="65" t="s">
        <v>683</v>
      </c>
    </row>
    <row r="1443" spans="1:3" hidden="1">
      <c r="A1443" s="65">
        <v>9002802</v>
      </c>
      <c r="B1443" s="65" t="s">
        <v>2170</v>
      </c>
      <c r="C1443" s="65" t="s">
        <v>683</v>
      </c>
    </row>
    <row r="1444" spans="1:3" hidden="1">
      <c r="A1444" s="65">
        <v>9002803</v>
      </c>
      <c r="B1444" s="65" t="s">
        <v>2171</v>
      </c>
      <c r="C1444" s="65" t="s">
        <v>683</v>
      </c>
    </row>
    <row r="1445" spans="1:3" hidden="1">
      <c r="A1445" s="65">
        <v>9002804</v>
      </c>
      <c r="B1445" s="65" t="s">
        <v>2172</v>
      </c>
      <c r="C1445" s="65" t="s">
        <v>683</v>
      </c>
    </row>
    <row r="1446" spans="1:3" hidden="1">
      <c r="A1446" s="65">
        <v>9002805</v>
      </c>
      <c r="B1446" s="65" t="s">
        <v>2173</v>
      </c>
      <c r="C1446" s="65" t="s">
        <v>738</v>
      </c>
    </row>
    <row r="1447" spans="1:3" hidden="1">
      <c r="A1447" s="65">
        <v>9002806</v>
      </c>
      <c r="B1447" s="65" t="s">
        <v>2174</v>
      </c>
      <c r="C1447" s="65" t="s">
        <v>805</v>
      </c>
    </row>
    <row r="1448" spans="1:3" hidden="1">
      <c r="A1448" s="65">
        <v>9002807</v>
      </c>
      <c r="B1448" s="65" t="s">
        <v>2175</v>
      </c>
      <c r="C1448" s="65" t="s">
        <v>805</v>
      </c>
    </row>
    <row r="1449" spans="1:3" hidden="1">
      <c r="A1449" s="65">
        <v>9002808</v>
      </c>
      <c r="B1449" s="65" t="s">
        <v>2176</v>
      </c>
      <c r="C1449" s="65" t="s">
        <v>807</v>
      </c>
    </row>
    <row r="1450" spans="1:3" hidden="1">
      <c r="A1450" s="65">
        <v>9002809</v>
      </c>
      <c r="B1450" s="65" t="s">
        <v>2177</v>
      </c>
      <c r="C1450" s="65" t="s">
        <v>738</v>
      </c>
    </row>
    <row r="1451" spans="1:3" hidden="1">
      <c r="A1451" s="65">
        <v>9002810</v>
      </c>
      <c r="B1451" s="65" t="s">
        <v>2178</v>
      </c>
      <c r="C1451" s="65" t="s">
        <v>738</v>
      </c>
    </row>
    <row r="1452" spans="1:3" hidden="1">
      <c r="A1452" s="65">
        <v>9002811</v>
      </c>
      <c r="B1452" s="65" t="s">
        <v>2179</v>
      </c>
      <c r="C1452" s="65" t="s">
        <v>738</v>
      </c>
    </row>
    <row r="1453" spans="1:3" hidden="1">
      <c r="A1453" s="65">
        <v>9002812</v>
      </c>
      <c r="B1453" s="65" t="s">
        <v>2180</v>
      </c>
      <c r="C1453" s="65" t="s">
        <v>805</v>
      </c>
    </row>
    <row r="1454" spans="1:3" hidden="1">
      <c r="A1454" s="65">
        <v>9002813</v>
      </c>
      <c r="B1454" s="65" t="s">
        <v>2181</v>
      </c>
      <c r="C1454" s="65" t="s">
        <v>805</v>
      </c>
    </row>
    <row r="1455" spans="1:3" hidden="1">
      <c r="A1455" s="65">
        <v>9002814</v>
      </c>
      <c r="B1455" s="65" t="s">
        <v>2182</v>
      </c>
      <c r="C1455" s="65" t="s">
        <v>786</v>
      </c>
    </row>
    <row r="1456" spans="1:3" hidden="1">
      <c r="A1456" s="65">
        <v>9002819</v>
      </c>
      <c r="B1456" s="65" t="s">
        <v>2183</v>
      </c>
      <c r="C1456" s="65" t="s">
        <v>805</v>
      </c>
    </row>
    <row r="1457" spans="1:3" hidden="1">
      <c r="A1457" s="65">
        <v>9002829</v>
      </c>
      <c r="B1457" s="65" t="s">
        <v>2184</v>
      </c>
      <c r="C1457" s="65" t="s">
        <v>732</v>
      </c>
    </row>
    <row r="1458" spans="1:3" hidden="1">
      <c r="A1458" s="65">
        <v>9002839</v>
      </c>
      <c r="B1458" s="65" t="s">
        <v>2185</v>
      </c>
      <c r="C1458" s="65" t="s">
        <v>793</v>
      </c>
    </row>
    <row r="1459" spans="1:3" hidden="1">
      <c r="A1459" s="65">
        <v>9002840</v>
      </c>
      <c r="B1459" s="65" t="s">
        <v>2186</v>
      </c>
      <c r="C1459" s="65" t="s">
        <v>793</v>
      </c>
    </row>
    <row r="1460" spans="1:3" hidden="1">
      <c r="A1460" s="65">
        <v>9002841</v>
      </c>
      <c r="B1460" s="65" t="s">
        <v>2187</v>
      </c>
      <c r="C1460" s="65" t="s">
        <v>738</v>
      </c>
    </row>
    <row r="1461" spans="1:3" hidden="1">
      <c r="A1461" s="65">
        <v>9002842</v>
      </c>
      <c r="B1461" s="65" t="s">
        <v>2188</v>
      </c>
      <c r="C1461" s="65" t="s">
        <v>805</v>
      </c>
    </row>
    <row r="1462" spans="1:3" hidden="1">
      <c r="A1462" s="65">
        <v>9002843</v>
      </c>
      <c r="B1462" s="65" t="s">
        <v>2189</v>
      </c>
      <c r="C1462" s="65" t="s">
        <v>793</v>
      </c>
    </row>
    <row r="1463" spans="1:3" hidden="1">
      <c r="A1463" s="65">
        <v>9002844</v>
      </c>
      <c r="B1463" s="65" t="s">
        <v>2190</v>
      </c>
      <c r="C1463" s="65" t="s">
        <v>793</v>
      </c>
    </row>
    <row r="1464" spans="1:3" hidden="1">
      <c r="A1464" s="65">
        <v>9002845</v>
      </c>
      <c r="B1464" s="65" t="s">
        <v>2191</v>
      </c>
      <c r="C1464" s="65" t="s">
        <v>793</v>
      </c>
    </row>
    <row r="1465" spans="1:3" hidden="1">
      <c r="A1465" s="65">
        <v>9002846</v>
      </c>
      <c r="B1465" s="65" t="s">
        <v>2192</v>
      </c>
      <c r="C1465" s="65" t="s">
        <v>793</v>
      </c>
    </row>
    <row r="1466" spans="1:3" hidden="1">
      <c r="A1466" s="65">
        <v>9002847</v>
      </c>
      <c r="B1466" s="65" t="s">
        <v>2193</v>
      </c>
      <c r="C1466" s="65" t="s">
        <v>793</v>
      </c>
    </row>
    <row r="1467" spans="1:3" hidden="1">
      <c r="A1467" s="65">
        <v>9002848</v>
      </c>
      <c r="B1467" s="65" t="s">
        <v>2194</v>
      </c>
      <c r="C1467" s="65" t="s">
        <v>805</v>
      </c>
    </row>
    <row r="1468" spans="1:3" hidden="1">
      <c r="A1468" s="65">
        <v>9002849</v>
      </c>
      <c r="B1468" s="65" t="s">
        <v>2195</v>
      </c>
      <c r="C1468" s="65" t="s">
        <v>738</v>
      </c>
    </row>
    <row r="1469" spans="1:3" hidden="1">
      <c r="A1469" s="65">
        <v>9002859</v>
      </c>
      <c r="B1469" s="65" t="s">
        <v>2196</v>
      </c>
      <c r="C1469" s="65" t="s">
        <v>775</v>
      </c>
    </row>
    <row r="1470" spans="1:3" hidden="1">
      <c r="A1470" s="65">
        <v>9002860</v>
      </c>
      <c r="B1470" s="65" t="s">
        <v>2197</v>
      </c>
      <c r="C1470" s="65" t="s">
        <v>809</v>
      </c>
    </row>
    <row r="1471" spans="1:3" hidden="1">
      <c r="A1471" s="65">
        <v>9002861</v>
      </c>
      <c r="B1471" s="65" t="s">
        <v>2198</v>
      </c>
      <c r="C1471" s="65" t="s">
        <v>809</v>
      </c>
    </row>
    <row r="1472" spans="1:3" hidden="1">
      <c r="A1472" s="65">
        <v>9002862</v>
      </c>
      <c r="B1472" s="65" t="s">
        <v>2199</v>
      </c>
      <c r="C1472" s="65" t="s">
        <v>809</v>
      </c>
    </row>
    <row r="1473" spans="1:3" hidden="1">
      <c r="A1473" s="65">
        <v>9002863</v>
      </c>
      <c r="B1473" s="65" t="s">
        <v>2200</v>
      </c>
      <c r="C1473" s="65" t="s">
        <v>809</v>
      </c>
    </row>
    <row r="1474" spans="1:3" hidden="1">
      <c r="A1474" s="65">
        <v>9002864</v>
      </c>
      <c r="B1474" s="65" t="s">
        <v>2201</v>
      </c>
      <c r="C1474" s="65" t="s">
        <v>805</v>
      </c>
    </row>
    <row r="1475" spans="1:3" hidden="1">
      <c r="A1475" s="65">
        <v>9002865</v>
      </c>
      <c r="B1475" s="65" t="s">
        <v>2202</v>
      </c>
      <c r="C1475" s="65" t="s">
        <v>786</v>
      </c>
    </row>
    <row r="1476" spans="1:3" hidden="1">
      <c r="A1476" s="65">
        <v>9002866</v>
      </c>
      <c r="B1476" s="65" t="s">
        <v>2203</v>
      </c>
      <c r="C1476" s="65" t="s">
        <v>809</v>
      </c>
    </row>
    <row r="1477" spans="1:3" hidden="1">
      <c r="A1477" s="65">
        <v>9002867</v>
      </c>
      <c r="B1477" s="65" t="s">
        <v>2204</v>
      </c>
      <c r="C1477" s="65" t="s">
        <v>809</v>
      </c>
    </row>
    <row r="1478" spans="1:3" hidden="1">
      <c r="A1478" s="65">
        <v>9002868</v>
      </c>
      <c r="B1478" s="65" t="s">
        <v>2205</v>
      </c>
      <c r="C1478" s="65" t="s">
        <v>809</v>
      </c>
    </row>
    <row r="1479" spans="1:3" hidden="1">
      <c r="A1479" s="65">
        <v>9002869</v>
      </c>
      <c r="B1479" s="65" t="s">
        <v>2206</v>
      </c>
      <c r="C1479" s="65" t="s">
        <v>809</v>
      </c>
    </row>
    <row r="1480" spans="1:3" hidden="1">
      <c r="A1480" s="65">
        <v>9002870</v>
      </c>
      <c r="B1480" s="65" t="s">
        <v>2207</v>
      </c>
      <c r="C1480" s="65" t="s">
        <v>809</v>
      </c>
    </row>
    <row r="1481" spans="1:3" hidden="1">
      <c r="A1481" s="65">
        <v>9002871</v>
      </c>
      <c r="B1481" s="65" t="s">
        <v>2208</v>
      </c>
      <c r="C1481" s="65" t="s">
        <v>809</v>
      </c>
    </row>
    <row r="1482" spans="1:3" hidden="1">
      <c r="A1482" s="65">
        <v>9002872</v>
      </c>
      <c r="B1482" s="65" t="s">
        <v>2209</v>
      </c>
      <c r="C1482" s="65" t="s">
        <v>809</v>
      </c>
    </row>
    <row r="1483" spans="1:3" hidden="1">
      <c r="A1483" s="65">
        <v>9002873</v>
      </c>
      <c r="B1483" s="65" t="s">
        <v>2210</v>
      </c>
      <c r="C1483" s="65" t="s">
        <v>809</v>
      </c>
    </row>
    <row r="1484" spans="1:3" hidden="1">
      <c r="A1484" s="65">
        <v>9002874</v>
      </c>
      <c r="B1484" s="65" t="s">
        <v>2211</v>
      </c>
      <c r="C1484" s="65" t="s">
        <v>809</v>
      </c>
    </row>
    <row r="1485" spans="1:3" hidden="1">
      <c r="A1485" s="65">
        <v>9002875</v>
      </c>
      <c r="B1485" s="65" t="s">
        <v>2212</v>
      </c>
      <c r="C1485" s="65" t="s">
        <v>809</v>
      </c>
    </row>
    <row r="1486" spans="1:3" hidden="1">
      <c r="A1486" s="65">
        <v>9002876</v>
      </c>
      <c r="B1486" s="65" t="s">
        <v>2213</v>
      </c>
      <c r="C1486" s="65" t="s">
        <v>809</v>
      </c>
    </row>
    <row r="1487" spans="1:3" hidden="1">
      <c r="A1487" s="65">
        <v>9002877</v>
      </c>
      <c r="B1487" s="65" t="s">
        <v>2214</v>
      </c>
      <c r="C1487" s="65" t="s">
        <v>809</v>
      </c>
    </row>
    <row r="1488" spans="1:3" hidden="1">
      <c r="A1488" s="65">
        <v>9002878</v>
      </c>
      <c r="B1488" s="65" t="s">
        <v>2215</v>
      </c>
      <c r="C1488" s="65" t="s">
        <v>809</v>
      </c>
    </row>
    <row r="1489" spans="1:3" hidden="1">
      <c r="A1489" s="65">
        <v>9002879</v>
      </c>
      <c r="B1489" s="65" t="s">
        <v>2216</v>
      </c>
      <c r="C1489" s="65" t="s">
        <v>809</v>
      </c>
    </row>
    <row r="1490" spans="1:3" hidden="1">
      <c r="A1490" s="65">
        <v>9002880</v>
      </c>
      <c r="B1490" s="65" t="s">
        <v>2217</v>
      </c>
      <c r="C1490" s="65" t="s">
        <v>809</v>
      </c>
    </row>
    <row r="1491" spans="1:3" hidden="1">
      <c r="A1491" s="65">
        <v>9002881</v>
      </c>
      <c r="B1491" s="65" t="s">
        <v>2218</v>
      </c>
      <c r="C1491" s="65" t="s">
        <v>664</v>
      </c>
    </row>
    <row r="1492" spans="1:3" hidden="1">
      <c r="A1492" s="65">
        <v>9002882</v>
      </c>
      <c r="B1492" s="65" t="s">
        <v>2219</v>
      </c>
      <c r="C1492" s="65" t="s">
        <v>738</v>
      </c>
    </row>
    <row r="1493" spans="1:3" hidden="1">
      <c r="A1493" s="65">
        <v>9002889</v>
      </c>
      <c r="B1493" s="65" t="s">
        <v>2220</v>
      </c>
      <c r="C1493" s="65" t="s">
        <v>674</v>
      </c>
    </row>
    <row r="1494" spans="1:3" hidden="1">
      <c r="A1494" s="65">
        <v>9002890</v>
      </c>
      <c r="B1494" s="65" t="s">
        <v>2221</v>
      </c>
      <c r="C1494" s="65" t="s">
        <v>674</v>
      </c>
    </row>
    <row r="1495" spans="1:3" hidden="1">
      <c r="A1495" s="65">
        <v>9002891</v>
      </c>
      <c r="B1495" s="65" t="s">
        <v>2222</v>
      </c>
      <c r="C1495" s="65" t="s">
        <v>674</v>
      </c>
    </row>
    <row r="1496" spans="1:3" hidden="1">
      <c r="A1496" s="65">
        <v>9002892</v>
      </c>
      <c r="B1496" s="65" t="s">
        <v>2223</v>
      </c>
      <c r="C1496" s="65" t="s">
        <v>674</v>
      </c>
    </row>
    <row r="1497" spans="1:3" hidden="1">
      <c r="A1497" s="65">
        <v>9002893</v>
      </c>
      <c r="B1497" s="65" t="s">
        <v>2224</v>
      </c>
      <c r="C1497" s="65" t="s">
        <v>674</v>
      </c>
    </row>
    <row r="1498" spans="1:3" hidden="1">
      <c r="A1498" s="65">
        <v>9002894</v>
      </c>
      <c r="B1498" s="65" t="s">
        <v>2225</v>
      </c>
      <c r="C1498" s="65" t="s">
        <v>686</v>
      </c>
    </row>
    <row r="1499" spans="1:3" hidden="1">
      <c r="A1499" s="65">
        <v>9002895</v>
      </c>
      <c r="B1499" s="65" t="s">
        <v>2226</v>
      </c>
      <c r="C1499" s="65" t="s">
        <v>805</v>
      </c>
    </row>
    <row r="1500" spans="1:3" hidden="1">
      <c r="A1500" s="65">
        <v>9002896</v>
      </c>
      <c r="B1500" s="65" t="s">
        <v>2227</v>
      </c>
      <c r="C1500" s="65" t="s">
        <v>793</v>
      </c>
    </row>
    <row r="1501" spans="1:3" hidden="1">
      <c r="A1501" s="65">
        <v>9002897</v>
      </c>
      <c r="B1501" s="65" t="s">
        <v>2228</v>
      </c>
      <c r="C1501" s="65" t="s">
        <v>805</v>
      </c>
    </row>
    <row r="1502" spans="1:3" hidden="1">
      <c r="A1502" s="65">
        <v>9002898</v>
      </c>
      <c r="B1502" s="65" t="s">
        <v>2229</v>
      </c>
      <c r="C1502" s="65" t="s">
        <v>805</v>
      </c>
    </row>
    <row r="1503" spans="1:3" hidden="1">
      <c r="A1503" s="65">
        <v>9002899</v>
      </c>
      <c r="B1503" s="65" t="s">
        <v>2230</v>
      </c>
      <c r="C1503" s="65" t="s">
        <v>805</v>
      </c>
    </row>
    <row r="1504" spans="1:3" hidden="1">
      <c r="A1504" s="65">
        <v>9002900</v>
      </c>
      <c r="B1504" s="65" t="s">
        <v>2231</v>
      </c>
      <c r="C1504" s="65" t="s">
        <v>793</v>
      </c>
    </row>
    <row r="1505" spans="1:3" hidden="1">
      <c r="A1505" s="65">
        <v>9002901</v>
      </c>
      <c r="B1505" s="65" t="s">
        <v>2232</v>
      </c>
      <c r="C1505" s="65" t="s">
        <v>793</v>
      </c>
    </row>
    <row r="1506" spans="1:3" hidden="1">
      <c r="A1506" s="65">
        <v>9002902</v>
      </c>
      <c r="B1506" s="65" t="s">
        <v>2233</v>
      </c>
      <c r="C1506" s="65" t="s">
        <v>2234</v>
      </c>
    </row>
    <row r="1507" spans="1:3" hidden="1">
      <c r="A1507" s="65">
        <v>9002903</v>
      </c>
      <c r="B1507" s="65" t="s">
        <v>2235</v>
      </c>
      <c r="C1507" s="65" t="s">
        <v>2234</v>
      </c>
    </row>
    <row r="1508" spans="1:3" hidden="1">
      <c r="A1508" s="65">
        <v>9002904</v>
      </c>
      <c r="B1508" s="65" t="s">
        <v>2236</v>
      </c>
      <c r="C1508" s="65" t="s">
        <v>795</v>
      </c>
    </row>
    <row r="1509" spans="1:3" hidden="1">
      <c r="A1509" s="65">
        <v>9002905</v>
      </c>
      <c r="B1509" s="65" t="s">
        <v>2237</v>
      </c>
      <c r="C1509" s="65" t="s">
        <v>698</v>
      </c>
    </row>
    <row r="1510" spans="1:3" hidden="1">
      <c r="A1510" s="65">
        <v>9002906</v>
      </c>
      <c r="B1510" s="65" t="s">
        <v>2238</v>
      </c>
      <c r="C1510" s="65" t="s">
        <v>793</v>
      </c>
    </row>
    <row r="1511" spans="1:3" hidden="1">
      <c r="A1511" s="65">
        <v>9002907</v>
      </c>
      <c r="B1511" s="65" t="s">
        <v>2239</v>
      </c>
      <c r="C1511" s="65" t="s">
        <v>793</v>
      </c>
    </row>
    <row r="1512" spans="1:3" hidden="1">
      <c r="A1512" s="65">
        <v>9002908</v>
      </c>
      <c r="B1512" s="65" t="s">
        <v>2240</v>
      </c>
      <c r="C1512" s="65" t="s">
        <v>793</v>
      </c>
    </row>
    <row r="1513" spans="1:3" hidden="1">
      <c r="A1513" s="65">
        <v>9002909</v>
      </c>
      <c r="B1513" s="65" t="s">
        <v>2241</v>
      </c>
      <c r="C1513" s="65" t="s">
        <v>793</v>
      </c>
    </row>
    <row r="1514" spans="1:3" hidden="1">
      <c r="A1514" s="65">
        <v>9002910</v>
      </c>
      <c r="B1514" s="65" t="s">
        <v>2242</v>
      </c>
      <c r="C1514" s="65" t="s">
        <v>805</v>
      </c>
    </row>
    <row r="1515" spans="1:3" hidden="1">
      <c r="A1515" s="65">
        <v>9002911</v>
      </c>
      <c r="B1515" s="65" t="s">
        <v>2243</v>
      </c>
      <c r="C1515" s="65" t="s">
        <v>809</v>
      </c>
    </row>
    <row r="1516" spans="1:3" hidden="1">
      <c r="A1516" s="65">
        <v>9002912</v>
      </c>
      <c r="B1516" s="65" t="s">
        <v>2244</v>
      </c>
      <c r="C1516" s="65" t="s">
        <v>809</v>
      </c>
    </row>
    <row r="1517" spans="1:3" hidden="1">
      <c r="A1517" s="65">
        <v>9002913</v>
      </c>
      <c r="B1517" s="65" t="s">
        <v>2245</v>
      </c>
      <c r="C1517" s="65" t="s">
        <v>805</v>
      </c>
    </row>
    <row r="1518" spans="1:3" hidden="1">
      <c r="A1518" s="65">
        <v>9002914</v>
      </c>
      <c r="B1518" s="65" t="s">
        <v>2246</v>
      </c>
      <c r="C1518" s="65" t="s">
        <v>2234</v>
      </c>
    </row>
    <row r="1519" spans="1:3" hidden="1">
      <c r="A1519" s="65">
        <v>9002915</v>
      </c>
      <c r="B1519" s="65" t="s">
        <v>2247</v>
      </c>
      <c r="C1519" s="65" t="s">
        <v>795</v>
      </c>
    </row>
    <row r="1520" spans="1:3" hidden="1">
      <c r="A1520" s="65">
        <v>9002916</v>
      </c>
      <c r="B1520" s="65" t="s">
        <v>2248</v>
      </c>
      <c r="C1520" s="65" t="s">
        <v>795</v>
      </c>
    </row>
    <row r="1521" spans="1:3" hidden="1">
      <c r="A1521" s="65">
        <v>9002917</v>
      </c>
      <c r="B1521" s="65" t="s">
        <v>2249</v>
      </c>
      <c r="C1521" s="65" t="s">
        <v>793</v>
      </c>
    </row>
    <row r="1522" spans="1:3" hidden="1">
      <c r="A1522" s="65">
        <v>9002918</v>
      </c>
      <c r="B1522" s="65" t="s">
        <v>2250</v>
      </c>
      <c r="C1522" s="65" t="s">
        <v>793</v>
      </c>
    </row>
    <row r="1523" spans="1:3" hidden="1">
      <c r="A1523" s="65">
        <v>9002919</v>
      </c>
      <c r="B1523" s="65" t="s">
        <v>2251</v>
      </c>
      <c r="C1523" s="65" t="s">
        <v>793</v>
      </c>
    </row>
    <row r="1524" spans="1:3" hidden="1">
      <c r="A1524" s="65">
        <v>9002920</v>
      </c>
      <c r="B1524" s="65" t="s">
        <v>2252</v>
      </c>
      <c r="C1524" s="65" t="s">
        <v>793</v>
      </c>
    </row>
    <row r="1525" spans="1:3" hidden="1">
      <c r="A1525" s="65">
        <v>9002921</v>
      </c>
      <c r="B1525" s="65" t="s">
        <v>2253</v>
      </c>
      <c r="C1525" s="65" t="s">
        <v>793</v>
      </c>
    </row>
    <row r="1526" spans="1:3" hidden="1">
      <c r="A1526" s="65">
        <v>9002922</v>
      </c>
      <c r="B1526" s="65" t="s">
        <v>2254</v>
      </c>
      <c r="C1526" s="65" t="s">
        <v>793</v>
      </c>
    </row>
    <row r="1527" spans="1:3" hidden="1">
      <c r="A1527" s="65">
        <v>9002923</v>
      </c>
      <c r="B1527" s="65" t="s">
        <v>2255</v>
      </c>
      <c r="C1527" s="65" t="s">
        <v>793</v>
      </c>
    </row>
    <row r="1528" spans="1:3" hidden="1">
      <c r="A1528" s="65">
        <v>9002924</v>
      </c>
      <c r="B1528" s="65" t="s">
        <v>2256</v>
      </c>
      <c r="C1528" s="65" t="s">
        <v>900</v>
      </c>
    </row>
    <row r="1529" spans="1:3" hidden="1">
      <c r="A1529" s="65">
        <v>9002925</v>
      </c>
      <c r="B1529" s="65" t="s">
        <v>2257</v>
      </c>
      <c r="C1529" s="65" t="s">
        <v>900</v>
      </c>
    </row>
    <row r="1530" spans="1:3" hidden="1">
      <c r="A1530" s="65">
        <v>9002926</v>
      </c>
      <c r="B1530" s="65" t="s">
        <v>2258</v>
      </c>
      <c r="C1530" s="65" t="s">
        <v>793</v>
      </c>
    </row>
    <row r="1531" spans="1:3" hidden="1">
      <c r="A1531" s="65">
        <v>9002927</v>
      </c>
      <c r="B1531" s="65" t="s">
        <v>2259</v>
      </c>
      <c r="C1531" s="65" t="s">
        <v>795</v>
      </c>
    </row>
    <row r="1532" spans="1:3" hidden="1">
      <c r="A1532" s="65">
        <v>9002928</v>
      </c>
      <c r="B1532" s="65" t="s">
        <v>2260</v>
      </c>
      <c r="C1532" s="65" t="s">
        <v>786</v>
      </c>
    </row>
    <row r="1533" spans="1:3" hidden="1">
      <c r="A1533" s="65">
        <v>9002929</v>
      </c>
      <c r="B1533" s="65" t="s">
        <v>2261</v>
      </c>
      <c r="C1533" s="65" t="s">
        <v>786</v>
      </c>
    </row>
    <row r="1534" spans="1:3" hidden="1">
      <c r="A1534" s="65">
        <v>9002930</v>
      </c>
      <c r="B1534" s="65" t="s">
        <v>2262</v>
      </c>
      <c r="C1534" s="65" t="s">
        <v>786</v>
      </c>
    </row>
    <row r="1535" spans="1:3" hidden="1">
      <c r="A1535" s="65">
        <v>9002931</v>
      </c>
      <c r="B1535" s="65" t="s">
        <v>2263</v>
      </c>
      <c r="C1535" s="65" t="s">
        <v>786</v>
      </c>
    </row>
    <row r="1536" spans="1:3" hidden="1">
      <c r="A1536" s="65">
        <v>9002932</v>
      </c>
      <c r="B1536" s="65" t="s">
        <v>2264</v>
      </c>
      <c r="C1536" s="65" t="s">
        <v>786</v>
      </c>
    </row>
    <row r="1537" spans="1:3" hidden="1">
      <c r="A1537" s="65">
        <v>9002933</v>
      </c>
      <c r="B1537" s="65" t="s">
        <v>2265</v>
      </c>
      <c r="C1537" s="65" t="s">
        <v>805</v>
      </c>
    </row>
    <row r="1538" spans="1:3" hidden="1">
      <c r="A1538" s="65">
        <v>9002934</v>
      </c>
      <c r="B1538" s="65" t="s">
        <v>2266</v>
      </c>
      <c r="C1538" s="65" t="s">
        <v>1101</v>
      </c>
    </row>
    <row r="1539" spans="1:3" hidden="1">
      <c r="A1539" s="65">
        <v>9002935</v>
      </c>
      <c r="B1539" s="65" t="s">
        <v>2267</v>
      </c>
      <c r="C1539" s="65" t="s">
        <v>738</v>
      </c>
    </row>
    <row r="1540" spans="1:3" hidden="1">
      <c r="A1540" s="65">
        <v>9002936</v>
      </c>
      <c r="B1540" s="65" t="s">
        <v>2268</v>
      </c>
      <c r="C1540" s="65" t="s">
        <v>786</v>
      </c>
    </row>
    <row r="1541" spans="1:3" hidden="1">
      <c r="A1541" s="65">
        <v>9002937</v>
      </c>
      <c r="B1541" s="65" t="s">
        <v>2269</v>
      </c>
      <c r="C1541" s="65" t="s">
        <v>664</v>
      </c>
    </row>
    <row r="1542" spans="1:3" hidden="1">
      <c r="A1542" s="65">
        <v>9002938</v>
      </c>
      <c r="B1542" s="65" t="s">
        <v>2270</v>
      </c>
      <c r="C1542" s="65" t="s">
        <v>786</v>
      </c>
    </row>
    <row r="1543" spans="1:3" hidden="1">
      <c r="A1543" s="65">
        <v>9002939</v>
      </c>
      <c r="B1543" s="65" t="s">
        <v>2271</v>
      </c>
      <c r="C1543" s="65" t="s">
        <v>805</v>
      </c>
    </row>
    <row r="1544" spans="1:3" hidden="1">
      <c r="A1544" s="65">
        <v>9002940</v>
      </c>
      <c r="B1544" s="65" t="s">
        <v>2272</v>
      </c>
      <c r="C1544" s="65" t="s">
        <v>738</v>
      </c>
    </row>
    <row r="1545" spans="1:3" hidden="1">
      <c r="A1545" s="65">
        <v>9002941</v>
      </c>
      <c r="B1545" s="65" t="s">
        <v>2273</v>
      </c>
      <c r="C1545" s="65" t="s">
        <v>738</v>
      </c>
    </row>
    <row r="1546" spans="1:3" hidden="1">
      <c r="A1546" s="65">
        <v>9002942</v>
      </c>
      <c r="B1546" s="65" t="s">
        <v>2274</v>
      </c>
      <c r="C1546" s="65" t="s">
        <v>738</v>
      </c>
    </row>
    <row r="1547" spans="1:3" hidden="1">
      <c r="A1547" s="65">
        <v>9002943</v>
      </c>
      <c r="B1547" s="65" t="s">
        <v>2275</v>
      </c>
      <c r="C1547" s="65" t="s">
        <v>670</v>
      </c>
    </row>
    <row r="1548" spans="1:3" hidden="1">
      <c r="A1548" s="65">
        <v>9002944</v>
      </c>
      <c r="B1548" s="65" t="s">
        <v>2276</v>
      </c>
      <c r="C1548" s="65" t="s">
        <v>793</v>
      </c>
    </row>
    <row r="1549" spans="1:3" hidden="1">
      <c r="A1549" s="65">
        <v>9002945</v>
      </c>
      <c r="B1549" s="65" t="s">
        <v>2277</v>
      </c>
      <c r="C1549" s="65" t="s">
        <v>793</v>
      </c>
    </row>
    <row r="1550" spans="1:3" hidden="1">
      <c r="A1550" s="65">
        <v>9002946</v>
      </c>
      <c r="B1550" s="65" t="s">
        <v>2278</v>
      </c>
      <c r="C1550" s="65" t="s">
        <v>793</v>
      </c>
    </row>
    <row r="1551" spans="1:3" hidden="1">
      <c r="A1551" s="65">
        <v>9002949</v>
      </c>
      <c r="B1551" s="65" t="s">
        <v>2279</v>
      </c>
      <c r="C1551" s="65" t="s">
        <v>786</v>
      </c>
    </row>
    <row r="1552" spans="1:3" hidden="1">
      <c r="A1552" s="65">
        <v>9002950</v>
      </c>
      <c r="B1552" s="65" t="s">
        <v>2280</v>
      </c>
      <c r="C1552" s="65" t="s">
        <v>793</v>
      </c>
    </row>
    <row r="1553" spans="1:3" hidden="1">
      <c r="A1553" s="65">
        <v>9002951</v>
      </c>
      <c r="B1553" s="65" t="s">
        <v>2281</v>
      </c>
      <c r="C1553" s="65" t="s">
        <v>805</v>
      </c>
    </row>
    <row r="1554" spans="1:3" hidden="1">
      <c r="A1554" s="65">
        <v>9002952</v>
      </c>
      <c r="B1554" s="65" t="s">
        <v>2282</v>
      </c>
      <c r="C1554" s="65" t="s">
        <v>738</v>
      </c>
    </row>
    <row r="1555" spans="1:3" hidden="1">
      <c r="A1555" s="65">
        <v>9002953</v>
      </c>
      <c r="B1555" s="65" t="s">
        <v>2283</v>
      </c>
      <c r="C1555" s="65" t="s">
        <v>677</v>
      </c>
    </row>
    <row r="1556" spans="1:3" hidden="1">
      <c r="A1556" s="65">
        <v>9002954</v>
      </c>
      <c r="B1556" s="65" t="s">
        <v>2284</v>
      </c>
      <c r="C1556" s="65" t="s">
        <v>677</v>
      </c>
    </row>
    <row r="1557" spans="1:3" hidden="1">
      <c r="A1557" s="65">
        <v>9002955</v>
      </c>
      <c r="B1557" s="65" t="s">
        <v>2285</v>
      </c>
      <c r="C1557" s="65" t="s">
        <v>677</v>
      </c>
    </row>
    <row r="1558" spans="1:3" hidden="1">
      <c r="A1558" s="65">
        <v>9002956</v>
      </c>
      <c r="B1558" s="65" t="s">
        <v>2286</v>
      </c>
      <c r="C1558" s="65" t="s">
        <v>677</v>
      </c>
    </row>
    <row r="1559" spans="1:3" hidden="1">
      <c r="A1559" s="65">
        <v>9002957</v>
      </c>
      <c r="B1559" s="65" t="s">
        <v>2287</v>
      </c>
      <c r="C1559" s="65" t="s">
        <v>677</v>
      </c>
    </row>
    <row r="1560" spans="1:3" hidden="1">
      <c r="A1560" s="65">
        <v>9002958</v>
      </c>
      <c r="B1560" s="65" t="s">
        <v>2288</v>
      </c>
      <c r="C1560" s="65" t="s">
        <v>677</v>
      </c>
    </row>
    <row r="1561" spans="1:3" hidden="1">
      <c r="A1561" s="65">
        <v>9002959</v>
      </c>
      <c r="B1561" s="65" t="s">
        <v>2289</v>
      </c>
      <c r="C1561" s="65" t="s">
        <v>677</v>
      </c>
    </row>
    <row r="1562" spans="1:3" hidden="1">
      <c r="A1562" s="65">
        <v>9002960</v>
      </c>
      <c r="B1562" s="65" t="s">
        <v>2290</v>
      </c>
      <c r="C1562" s="65" t="s">
        <v>677</v>
      </c>
    </row>
    <row r="1563" spans="1:3" hidden="1">
      <c r="A1563" s="65">
        <v>9002961</v>
      </c>
      <c r="B1563" s="65" t="s">
        <v>2291</v>
      </c>
      <c r="C1563" s="65" t="s">
        <v>677</v>
      </c>
    </row>
    <row r="1564" spans="1:3" hidden="1">
      <c r="A1564" s="65">
        <v>9002962</v>
      </c>
      <c r="B1564" s="65" t="s">
        <v>2292</v>
      </c>
      <c r="C1564" s="65" t="s">
        <v>677</v>
      </c>
    </row>
    <row r="1565" spans="1:3" hidden="1">
      <c r="A1565" s="65">
        <v>9002963</v>
      </c>
      <c r="B1565" s="65" t="s">
        <v>2293</v>
      </c>
      <c r="C1565" s="65" t="s">
        <v>786</v>
      </c>
    </row>
    <row r="1566" spans="1:3" hidden="1">
      <c r="A1566" s="65">
        <v>9002964</v>
      </c>
      <c r="B1566" s="65" t="s">
        <v>2294</v>
      </c>
      <c r="C1566" s="65" t="s">
        <v>786</v>
      </c>
    </row>
    <row r="1567" spans="1:3" hidden="1">
      <c r="A1567" s="65">
        <v>9002965</v>
      </c>
      <c r="B1567" s="65" t="s">
        <v>2295</v>
      </c>
      <c r="C1567" s="65" t="s">
        <v>786</v>
      </c>
    </row>
    <row r="1568" spans="1:3" hidden="1">
      <c r="A1568" s="65">
        <v>9002966</v>
      </c>
      <c r="B1568" s="65" t="s">
        <v>2296</v>
      </c>
      <c r="C1568" s="65" t="s">
        <v>793</v>
      </c>
    </row>
    <row r="1569" spans="1:3" hidden="1">
      <c r="A1569" s="65">
        <v>9002967</v>
      </c>
      <c r="B1569" s="65" t="s">
        <v>2297</v>
      </c>
      <c r="C1569" s="65" t="s">
        <v>786</v>
      </c>
    </row>
    <row r="1570" spans="1:3" hidden="1">
      <c r="A1570" s="65">
        <v>9002968</v>
      </c>
      <c r="B1570" s="65" t="s">
        <v>2298</v>
      </c>
      <c r="C1570" s="65" t="s">
        <v>786</v>
      </c>
    </row>
    <row r="1571" spans="1:3" hidden="1">
      <c r="A1571" s="65">
        <v>9002969</v>
      </c>
      <c r="B1571" s="65" t="s">
        <v>2299</v>
      </c>
      <c r="C1571" s="65" t="s">
        <v>786</v>
      </c>
    </row>
    <row r="1572" spans="1:3" hidden="1">
      <c r="A1572" s="65">
        <v>9002970</v>
      </c>
      <c r="B1572" s="65" t="s">
        <v>2300</v>
      </c>
      <c r="C1572" s="65" t="s">
        <v>786</v>
      </c>
    </row>
    <row r="1573" spans="1:3" hidden="1">
      <c r="A1573" s="65">
        <v>9002971</v>
      </c>
      <c r="B1573" s="65" t="s">
        <v>2301</v>
      </c>
      <c r="C1573" s="65" t="s">
        <v>805</v>
      </c>
    </row>
    <row r="1574" spans="1:3" hidden="1">
      <c r="A1574" s="65">
        <v>9002972</v>
      </c>
      <c r="B1574" s="65" t="s">
        <v>2302</v>
      </c>
      <c r="C1574" s="65" t="s">
        <v>805</v>
      </c>
    </row>
    <row r="1575" spans="1:3" hidden="1">
      <c r="A1575" s="65">
        <v>9002973</v>
      </c>
      <c r="B1575" s="65" t="s">
        <v>2303</v>
      </c>
      <c r="C1575" s="65" t="s">
        <v>805</v>
      </c>
    </row>
    <row r="1576" spans="1:3" hidden="1">
      <c r="A1576" s="65">
        <v>9002974</v>
      </c>
      <c r="B1576" s="65" t="s">
        <v>2304</v>
      </c>
      <c r="C1576" s="65" t="s">
        <v>805</v>
      </c>
    </row>
    <row r="1577" spans="1:3" hidden="1">
      <c r="A1577" s="65">
        <v>9002975</v>
      </c>
      <c r="B1577" s="65" t="s">
        <v>2305</v>
      </c>
      <c r="C1577" s="65" t="s">
        <v>805</v>
      </c>
    </row>
    <row r="1578" spans="1:3" hidden="1">
      <c r="A1578" s="65">
        <v>9002979</v>
      </c>
      <c r="B1578" s="65" t="s">
        <v>2306</v>
      </c>
      <c r="C1578" s="65" t="s">
        <v>664</v>
      </c>
    </row>
    <row r="1579" spans="1:3" hidden="1">
      <c r="A1579" s="65">
        <v>9002980</v>
      </c>
      <c r="B1579" s="65" t="s">
        <v>2307</v>
      </c>
      <c r="C1579" s="65" t="s">
        <v>664</v>
      </c>
    </row>
    <row r="1580" spans="1:3" hidden="1">
      <c r="A1580" s="65">
        <v>9002981</v>
      </c>
      <c r="B1580" s="65" t="s">
        <v>2308</v>
      </c>
      <c r="C1580" s="65" t="s">
        <v>677</v>
      </c>
    </row>
    <row r="1581" spans="1:3" hidden="1">
      <c r="A1581" s="65">
        <v>9002982</v>
      </c>
      <c r="B1581" s="65" t="s">
        <v>2309</v>
      </c>
      <c r="C1581" s="65" t="s">
        <v>664</v>
      </c>
    </row>
    <row r="1582" spans="1:3" hidden="1">
      <c r="A1582" s="65">
        <v>9002983</v>
      </c>
      <c r="B1582" s="65" t="s">
        <v>2310</v>
      </c>
      <c r="C1582" s="65" t="s">
        <v>809</v>
      </c>
    </row>
    <row r="1583" spans="1:3" hidden="1">
      <c r="A1583" s="65">
        <v>9002984</v>
      </c>
      <c r="B1583" s="65" t="s">
        <v>2311</v>
      </c>
      <c r="C1583" s="65" t="s">
        <v>664</v>
      </c>
    </row>
    <row r="1584" spans="1:3" hidden="1">
      <c r="A1584" s="65">
        <v>9002985</v>
      </c>
      <c r="B1584" s="65" t="s">
        <v>2312</v>
      </c>
      <c r="C1584" s="65" t="s">
        <v>664</v>
      </c>
    </row>
    <row r="1585" spans="1:3" hidden="1">
      <c r="A1585" s="65">
        <v>9002986</v>
      </c>
      <c r="B1585" s="65" t="s">
        <v>2313</v>
      </c>
      <c r="C1585" s="65" t="s">
        <v>664</v>
      </c>
    </row>
    <row r="1586" spans="1:3" hidden="1">
      <c r="A1586" s="65">
        <v>9002987</v>
      </c>
      <c r="B1586" s="65" t="s">
        <v>2314</v>
      </c>
      <c r="C1586" s="65" t="s">
        <v>664</v>
      </c>
    </row>
    <row r="1587" spans="1:3" hidden="1">
      <c r="A1587" s="65">
        <v>9002989</v>
      </c>
      <c r="B1587" s="65" t="s">
        <v>2315</v>
      </c>
      <c r="C1587" s="65" t="s">
        <v>795</v>
      </c>
    </row>
    <row r="1588" spans="1:3" hidden="1">
      <c r="A1588" s="65">
        <v>9002990</v>
      </c>
      <c r="B1588" s="65" t="s">
        <v>2316</v>
      </c>
      <c r="C1588" s="65" t="s">
        <v>738</v>
      </c>
    </row>
    <row r="1589" spans="1:3" hidden="1">
      <c r="A1589" s="65">
        <v>9002991</v>
      </c>
      <c r="B1589" s="65" t="s">
        <v>2317</v>
      </c>
      <c r="C1589" s="65" t="s">
        <v>805</v>
      </c>
    </row>
    <row r="1590" spans="1:3" hidden="1">
      <c r="A1590" s="65">
        <v>9002992</v>
      </c>
      <c r="B1590" s="65" t="s">
        <v>2318</v>
      </c>
      <c r="C1590" s="65" t="s">
        <v>738</v>
      </c>
    </row>
    <row r="1591" spans="1:3" hidden="1">
      <c r="A1591" s="65">
        <v>9002993</v>
      </c>
      <c r="B1591" s="65" t="s">
        <v>2319</v>
      </c>
      <c r="C1591" s="65" t="s">
        <v>738</v>
      </c>
    </row>
    <row r="1592" spans="1:3" hidden="1">
      <c r="A1592" s="65">
        <v>9002994</v>
      </c>
      <c r="B1592" s="65" t="s">
        <v>2320</v>
      </c>
      <c r="C1592" s="65" t="s">
        <v>738</v>
      </c>
    </row>
    <row r="1593" spans="1:3" hidden="1">
      <c r="A1593" s="65">
        <v>9002995</v>
      </c>
      <c r="B1593" s="65" t="s">
        <v>2321</v>
      </c>
      <c r="C1593" s="65" t="s">
        <v>738</v>
      </c>
    </row>
    <row r="1594" spans="1:3" hidden="1">
      <c r="A1594" s="65">
        <v>9002996</v>
      </c>
      <c r="B1594" s="65" t="s">
        <v>2322</v>
      </c>
      <c r="C1594" s="65" t="s">
        <v>850</v>
      </c>
    </row>
    <row r="1595" spans="1:3" hidden="1">
      <c r="A1595" s="65">
        <v>9002997</v>
      </c>
      <c r="B1595" s="65" t="s">
        <v>2323</v>
      </c>
      <c r="C1595" s="65" t="s">
        <v>741</v>
      </c>
    </row>
    <row r="1596" spans="1:3" hidden="1">
      <c r="A1596" s="65">
        <v>9002999</v>
      </c>
      <c r="B1596" s="65" t="s">
        <v>2324</v>
      </c>
      <c r="C1596" s="65" t="s">
        <v>686</v>
      </c>
    </row>
    <row r="1597" spans="1:3" hidden="1">
      <c r="A1597" s="65">
        <v>9003000</v>
      </c>
      <c r="B1597" s="65" t="s">
        <v>2325</v>
      </c>
      <c r="C1597" s="65" t="s">
        <v>809</v>
      </c>
    </row>
    <row r="1598" spans="1:3" hidden="1">
      <c r="A1598" s="65">
        <v>9003001</v>
      </c>
      <c r="B1598" s="65" t="s">
        <v>2326</v>
      </c>
      <c r="C1598" s="65" t="s">
        <v>793</v>
      </c>
    </row>
    <row r="1599" spans="1:3" hidden="1">
      <c r="A1599" s="65">
        <v>9003002</v>
      </c>
      <c r="B1599" s="65" t="s">
        <v>2327</v>
      </c>
      <c r="C1599" s="65" t="s">
        <v>793</v>
      </c>
    </row>
    <row r="1600" spans="1:3" hidden="1">
      <c r="A1600" s="65">
        <v>9003003</v>
      </c>
      <c r="B1600" s="65" t="s">
        <v>2328</v>
      </c>
      <c r="C1600" s="65" t="s">
        <v>805</v>
      </c>
    </row>
    <row r="1601" spans="1:3" hidden="1">
      <c r="A1601" s="65">
        <v>9003004</v>
      </c>
      <c r="B1601" s="65" t="s">
        <v>2329</v>
      </c>
      <c r="C1601" s="65" t="s">
        <v>793</v>
      </c>
    </row>
    <row r="1602" spans="1:3" hidden="1">
      <c r="A1602" s="65">
        <v>9003005</v>
      </c>
      <c r="B1602" s="65" t="s">
        <v>2330</v>
      </c>
      <c r="C1602" s="65" t="s">
        <v>664</v>
      </c>
    </row>
    <row r="1603" spans="1:3" hidden="1">
      <c r="A1603" s="65">
        <v>9003006</v>
      </c>
      <c r="B1603" s="65" t="s">
        <v>2331</v>
      </c>
      <c r="C1603" s="65" t="s">
        <v>1017</v>
      </c>
    </row>
    <row r="1604" spans="1:3" hidden="1">
      <c r="A1604" s="65">
        <v>9003007</v>
      </c>
      <c r="B1604" s="65" t="s">
        <v>2332</v>
      </c>
      <c r="C1604" s="65" t="s">
        <v>1017</v>
      </c>
    </row>
    <row r="1605" spans="1:3" hidden="1">
      <c r="A1605" s="65">
        <v>9003008</v>
      </c>
      <c r="B1605" s="65" t="s">
        <v>2333</v>
      </c>
      <c r="C1605" s="65" t="s">
        <v>741</v>
      </c>
    </row>
    <row r="1606" spans="1:3" hidden="1">
      <c r="A1606" s="65">
        <v>9003009</v>
      </c>
      <c r="B1606" s="65" t="s">
        <v>2334</v>
      </c>
      <c r="C1606" s="65" t="s">
        <v>664</v>
      </c>
    </row>
    <row r="1607" spans="1:3" hidden="1">
      <c r="A1607" s="65">
        <v>9003010</v>
      </c>
      <c r="B1607" s="65" t="s">
        <v>2335</v>
      </c>
      <c r="C1607" s="65" t="s">
        <v>664</v>
      </c>
    </row>
    <row r="1608" spans="1:3" hidden="1">
      <c r="A1608" s="65">
        <v>9003011</v>
      </c>
      <c r="B1608" s="65" t="s">
        <v>2336</v>
      </c>
      <c r="C1608" s="65" t="s">
        <v>738</v>
      </c>
    </row>
    <row r="1609" spans="1:3" hidden="1">
      <c r="A1609" s="65">
        <v>9003019</v>
      </c>
      <c r="B1609" s="65" t="s">
        <v>2337</v>
      </c>
      <c r="C1609" s="65" t="s">
        <v>793</v>
      </c>
    </row>
    <row r="1610" spans="1:3" hidden="1">
      <c r="A1610" s="65">
        <v>9003020</v>
      </c>
      <c r="B1610" s="65" t="s">
        <v>2338</v>
      </c>
      <c r="C1610" s="65" t="s">
        <v>793</v>
      </c>
    </row>
    <row r="1611" spans="1:3" hidden="1">
      <c r="A1611" s="65">
        <v>9003021</v>
      </c>
      <c r="B1611" s="65" t="s">
        <v>2339</v>
      </c>
      <c r="C1611" s="65" t="s">
        <v>793</v>
      </c>
    </row>
    <row r="1612" spans="1:3" hidden="1">
      <c r="A1612" s="65">
        <v>9003022</v>
      </c>
      <c r="B1612" s="65" t="s">
        <v>2340</v>
      </c>
      <c r="C1612" s="65" t="s">
        <v>793</v>
      </c>
    </row>
    <row r="1613" spans="1:3" hidden="1">
      <c r="A1613" s="65">
        <v>9003023</v>
      </c>
      <c r="B1613" s="65" t="s">
        <v>2341</v>
      </c>
      <c r="C1613" s="65" t="s">
        <v>793</v>
      </c>
    </row>
    <row r="1614" spans="1:3" hidden="1">
      <c r="A1614" s="65">
        <v>9003024</v>
      </c>
      <c r="B1614" s="65" t="s">
        <v>2342</v>
      </c>
      <c r="C1614" s="65" t="s">
        <v>793</v>
      </c>
    </row>
    <row r="1615" spans="1:3" hidden="1">
      <c r="A1615" s="65">
        <v>9003025</v>
      </c>
      <c r="B1615" s="65" t="s">
        <v>2343</v>
      </c>
      <c r="C1615" s="65" t="s">
        <v>793</v>
      </c>
    </row>
    <row r="1616" spans="1:3" hidden="1">
      <c r="A1616" s="65">
        <v>9003026</v>
      </c>
      <c r="B1616" s="65" t="s">
        <v>2344</v>
      </c>
      <c r="C1616" s="65" t="s">
        <v>793</v>
      </c>
    </row>
    <row r="1617" spans="1:3" hidden="1">
      <c r="A1617" s="65">
        <v>9003027</v>
      </c>
      <c r="B1617" s="65" t="s">
        <v>2345</v>
      </c>
      <c r="C1617" s="65" t="s">
        <v>793</v>
      </c>
    </row>
    <row r="1618" spans="1:3" hidden="1">
      <c r="A1618" s="65">
        <v>9003028</v>
      </c>
      <c r="B1618" s="65" t="s">
        <v>2346</v>
      </c>
      <c r="C1618" s="65" t="s">
        <v>793</v>
      </c>
    </row>
    <row r="1619" spans="1:3" hidden="1">
      <c r="A1619" s="65">
        <v>9003029</v>
      </c>
      <c r="B1619" s="65" t="s">
        <v>2347</v>
      </c>
      <c r="C1619" s="65" t="s">
        <v>793</v>
      </c>
    </row>
    <row r="1620" spans="1:3" hidden="1">
      <c r="A1620" s="65">
        <v>9003030</v>
      </c>
      <c r="B1620" s="65" t="s">
        <v>2348</v>
      </c>
      <c r="C1620" s="65" t="s">
        <v>793</v>
      </c>
    </row>
    <row r="1621" spans="1:3" hidden="1">
      <c r="A1621" s="65">
        <v>9003031</v>
      </c>
      <c r="B1621" s="65" t="s">
        <v>2349</v>
      </c>
      <c r="C1621" s="65" t="s">
        <v>793</v>
      </c>
    </row>
    <row r="1622" spans="1:3" hidden="1">
      <c r="A1622" s="65">
        <v>9003032</v>
      </c>
      <c r="B1622" s="65" t="s">
        <v>2350</v>
      </c>
      <c r="C1622" s="65" t="s">
        <v>793</v>
      </c>
    </row>
    <row r="1623" spans="1:3" hidden="1">
      <c r="A1623" s="65">
        <v>9003033</v>
      </c>
      <c r="B1623" s="65" t="s">
        <v>2351</v>
      </c>
      <c r="C1623" s="65" t="s">
        <v>793</v>
      </c>
    </row>
    <row r="1624" spans="1:3" hidden="1">
      <c r="A1624" s="65">
        <v>9003034</v>
      </c>
      <c r="B1624" s="65" t="s">
        <v>2352</v>
      </c>
      <c r="C1624" s="65" t="s">
        <v>793</v>
      </c>
    </row>
    <row r="1625" spans="1:3" hidden="1">
      <c r="A1625" s="65">
        <v>9003035</v>
      </c>
      <c r="B1625" s="65" t="s">
        <v>2353</v>
      </c>
      <c r="C1625" s="65" t="s">
        <v>793</v>
      </c>
    </row>
    <row r="1626" spans="1:3" hidden="1">
      <c r="A1626" s="65">
        <v>9003036</v>
      </c>
      <c r="B1626" s="65" t="s">
        <v>2354</v>
      </c>
      <c r="C1626" s="65" t="s">
        <v>793</v>
      </c>
    </row>
    <row r="1627" spans="1:3" hidden="1">
      <c r="A1627" s="65">
        <v>9003037</v>
      </c>
      <c r="B1627" s="65" t="s">
        <v>2355</v>
      </c>
      <c r="C1627" s="65" t="s">
        <v>793</v>
      </c>
    </row>
    <row r="1628" spans="1:3" hidden="1">
      <c r="A1628" s="65">
        <v>9003038</v>
      </c>
      <c r="B1628" s="65" t="s">
        <v>2356</v>
      </c>
      <c r="C1628" s="65" t="s">
        <v>793</v>
      </c>
    </row>
    <row r="1629" spans="1:3" hidden="1">
      <c r="A1629" s="65">
        <v>9003039</v>
      </c>
      <c r="B1629" s="65" t="s">
        <v>2357</v>
      </c>
      <c r="C1629" s="65" t="s">
        <v>793</v>
      </c>
    </row>
    <row r="1630" spans="1:3" hidden="1">
      <c r="A1630" s="65">
        <v>9003040</v>
      </c>
      <c r="B1630" s="65" t="s">
        <v>2358</v>
      </c>
      <c r="C1630" s="65" t="s">
        <v>793</v>
      </c>
    </row>
    <row r="1631" spans="1:3" hidden="1">
      <c r="A1631" s="65">
        <v>9003041</v>
      </c>
      <c r="B1631" s="65" t="s">
        <v>2359</v>
      </c>
      <c r="C1631" s="65" t="s">
        <v>793</v>
      </c>
    </row>
    <row r="1632" spans="1:3" hidden="1">
      <c r="A1632" s="65">
        <v>9003042</v>
      </c>
      <c r="B1632" s="65" t="s">
        <v>2360</v>
      </c>
      <c r="C1632" s="65" t="s">
        <v>793</v>
      </c>
    </row>
    <row r="1633" spans="1:3" hidden="1">
      <c r="A1633" s="65">
        <v>9003043</v>
      </c>
      <c r="B1633" s="65" t="s">
        <v>2361</v>
      </c>
      <c r="C1633" s="65" t="s">
        <v>793</v>
      </c>
    </row>
    <row r="1634" spans="1:3" hidden="1">
      <c r="A1634" s="65">
        <v>9003044</v>
      </c>
      <c r="B1634" s="65" t="s">
        <v>2362</v>
      </c>
      <c r="C1634" s="65" t="s">
        <v>793</v>
      </c>
    </row>
    <row r="1635" spans="1:3" hidden="1">
      <c r="A1635" s="65">
        <v>9003045</v>
      </c>
      <c r="B1635" s="65" t="s">
        <v>2363</v>
      </c>
      <c r="C1635" s="65" t="s">
        <v>793</v>
      </c>
    </row>
    <row r="1636" spans="1:3" hidden="1">
      <c r="A1636" s="65">
        <v>9003046</v>
      </c>
      <c r="B1636" s="65" t="s">
        <v>2364</v>
      </c>
      <c r="C1636" s="65" t="s">
        <v>793</v>
      </c>
    </row>
    <row r="1637" spans="1:3" hidden="1">
      <c r="A1637" s="65">
        <v>9003047</v>
      </c>
      <c r="B1637" s="65" t="s">
        <v>2365</v>
      </c>
      <c r="C1637" s="65" t="s">
        <v>793</v>
      </c>
    </row>
    <row r="1638" spans="1:3" hidden="1">
      <c r="A1638" s="65">
        <v>9003048</v>
      </c>
      <c r="B1638" s="65" t="s">
        <v>2366</v>
      </c>
      <c r="C1638" s="65" t="s">
        <v>793</v>
      </c>
    </row>
    <row r="1639" spans="1:3" hidden="1">
      <c r="A1639" s="65">
        <v>9003049</v>
      </c>
      <c r="B1639" s="65" t="s">
        <v>2367</v>
      </c>
      <c r="C1639" s="65" t="s">
        <v>793</v>
      </c>
    </row>
    <row r="1640" spans="1:3" hidden="1">
      <c r="A1640" s="65">
        <v>9003050</v>
      </c>
      <c r="B1640" s="65" t="s">
        <v>2368</v>
      </c>
      <c r="C1640" s="65" t="s">
        <v>793</v>
      </c>
    </row>
    <row r="1641" spans="1:3" hidden="1">
      <c r="A1641" s="65">
        <v>9003051</v>
      </c>
      <c r="B1641" s="65" t="s">
        <v>2369</v>
      </c>
      <c r="C1641" s="65" t="s">
        <v>793</v>
      </c>
    </row>
    <row r="1642" spans="1:3" hidden="1">
      <c r="A1642" s="65">
        <v>9003052</v>
      </c>
      <c r="B1642" s="65" t="s">
        <v>2370</v>
      </c>
      <c r="C1642" s="65" t="s">
        <v>793</v>
      </c>
    </row>
    <row r="1643" spans="1:3" hidden="1">
      <c r="A1643" s="65">
        <v>9003053</v>
      </c>
      <c r="B1643" s="65" t="s">
        <v>2371</v>
      </c>
      <c r="C1643" s="65" t="s">
        <v>793</v>
      </c>
    </row>
    <row r="1644" spans="1:3" hidden="1">
      <c r="A1644" s="65">
        <v>9003054</v>
      </c>
      <c r="B1644" s="65" t="s">
        <v>2372</v>
      </c>
      <c r="C1644" s="65" t="s">
        <v>793</v>
      </c>
    </row>
    <row r="1645" spans="1:3" hidden="1">
      <c r="A1645" s="65">
        <v>9003055</v>
      </c>
      <c r="B1645" s="65" t="s">
        <v>2373</v>
      </c>
      <c r="C1645" s="65" t="s">
        <v>793</v>
      </c>
    </row>
    <row r="1646" spans="1:3" hidden="1">
      <c r="A1646" s="65">
        <v>9003056</v>
      </c>
      <c r="B1646" s="65" t="s">
        <v>2374</v>
      </c>
      <c r="C1646" s="65" t="s">
        <v>793</v>
      </c>
    </row>
    <row r="1647" spans="1:3" hidden="1">
      <c r="A1647" s="65">
        <v>9003057</v>
      </c>
      <c r="B1647" s="65" t="s">
        <v>2375</v>
      </c>
      <c r="C1647" s="65" t="s">
        <v>793</v>
      </c>
    </row>
    <row r="1648" spans="1:3" hidden="1">
      <c r="A1648" s="65">
        <v>9003058</v>
      </c>
      <c r="B1648" s="65" t="s">
        <v>2376</v>
      </c>
      <c r="C1648" s="65" t="s">
        <v>793</v>
      </c>
    </row>
    <row r="1649" spans="1:3" hidden="1">
      <c r="A1649" s="65">
        <v>9003059</v>
      </c>
      <c r="B1649" s="65" t="s">
        <v>2377</v>
      </c>
      <c r="C1649" s="65" t="s">
        <v>793</v>
      </c>
    </row>
    <row r="1650" spans="1:3" hidden="1">
      <c r="A1650" s="65">
        <v>9003060</v>
      </c>
      <c r="B1650" s="65" t="s">
        <v>2378</v>
      </c>
      <c r="C1650" s="65" t="s">
        <v>793</v>
      </c>
    </row>
    <row r="1651" spans="1:3" hidden="1">
      <c r="A1651" s="65">
        <v>9003061</v>
      </c>
      <c r="B1651" s="65" t="s">
        <v>2379</v>
      </c>
      <c r="C1651" s="65" t="s">
        <v>793</v>
      </c>
    </row>
    <row r="1652" spans="1:3" hidden="1">
      <c r="A1652" s="65">
        <v>9003062</v>
      </c>
      <c r="B1652" s="65" t="s">
        <v>2380</v>
      </c>
      <c r="C1652" s="65" t="s">
        <v>793</v>
      </c>
    </row>
    <row r="1653" spans="1:3" hidden="1">
      <c r="A1653" s="65">
        <v>9003063</v>
      </c>
      <c r="B1653" s="65" t="s">
        <v>2381</v>
      </c>
      <c r="C1653" s="65" t="s">
        <v>793</v>
      </c>
    </row>
    <row r="1654" spans="1:3" hidden="1">
      <c r="A1654" s="65">
        <v>9003064</v>
      </c>
      <c r="B1654" s="65" t="s">
        <v>2382</v>
      </c>
      <c r="C1654" s="65" t="s">
        <v>793</v>
      </c>
    </row>
    <row r="1655" spans="1:3" hidden="1">
      <c r="A1655" s="65">
        <v>9003065</v>
      </c>
      <c r="B1655" s="65" t="s">
        <v>2383</v>
      </c>
      <c r="C1655" s="65" t="s">
        <v>793</v>
      </c>
    </row>
    <row r="1656" spans="1:3" hidden="1">
      <c r="A1656" s="65">
        <v>9003066</v>
      </c>
      <c r="B1656" s="65" t="s">
        <v>2384</v>
      </c>
      <c r="C1656" s="65" t="s">
        <v>793</v>
      </c>
    </row>
    <row r="1657" spans="1:3" hidden="1">
      <c r="A1657" s="65">
        <v>9003067</v>
      </c>
      <c r="B1657" s="65" t="s">
        <v>2385</v>
      </c>
      <c r="C1657" s="65" t="s">
        <v>793</v>
      </c>
    </row>
    <row r="1658" spans="1:3" hidden="1">
      <c r="A1658" s="65">
        <v>9003068</v>
      </c>
      <c r="B1658" s="65" t="s">
        <v>2386</v>
      </c>
      <c r="C1658" s="65" t="s">
        <v>793</v>
      </c>
    </row>
    <row r="1659" spans="1:3" hidden="1">
      <c r="A1659" s="65">
        <v>9003069</v>
      </c>
      <c r="B1659" s="65" t="s">
        <v>2387</v>
      </c>
      <c r="C1659" s="65" t="s">
        <v>793</v>
      </c>
    </row>
    <row r="1660" spans="1:3" hidden="1">
      <c r="A1660" s="65">
        <v>9003070</v>
      </c>
      <c r="B1660" s="65" t="s">
        <v>2388</v>
      </c>
      <c r="C1660" s="65" t="s">
        <v>793</v>
      </c>
    </row>
    <row r="1661" spans="1:3" hidden="1">
      <c r="A1661" s="65">
        <v>9003071</v>
      </c>
      <c r="B1661" s="65" t="s">
        <v>2389</v>
      </c>
      <c r="C1661" s="65" t="s">
        <v>793</v>
      </c>
    </row>
    <row r="1662" spans="1:3" hidden="1">
      <c r="A1662" s="65">
        <v>9003072</v>
      </c>
      <c r="B1662" s="65" t="s">
        <v>2390</v>
      </c>
      <c r="C1662" s="65" t="s">
        <v>793</v>
      </c>
    </row>
    <row r="1663" spans="1:3" hidden="1">
      <c r="A1663" s="65">
        <v>9003073</v>
      </c>
      <c r="B1663" s="65" t="s">
        <v>2391</v>
      </c>
      <c r="C1663" s="65" t="s">
        <v>793</v>
      </c>
    </row>
    <row r="1664" spans="1:3" hidden="1">
      <c r="A1664" s="65">
        <v>9003074</v>
      </c>
      <c r="B1664" s="65" t="s">
        <v>2392</v>
      </c>
      <c r="C1664" s="65" t="s">
        <v>793</v>
      </c>
    </row>
    <row r="1665" spans="1:3" hidden="1">
      <c r="A1665" s="65">
        <v>9003075</v>
      </c>
      <c r="B1665" s="65" t="s">
        <v>2393</v>
      </c>
      <c r="C1665" s="65" t="s">
        <v>793</v>
      </c>
    </row>
    <row r="1666" spans="1:3" hidden="1">
      <c r="A1666" s="65">
        <v>9003076</v>
      </c>
      <c r="B1666" s="65" t="s">
        <v>2394</v>
      </c>
      <c r="C1666" s="65" t="s">
        <v>793</v>
      </c>
    </row>
    <row r="1667" spans="1:3" hidden="1">
      <c r="A1667" s="65">
        <v>9003077</v>
      </c>
      <c r="B1667" s="65" t="s">
        <v>2395</v>
      </c>
      <c r="C1667" s="65" t="s">
        <v>793</v>
      </c>
    </row>
    <row r="1668" spans="1:3" hidden="1">
      <c r="A1668" s="65">
        <v>9003078</v>
      </c>
      <c r="B1668" s="65" t="s">
        <v>2396</v>
      </c>
      <c r="C1668" s="65" t="s">
        <v>793</v>
      </c>
    </row>
    <row r="1669" spans="1:3" hidden="1">
      <c r="A1669" s="65">
        <v>9003079</v>
      </c>
      <c r="B1669" s="65" t="s">
        <v>2397</v>
      </c>
      <c r="C1669" s="65" t="s">
        <v>793</v>
      </c>
    </row>
    <row r="1670" spans="1:3" hidden="1">
      <c r="A1670" s="65">
        <v>9003080</v>
      </c>
      <c r="B1670" s="65" t="s">
        <v>2398</v>
      </c>
      <c r="C1670" s="65" t="s">
        <v>793</v>
      </c>
    </row>
    <row r="1671" spans="1:3" hidden="1">
      <c r="A1671" s="65">
        <v>9003081</v>
      </c>
      <c r="B1671" s="65" t="s">
        <v>2399</v>
      </c>
      <c r="C1671" s="65" t="s">
        <v>793</v>
      </c>
    </row>
    <row r="1672" spans="1:3" hidden="1">
      <c r="A1672" s="65">
        <v>9003082</v>
      </c>
      <c r="B1672" s="65" t="s">
        <v>2400</v>
      </c>
      <c r="C1672" s="65" t="s">
        <v>793</v>
      </c>
    </row>
    <row r="1673" spans="1:3" hidden="1">
      <c r="A1673" s="65">
        <v>9003083</v>
      </c>
      <c r="B1673" s="65" t="s">
        <v>2401</v>
      </c>
      <c r="C1673" s="65" t="s">
        <v>793</v>
      </c>
    </row>
    <row r="1674" spans="1:3" hidden="1">
      <c r="A1674" s="65">
        <v>9003084</v>
      </c>
      <c r="B1674" s="65" t="s">
        <v>2402</v>
      </c>
      <c r="C1674" s="65" t="s">
        <v>793</v>
      </c>
    </row>
    <row r="1675" spans="1:3" hidden="1">
      <c r="A1675" s="65">
        <v>9003085</v>
      </c>
      <c r="B1675" s="65" t="s">
        <v>2403</v>
      </c>
      <c r="C1675" s="65" t="s">
        <v>793</v>
      </c>
    </row>
    <row r="1676" spans="1:3" hidden="1">
      <c r="A1676" s="65">
        <v>9003086</v>
      </c>
      <c r="B1676" s="65" t="s">
        <v>2404</v>
      </c>
      <c r="C1676" s="65" t="s">
        <v>793</v>
      </c>
    </row>
    <row r="1677" spans="1:3" hidden="1">
      <c r="A1677" s="65">
        <v>9003087</v>
      </c>
      <c r="B1677" s="65" t="s">
        <v>2405</v>
      </c>
      <c r="C1677" s="65" t="s">
        <v>793</v>
      </c>
    </row>
    <row r="1678" spans="1:3" hidden="1">
      <c r="A1678" s="65">
        <v>9003088</v>
      </c>
      <c r="B1678" s="65" t="s">
        <v>2406</v>
      </c>
      <c r="C1678" s="65" t="s">
        <v>793</v>
      </c>
    </row>
    <row r="1679" spans="1:3" hidden="1">
      <c r="A1679" s="65">
        <v>9003089</v>
      </c>
      <c r="B1679" s="65" t="s">
        <v>2407</v>
      </c>
      <c r="C1679" s="65" t="s">
        <v>793</v>
      </c>
    </row>
    <row r="1680" spans="1:3" hidden="1">
      <c r="A1680" s="65">
        <v>9003090</v>
      </c>
      <c r="B1680" s="65" t="s">
        <v>2408</v>
      </c>
      <c r="C1680" s="65" t="s">
        <v>793</v>
      </c>
    </row>
    <row r="1681" spans="1:3" hidden="1">
      <c r="A1681" s="65">
        <v>9003091</v>
      </c>
      <c r="B1681" s="65" t="s">
        <v>2409</v>
      </c>
      <c r="C1681" s="65" t="s">
        <v>793</v>
      </c>
    </row>
    <row r="1682" spans="1:3" hidden="1">
      <c r="A1682" s="65">
        <v>9003092</v>
      </c>
      <c r="B1682" s="65" t="s">
        <v>2410</v>
      </c>
      <c r="C1682" s="65" t="s">
        <v>793</v>
      </c>
    </row>
    <row r="1683" spans="1:3" hidden="1">
      <c r="A1683" s="65">
        <v>9003093</v>
      </c>
      <c r="B1683" s="65" t="s">
        <v>2411</v>
      </c>
      <c r="C1683" s="65" t="s">
        <v>793</v>
      </c>
    </row>
    <row r="1684" spans="1:3" hidden="1">
      <c r="A1684" s="65">
        <v>9003094</v>
      </c>
      <c r="B1684" s="65" t="s">
        <v>2412</v>
      </c>
      <c r="C1684" s="65" t="s">
        <v>793</v>
      </c>
    </row>
    <row r="1685" spans="1:3" hidden="1">
      <c r="A1685" s="65">
        <v>9003095</v>
      </c>
      <c r="B1685" s="65" t="s">
        <v>2413</v>
      </c>
      <c r="C1685" s="65" t="s">
        <v>793</v>
      </c>
    </row>
    <row r="1686" spans="1:3" hidden="1">
      <c r="A1686" s="65">
        <v>9003096</v>
      </c>
      <c r="B1686" s="65" t="s">
        <v>2414</v>
      </c>
      <c r="C1686" s="65" t="s">
        <v>793</v>
      </c>
    </row>
    <row r="1687" spans="1:3" hidden="1">
      <c r="A1687" s="65">
        <v>9003097</v>
      </c>
      <c r="B1687" s="65" t="s">
        <v>2415</v>
      </c>
      <c r="C1687" s="65" t="s">
        <v>793</v>
      </c>
    </row>
    <row r="1688" spans="1:3" hidden="1">
      <c r="A1688" s="65">
        <v>9003098</v>
      </c>
      <c r="B1688" s="65" t="s">
        <v>2416</v>
      </c>
      <c r="C1688" s="65" t="s">
        <v>793</v>
      </c>
    </row>
    <row r="1689" spans="1:3" hidden="1">
      <c r="A1689" s="65">
        <v>9003099</v>
      </c>
      <c r="B1689" s="65" t="s">
        <v>2417</v>
      </c>
      <c r="C1689" s="65" t="s">
        <v>793</v>
      </c>
    </row>
    <row r="1690" spans="1:3" hidden="1">
      <c r="A1690" s="65">
        <v>9003100</v>
      </c>
      <c r="B1690" s="65" t="s">
        <v>2418</v>
      </c>
      <c r="C1690" s="65" t="s">
        <v>793</v>
      </c>
    </row>
    <row r="1691" spans="1:3" hidden="1">
      <c r="A1691" s="65">
        <v>9003101</v>
      </c>
      <c r="B1691" s="65" t="s">
        <v>2419</v>
      </c>
      <c r="C1691" s="65" t="s">
        <v>793</v>
      </c>
    </row>
    <row r="1692" spans="1:3" hidden="1">
      <c r="A1692" s="65">
        <v>9003102</v>
      </c>
      <c r="B1692" s="65" t="s">
        <v>2420</v>
      </c>
      <c r="C1692" s="65" t="s">
        <v>793</v>
      </c>
    </row>
    <row r="1693" spans="1:3" hidden="1">
      <c r="A1693" s="65">
        <v>9003103</v>
      </c>
      <c r="B1693" s="65" t="s">
        <v>2421</v>
      </c>
      <c r="C1693" s="65" t="s">
        <v>793</v>
      </c>
    </row>
    <row r="1694" spans="1:3" hidden="1">
      <c r="A1694" s="65">
        <v>9003104</v>
      </c>
      <c r="B1694" s="65" t="s">
        <v>2422</v>
      </c>
      <c r="C1694" s="65" t="s">
        <v>793</v>
      </c>
    </row>
    <row r="1695" spans="1:3" hidden="1">
      <c r="A1695" s="65">
        <v>9003105</v>
      </c>
      <c r="B1695" s="65" t="s">
        <v>2423</v>
      </c>
      <c r="C1695" s="65" t="s">
        <v>793</v>
      </c>
    </row>
    <row r="1696" spans="1:3" hidden="1">
      <c r="A1696" s="65">
        <v>9003106</v>
      </c>
      <c r="B1696" s="65" t="s">
        <v>2424</v>
      </c>
      <c r="C1696" s="65" t="s">
        <v>793</v>
      </c>
    </row>
    <row r="1697" spans="1:3" hidden="1">
      <c r="A1697" s="65">
        <v>9003107</v>
      </c>
      <c r="B1697" s="65" t="s">
        <v>2425</v>
      </c>
      <c r="C1697" s="65" t="s">
        <v>793</v>
      </c>
    </row>
    <row r="1698" spans="1:3" hidden="1">
      <c r="A1698" s="65">
        <v>9003108</v>
      </c>
      <c r="B1698" s="65" t="s">
        <v>2426</v>
      </c>
      <c r="C1698" s="65" t="s">
        <v>793</v>
      </c>
    </row>
    <row r="1699" spans="1:3" hidden="1">
      <c r="A1699" s="65">
        <v>9003109</v>
      </c>
      <c r="B1699" s="65" t="s">
        <v>2427</v>
      </c>
      <c r="C1699" s="65" t="s">
        <v>793</v>
      </c>
    </row>
    <row r="1700" spans="1:3" hidden="1">
      <c r="A1700" s="65">
        <v>9003110</v>
      </c>
      <c r="B1700" s="65" t="s">
        <v>2428</v>
      </c>
      <c r="C1700" s="65" t="s">
        <v>793</v>
      </c>
    </row>
    <row r="1701" spans="1:3" hidden="1">
      <c r="A1701" s="65">
        <v>9003111</v>
      </c>
      <c r="B1701" s="65" t="s">
        <v>2429</v>
      </c>
      <c r="C1701" s="65" t="s">
        <v>793</v>
      </c>
    </row>
    <row r="1702" spans="1:3" hidden="1">
      <c r="A1702" s="65">
        <v>9003112</v>
      </c>
      <c r="B1702" s="65" t="s">
        <v>2430</v>
      </c>
      <c r="C1702" s="65" t="s">
        <v>793</v>
      </c>
    </row>
    <row r="1703" spans="1:3" hidden="1">
      <c r="A1703" s="65">
        <v>9003113</v>
      </c>
      <c r="B1703" s="65" t="s">
        <v>2431</v>
      </c>
      <c r="C1703" s="65" t="s">
        <v>793</v>
      </c>
    </row>
    <row r="1704" spans="1:3" hidden="1">
      <c r="A1704" s="65">
        <v>9003114</v>
      </c>
      <c r="B1704" s="65" t="s">
        <v>2432</v>
      </c>
      <c r="C1704" s="65" t="s">
        <v>793</v>
      </c>
    </row>
    <row r="1705" spans="1:3" hidden="1">
      <c r="A1705" s="65">
        <v>9003115</v>
      </c>
      <c r="B1705" s="65" t="s">
        <v>2433</v>
      </c>
      <c r="C1705" s="65" t="s">
        <v>786</v>
      </c>
    </row>
    <row r="1706" spans="1:3" hidden="1">
      <c r="A1706" s="65">
        <v>9003116</v>
      </c>
      <c r="B1706" s="65" t="s">
        <v>2434</v>
      </c>
      <c r="C1706" s="65" t="s">
        <v>793</v>
      </c>
    </row>
    <row r="1707" spans="1:3" hidden="1">
      <c r="A1707" s="65">
        <v>9003117</v>
      </c>
      <c r="B1707" s="65" t="s">
        <v>2435</v>
      </c>
      <c r="C1707" s="65" t="s">
        <v>793</v>
      </c>
    </row>
    <row r="1708" spans="1:3" hidden="1">
      <c r="A1708" s="65">
        <v>9003118</v>
      </c>
      <c r="B1708" s="65" t="s">
        <v>2436</v>
      </c>
      <c r="C1708" s="65" t="s">
        <v>786</v>
      </c>
    </row>
    <row r="1709" spans="1:3" hidden="1">
      <c r="A1709" s="65">
        <v>9003119</v>
      </c>
      <c r="B1709" s="65" t="s">
        <v>2437</v>
      </c>
      <c r="C1709" s="65" t="s">
        <v>793</v>
      </c>
    </row>
    <row r="1710" spans="1:3" hidden="1">
      <c r="A1710" s="65">
        <v>9003120</v>
      </c>
      <c r="B1710" s="65" t="s">
        <v>2438</v>
      </c>
      <c r="C1710" s="65" t="s">
        <v>793</v>
      </c>
    </row>
    <row r="1711" spans="1:3" hidden="1">
      <c r="A1711" s="65">
        <v>9003121</v>
      </c>
      <c r="B1711" s="65" t="s">
        <v>2439</v>
      </c>
      <c r="C1711" s="65" t="s">
        <v>793</v>
      </c>
    </row>
    <row r="1712" spans="1:3" hidden="1">
      <c r="A1712" s="65">
        <v>9003122</v>
      </c>
      <c r="B1712" s="65" t="s">
        <v>2440</v>
      </c>
      <c r="C1712" s="65" t="s">
        <v>786</v>
      </c>
    </row>
    <row r="1713" spans="1:3" hidden="1">
      <c r="A1713" s="65">
        <v>9003123</v>
      </c>
      <c r="B1713" s="65" t="s">
        <v>2441</v>
      </c>
      <c r="C1713" s="65" t="s">
        <v>793</v>
      </c>
    </row>
    <row r="1714" spans="1:3" hidden="1">
      <c r="A1714" s="65">
        <v>9003124</v>
      </c>
      <c r="B1714" s="65" t="s">
        <v>2442</v>
      </c>
      <c r="C1714" s="65" t="s">
        <v>786</v>
      </c>
    </row>
    <row r="1715" spans="1:3" hidden="1">
      <c r="A1715" s="65">
        <v>9003125</v>
      </c>
      <c r="B1715" s="65" t="s">
        <v>2443</v>
      </c>
      <c r="C1715" s="65" t="s">
        <v>793</v>
      </c>
    </row>
    <row r="1716" spans="1:3" hidden="1">
      <c r="A1716" s="65">
        <v>9003126</v>
      </c>
      <c r="B1716" s="65" t="s">
        <v>2444</v>
      </c>
      <c r="C1716" s="65" t="s">
        <v>793</v>
      </c>
    </row>
    <row r="1717" spans="1:3" hidden="1">
      <c r="A1717" s="65">
        <v>9003127</v>
      </c>
      <c r="B1717" s="65" t="s">
        <v>2445</v>
      </c>
      <c r="C1717" s="65" t="s">
        <v>793</v>
      </c>
    </row>
    <row r="1718" spans="1:3" hidden="1">
      <c r="A1718" s="65">
        <v>9003128</v>
      </c>
      <c r="B1718" s="65" t="s">
        <v>2446</v>
      </c>
      <c r="C1718" s="65" t="s">
        <v>793</v>
      </c>
    </row>
    <row r="1719" spans="1:3" hidden="1">
      <c r="A1719" s="65">
        <v>9003129</v>
      </c>
      <c r="B1719" s="65" t="s">
        <v>2447</v>
      </c>
      <c r="C1719" s="65" t="s">
        <v>793</v>
      </c>
    </row>
    <row r="1720" spans="1:3" hidden="1">
      <c r="A1720" s="65">
        <v>9003130</v>
      </c>
      <c r="B1720" s="65" t="s">
        <v>2448</v>
      </c>
      <c r="C1720" s="65" t="s">
        <v>1312</v>
      </c>
    </row>
    <row r="1721" spans="1:3" hidden="1">
      <c r="A1721" s="65">
        <v>9003131</v>
      </c>
      <c r="B1721" s="65" t="s">
        <v>2449</v>
      </c>
      <c r="C1721" s="65" t="s">
        <v>793</v>
      </c>
    </row>
    <row r="1722" spans="1:3" hidden="1">
      <c r="A1722" s="65">
        <v>9003132</v>
      </c>
      <c r="B1722" s="65" t="s">
        <v>2450</v>
      </c>
      <c r="C1722" s="65" t="s">
        <v>793</v>
      </c>
    </row>
    <row r="1723" spans="1:3" hidden="1">
      <c r="A1723" s="65">
        <v>9003133</v>
      </c>
      <c r="B1723" s="65" t="s">
        <v>2451</v>
      </c>
      <c r="C1723" s="65" t="s">
        <v>793</v>
      </c>
    </row>
    <row r="1724" spans="1:3" hidden="1">
      <c r="A1724" s="65">
        <v>9003134</v>
      </c>
      <c r="B1724" s="65" t="s">
        <v>2452</v>
      </c>
      <c r="C1724" s="65" t="s">
        <v>793</v>
      </c>
    </row>
    <row r="1725" spans="1:3" hidden="1">
      <c r="A1725" s="65">
        <v>9003135</v>
      </c>
      <c r="B1725" s="65" t="s">
        <v>2453</v>
      </c>
      <c r="C1725" s="65" t="s">
        <v>805</v>
      </c>
    </row>
    <row r="1726" spans="1:3" hidden="1">
      <c r="A1726" s="65">
        <v>9003136</v>
      </c>
      <c r="B1726" s="65" t="s">
        <v>2454</v>
      </c>
      <c r="C1726" s="65" t="s">
        <v>805</v>
      </c>
    </row>
    <row r="1727" spans="1:3" hidden="1">
      <c r="A1727" s="65">
        <v>9003137</v>
      </c>
      <c r="B1727" s="65" t="s">
        <v>2455</v>
      </c>
      <c r="C1727" s="65" t="s">
        <v>805</v>
      </c>
    </row>
    <row r="1728" spans="1:3" hidden="1">
      <c r="A1728" s="65">
        <v>9003138</v>
      </c>
      <c r="B1728" s="65" t="s">
        <v>2456</v>
      </c>
      <c r="C1728" s="65" t="s">
        <v>805</v>
      </c>
    </row>
    <row r="1729" spans="1:3" hidden="1">
      <c r="A1729" s="65">
        <v>9003139</v>
      </c>
      <c r="B1729" s="65" t="s">
        <v>2457</v>
      </c>
      <c r="C1729" s="65" t="s">
        <v>805</v>
      </c>
    </row>
    <row r="1730" spans="1:3" hidden="1">
      <c r="A1730" s="65">
        <v>9003140</v>
      </c>
      <c r="B1730" s="65" t="s">
        <v>2458</v>
      </c>
      <c r="C1730" s="65" t="s">
        <v>805</v>
      </c>
    </row>
    <row r="1731" spans="1:3" hidden="1">
      <c r="A1731" s="65">
        <v>9003141</v>
      </c>
      <c r="B1731" s="65" t="s">
        <v>2459</v>
      </c>
      <c r="C1731" s="65" t="s">
        <v>805</v>
      </c>
    </row>
    <row r="1732" spans="1:3" hidden="1">
      <c r="A1732" s="65">
        <v>9003142</v>
      </c>
      <c r="B1732" s="65" t="s">
        <v>2460</v>
      </c>
      <c r="C1732" s="65" t="s">
        <v>793</v>
      </c>
    </row>
    <row r="1733" spans="1:3" hidden="1">
      <c r="A1733" s="65">
        <v>9003143</v>
      </c>
      <c r="B1733" s="65" t="s">
        <v>2461</v>
      </c>
      <c r="C1733" s="65" t="s">
        <v>793</v>
      </c>
    </row>
    <row r="1734" spans="1:3" hidden="1">
      <c r="A1734" s="65">
        <v>9003144</v>
      </c>
      <c r="B1734" s="65" t="s">
        <v>2462</v>
      </c>
      <c r="C1734" s="65" t="s">
        <v>793</v>
      </c>
    </row>
    <row r="1735" spans="1:3" hidden="1">
      <c r="A1735" s="65">
        <v>9003145</v>
      </c>
      <c r="B1735" s="65" t="s">
        <v>2463</v>
      </c>
      <c r="C1735" s="65" t="s">
        <v>738</v>
      </c>
    </row>
    <row r="1736" spans="1:3" hidden="1">
      <c r="A1736" s="65">
        <v>9003146</v>
      </c>
      <c r="B1736" s="65" t="s">
        <v>2464</v>
      </c>
      <c r="C1736" s="65" t="s">
        <v>738</v>
      </c>
    </row>
    <row r="1737" spans="1:3" hidden="1">
      <c r="A1737" s="65">
        <v>9003147</v>
      </c>
      <c r="B1737" s="65" t="s">
        <v>2465</v>
      </c>
      <c r="C1737" s="65" t="s">
        <v>738</v>
      </c>
    </row>
    <row r="1738" spans="1:3" hidden="1">
      <c r="A1738" s="65">
        <v>9003148</v>
      </c>
      <c r="B1738" s="65" t="s">
        <v>2466</v>
      </c>
      <c r="C1738" s="65" t="s">
        <v>738</v>
      </c>
    </row>
    <row r="1739" spans="1:3" hidden="1">
      <c r="A1739" s="65">
        <v>9003149</v>
      </c>
      <c r="B1739" s="65" t="s">
        <v>2467</v>
      </c>
      <c r="C1739" s="65" t="s">
        <v>738</v>
      </c>
    </row>
    <row r="1740" spans="1:3" hidden="1">
      <c r="A1740" s="65">
        <v>9003150</v>
      </c>
      <c r="B1740" s="65" t="s">
        <v>2468</v>
      </c>
      <c r="C1740" s="65" t="s">
        <v>738</v>
      </c>
    </row>
    <row r="1741" spans="1:3" hidden="1">
      <c r="A1741" s="65">
        <v>9003151</v>
      </c>
      <c r="B1741" s="65" t="s">
        <v>2469</v>
      </c>
      <c r="C1741" s="65" t="s">
        <v>738</v>
      </c>
    </row>
    <row r="1742" spans="1:3" hidden="1">
      <c r="A1742" s="65">
        <v>9003152</v>
      </c>
      <c r="B1742" s="65" t="s">
        <v>2470</v>
      </c>
      <c r="C1742" s="65" t="s">
        <v>738</v>
      </c>
    </row>
    <row r="1743" spans="1:3" hidden="1">
      <c r="A1743" s="65">
        <v>9003153</v>
      </c>
      <c r="B1743" s="65" t="s">
        <v>2471</v>
      </c>
      <c r="C1743" s="65" t="s">
        <v>738</v>
      </c>
    </row>
    <row r="1744" spans="1:3" hidden="1">
      <c r="A1744" s="65">
        <v>9003154</v>
      </c>
      <c r="B1744" s="65" t="s">
        <v>2472</v>
      </c>
      <c r="C1744" s="65" t="s">
        <v>738</v>
      </c>
    </row>
    <row r="1745" spans="1:3" hidden="1">
      <c r="A1745" s="65">
        <v>9003155</v>
      </c>
      <c r="B1745" s="65" t="s">
        <v>2473</v>
      </c>
      <c r="C1745" s="65" t="s">
        <v>738</v>
      </c>
    </row>
    <row r="1746" spans="1:3" hidden="1">
      <c r="A1746" s="65">
        <v>9003156</v>
      </c>
      <c r="B1746" s="65" t="s">
        <v>2474</v>
      </c>
      <c r="C1746" s="65" t="s">
        <v>738</v>
      </c>
    </row>
    <row r="1747" spans="1:3" hidden="1">
      <c r="A1747" s="65">
        <v>9003157</v>
      </c>
      <c r="B1747" s="65" t="s">
        <v>2475</v>
      </c>
      <c r="C1747" s="65" t="s">
        <v>738</v>
      </c>
    </row>
    <row r="1748" spans="1:3" hidden="1">
      <c r="A1748" s="65">
        <v>9003158</v>
      </c>
      <c r="B1748" s="65" t="s">
        <v>2476</v>
      </c>
      <c r="C1748" s="65" t="s">
        <v>738</v>
      </c>
    </row>
    <row r="1749" spans="1:3" hidden="1">
      <c r="A1749" s="65">
        <v>9003159</v>
      </c>
      <c r="B1749" s="65" t="s">
        <v>2477</v>
      </c>
      <c r="C1749" s="65" t="s">
        <v>738</v>
      </c>
    </row>
    <row r="1750" spans="1:3" hidden="1">
      <c r="A1750" s="65">
        <v>9003160</v>
      </c>
      <c r="B1750" s="65" t="s">
        <v>2478</v>
      </c>
      <c r="C1750" s="65" t="s">
        <v>738</v>
      </c>
    </row>
    <row r="1751" spans="1:3" hidden="1">
      <c r="A1751" s="65">
        <v>9003161</v>
      </c>
      <c r="B1751" s="65" t="s">
        <v>2479</v>
      </c>
      <c r="C1751" s="65" t="s">
        <v>738</v>
      </c>
    </row>
    <row r="1752" spans="1:3" hidden="1">
      <c r="A1752" s="65">
        <v>9003162</v>
      </c>
      <c r="B1752" s="65" t="s">
        <v>2480</v>
      </c>
      <c r="C1752" s="65" t="s">
        <v>738</v>
      </c>
    </row>
    <row r="1753" spans="1:3" hidden="1">
      <c r="A1753" s="65">
        <v>9003163</v>
      </c>
      <c r="B1753" s="65" t="s">
        <v>2481</v>
      </c>
      <c r="C1753" s="65" t="s">
        <v>1111</v>
      </c>
    </row>
    <row r="1754" spans="1:3" hidden="1">
      <c r="A1754" s="65">
        <v>9003164</v>
      </c>
      <c r="B1754" s="65" t="s">
        <v>2482</v>
      </c>
      <c r="C1754" s="65" t="s">
        <v>1111</v>
      </c>
    </row>
    <row r="1755" spans="1:3" hidden="1">
      <c r="A1755" s="65">
        <v>9003165</v>
      </c>
      <c r="B1755" s="65" t="s">
        <v>2483</v>
      </c>
      <c r="C1755" s="65" t="s">
        <v>805</v>
      </c>
    </row>
    <row r="1756" spans="1:3" hidden="1">
      <c r="A1756" s="65">
        <v>9003166</v>
      </c>
      <c r="B1756" s="65" t="s">
        <v>2484</v>
      </c>
      <c r="C1756" s="65" t="s">
        <v>738</v>
      </c>
    </row>
    <row r="1757" spans="1:3" hidden="1">
      <c r="A1757" s="65">
        <v>9003167</v>
      </c>
      <c r="B1757" s="65" t="s">
        <v>2485</v>
      </c>
      <c r="C1757" s="65" t="s">
        <v>738</v>
      </c>
    </row>
    <row r="1758" spans="1:3" hidden="1">
      <c r="A1758" s="65">
        <v>9003168</v>
      </c>
      <c r="B1758" s="65" t="s">
        <v>2486</v>
      </c>
      <c r="C1758" s="65" t="s">
        <v>677</v>
      </c>
    </row>
    <row r="1759" spans="1:3" hidden="1">
      <c r="A1759" s="65">
        <v>9003169</v>
      </c>
      <c r="B1759" s="65" t="s">
        <v>2487</v>
      </c>
      <c r="C1759" s="65" t="s">
        <v>793</v>
      </c>
    </row>
    <row r="1760" spans="1:3" hidden="1">
      <c r="A1760" s="65">
        <v>9003170</v>
      </c>
      <c r="B1760" s="65" t="s">
        <v>2488</v>
      </c>
      <c r="C1760" s="65" t="s">
        <v>1111</v>
      </c>
    </row>
    <row r="1761" spans="1:3" hidden="1">
      <c r="A1761" s="65">
        <v>9003171</v>
      </c>
      <c r="B1761" s="65" t="s">
        <v>2489</v>
      </c>
      <c r="C1761" s="65" t="s">
        <v>1111</v>
      </c>
    </row>
    <row r="1762" spans="1:3" hidden="1">
      <c r="A1762" s="65">
        <v>9003172</v>
      </c>
      <c r="B1762" s="65" t="s">
        <v>2490</v>
      </c>
      <c r="C1762" s="65" t="s">
        <v>1111</v>
      </c>
    </row>
    <row r="1763" spans="1:3" hidden="1">
      <c r="A1763" s="65">
        <v>9003173</v>
      </c>
      <c r="B1763" s="65" t="s">
        <v>2491</v>
      </c>
      <c r="C1763" s="65" t="s">
        <v>793</v>
      </c>
    </row>
    <row r="1764" spans="1:3" hidden="1">
      <c r="A1764" s="65">
        <v>9003174</v>
      </c>
      <c r="B1764" s="65" t="s">
        <v>2492</v>
      </c>
      <c r="C1764" s="65" t="s">
        <v>1111</v>
      </c>
    </row>
    <row r="1765" spans="1:3" hidden="1">
      <c r="A1765" s="65">
        <v>9003175</v>
      </c>
      <c r="B1765" s="65" t="s">
        <v>2493</v>
      </c>
      <c r="C1765" s="65" t="s">
        <v>793</v>
      </c>
    </row>
    <row r="1766" spans="1:3" hidden="1">
      <c r="A1766" s="65">
        <v>9003176</v>
      </c>
      <c r="B1766" s="65" t="s">
        <v>2494</v>
      </c>
      <c r="C1766" s="65" t="s">
        <v>1111</v>
      </c>
    </row>
    <row r="1767" spans="1:3" hidden="1">
      <c r="A1767" s="65">
        <v>9003177</v>
      </c>
      <c r="B1767" s="65" t="s">
        <v>2495</v>
      </c>
      <c r="C1767" s="65" t="s">
        <v>793</v>
      </c>
    </row>
    <row r="1768" spans="1:3" hidden="1">
      <c r="A1768" s="65">
        <v>9003178</v>
      </c>
      <c r="B1768" s="65" t="s">
        <v>2496</v>
      </c>
      <c r="C1768" s="65" t="s">
        <v>1111</v>
      </c>
    </row>
    <row r="1769" spans="1:3" hidden="1">
      <c r="A1769" s="65">
        <v>9003179</v>
      </c>
      <c r="B1769" s="65" t="s">
        <v>2497</v>
      </c>
      <c r="C1769" s="65" t="s">
        <v>793</v>
      </c>
    </row>
    <row r="1770" spans="1:3" hidden="1">
      <c r="A1770" s="65">
        <v>9003180</v>
      </c>
      <c r="B1770" s="65" t="s">
        <v>2498</v>
      </c>
      <c r="C1770" s="65" t="s">
        <v>793</v>
      </c>
    </row>
    <row r="1771" spans="1:3" hidden="1">
      <c r="A1771" s="65">
        <v>9003181</v>
      </c>
      <c r="B1771" s="65" t="s">
        <v>2499</v>
      </c>
      <c r="C1771" s="65" t="s">
        <v>793</v>
      </c>
    </row>
    <row r="1772" spans="1:3" hidden="1">
      <c r="A1772" s="65">
        <v>9003182</v>
      </c>
      <c r="B1772" s="65" t="s">
        <v>2500</v>
      </c>
      <c r="C1772" s="65" t="s">
        <v>793</v>
      </c>
    </row>
    <row r="1773" spans="1:3" hidden="1">
      <c r="A1773" s="65">
        <v>9003183</v>
      </c>
      <c r="B1773" s="65" t="s">
        <v>2501</v>
      </c>
      <c r="C1773" s="65" t="s">
        <v>793</v>
      </c>
    </row>
    <row r="1774" spans="1:3" hidden="1">
      <c r="A1774" s="65">
        <v>9003184</v>
      </c>
      <c r="B1774" s="65" t="s">
        <v>2502</v>
      </c>
      <c r="C1774" s="65" t="s">
        <v>793</v>
      </c>
    </row>
    <row r="1775" spans="1:3" hidden="1">
      <c r="A1775" s="65">
        <v>9003185</v>
      </c>
      <c r="B1775" s="65" t="s">
        <v>2503</v>
      </c>
      <c r="C1775" s="65" t="s">
        <v>793</v>
      </c>
    </row>
    <row r="1776" spans="1:3" hidden="1">
      <c r="A1776" s="65">
        <v>9003186</v>
      </c>
      <c r="B1776" s="65" t="s">
        <v>2504</v>
      </c>
      <c r="C1776" s="65" t="s">
        <v>793</v>
      </c>
    </row>
    <row r="1777" spans="1:3" hidden="1">
      <c r="A1777" s="65">
        <v>9003187</v>
      </c>
      <c r="B1777" s="65" t="s">
        <v>2505</v>
      </c>
      <c r="C1777" s="65" t="s">
        <v>793</v>
      </c>
    </row>
    <row r="1778" spans="1:3" hidden="1">
      <c r="A1778" s="65">
        <v>9003188</v>
      </c>
      <c r="B1778" s="65" t="s">
        <v>2506</v>
      </c>
      <c r="C1778" s="65" t="s">
        <v>793</v>
      </c>
    </row>
    <row r="1779" spans="1:3" hidden="1">
      <c r="A1779" s="65">
        <v>9003189</v>
      </c>
      <c r="B1779" s="65" t="s">
        <v>2507</v>
      </c>
      <c r="C1779" s="65" t="s">
        <v>805</v>
      </c>
    </row>
    <row r="1780" spans="1:3" hidden="1">
      <c r="A1780" s="65">
        <v>9003190</v>
      </c>
      <c r="B1780" s="65" t="s">
        <v>2508</v>
      </c>
      <c r="C1780" s="65" t="s">
        <v>805</v>
      </c>
    </row>
    <row r="1781" spans="1:3" hidden="1">
      <c r="A1781" s="65">
        <v>9003191</v>
      </c>
      <c r="B1781" s="65" t="s">
        <v>2509</v>
      </c>
      <c r="C1781" s="65" t="s">
        <v>805</v>
      </c>
    </row>
    <row r="1782" spans="1:3" hidden="1">
      <c r="A1782" s="65">
        <v>9003192</v>
      </c>
      <c r="B1782" s="65" t="s">
        <v>2510</v>
      </c>
      <c r="C1782" s="65" t="s">
        <v>793</v>
      </c>
    </row>
    <row r="1783" spans="1:3" hidden="1">
      <c r="A1783" s="65">
        <v>9003193</v>
      </c>
      <c r="B1783" s="65" t="s">
        <v>2511</v>
      </c>
      <c r="C1783" s="65" t="s">
        <v>793</v>
      </c>
    </row>
    <row r="1784" spans="1:3" hidden="1">
      <c r="A1784" s="65">
        <v>9003194</v>
      </c>
      <c r="B1784" s="65" t="s">
        <v>2512</v>
      </c>
      <c r="C1784" s="65" t="s">
        <v>793</v>
      </c>
    </row>
    <row r="1785" spans="1:3" hidden="1">
      <c r="A1785" s="65">
        <v>9003195</v>
      </c>
      <c r="B1785" s="65" t="s">
        <v>2513</v>
      </c>
      <c r="C1785" s="65" t="s">
        <v>793</v>
      </c>
    </row>
    <row r="1786" spans="1:3" hidden="1">
      <c r="A1786" s="65">
        <v>9003196</v>
      </c>
      <c r="B1786" s="65" t="s">
        <v>2514</v>
      </c>
      <c r="C1786" s="65" t="s">
        <v>793</v>
      </c>
    </row>
    <row r="1787" spans="1:3" hidden="1">
      <c r="A1787" s="65">
        <v>9003197</v>
      </c>
      <c r="B1787" s="65" t="s">
        <v>2515</v>
      </c>
      <c r="C1787" s="65" t="s">
        <v>793</v>
      </c>
    </row>
    <row r="1788" spans="1:3" hidden="1">
      <c r="A1788" s="65">
        <v>9003198</v>
      </c>
      <c r="B1788" s="65" t="s">
        <v>2516</v>
      </c>
      <c r="C1788" s="65" t="s">
        <v>793</v>
      </c>
    </row>
    <row r="1789" spans="1:3" hidden="1">
      <c r="A1789" s="65">
        <v>9003199</v>
      </c>
      <c r="B1789" s="65" t="s">
        <v>2517</v>
      </c>
      <c r="C1789" s="65" t="s">
        <v>793</v>
      </c>
    </row>
    <row r="1790" spans="1:3" hidden="1">
      <c r="A1790" s="65">
        <v>9003200</v>
      </c>
      <c r="B1790" s="65" t="s">
        <v>2518</v>
      </c>
      <c r="C1790" s="65" t="s">
        <v>793</v>
      </c>
    </row>
    <row r="1791" spans="1:3" hidden="1">
      <c r="A1791" s="65">
        <v>9003201</v>
      </c>
      <c r="B1791" s="65" t="s">
        <v>2519</v>
      </c>
      <c r="C1791" s="65" t="s">
        <v>793</v>
      </c>
    </row>
    <row r="1792" spans="1:3" hidden="1">
      <c r="A1792" s="65">
        <v>9003202</v>
      </c>
      <c r="B1792" s="65" t="s">
        <v>2520</v>
      </c>
      <c r="C1792" s="65" t="s">
        <v>793</v>
      </c>
    </row>
    <row r="1793" spans="1:3" hidden="1">
      <c r="A1793" s="65">
        <v>9003203</v>
      </c>
      <c r="B1793" s="65" t="s">
        <v>2521</v>
      </c>
      <c r="C1793" s="65" t="s">
        <v>793</v>
      </c>
    </row>
    <row r="1794" spans="1:3" hidden="1">
      <c r="A1794" s="65">
        <v>9003204</v>
      </c>
      <c r="B1794" s="65" t="s">
        <v>2522</v>
      </c>
      <c r="C1794" s="65" t="s">
        <v>793</v>
      </c>
    </row>
    <row r="1795" spans="1:3" hidden="1">
      <c r="A1795" s="65">
        <v>9003205</v>
      </c>
      <c r="B1795" s="65" t="s">
        <v>2523</v>
      </c>
      <c r="C1795" s="65" t="s">
        <v>793</v>
      </c>
    </row>
    <row r="1796" spans="1:3" hidden="1">
      <c r="A1796" s="65">
        <v>9003206</v>
      </c>
      <c r="B1796" s="65" t="s">
        <v>2524</v>
      </c>
      <c r="C1796" s="65" t="s">
        <v>793</v>
      </c>
    </row>
    <row r="1797" spans="1:3" hidden="1">
      <c r="A1797" s="65">
        <v>9003207</v>
      </c>
      <c r="B1797" s="65" t="s">
        <v>2525</v>
      </c>
      <c r="C1797" s="65" t="s">
        <v>793</v>
      </c>
    </row>
    <row r="1798" spans="1:3" hidden="1">
      <c r="A1798" s="65">
        <v>9003208</v>
      </c>
      <c r="B1798" s="65" t="s">
        <v>2526</v>
      </c>
      <c r="C1798" s="65" t="s">
        <v>793</v>
      </c>
    </row>
    <row r="1799" spans="1:3" hidden="1">
      <c r="A1799" s="65">
        <v>9003209</v>
      </c>
      <c r="B1799" s="65" t="s">
        <v>2527</v>
      </c>
      <c r="C1799" s="65" t="s">
        <v>793</v>
      </c>
    </row>
    <row r="1800" spans="1:3" hidden="1">
      <c r="A1800" s="65">
        <v>9003210</v>
      </c>
      <c r="B1800" s="65" t="s">
        <v>2528</v>
      </c>
      <c r="C1800" s="65" t="s">
        <v>793</v>
      </c>
    </row>
    <row r="1801" spans="1:3" hidden="1">
      <c r="A1801" s="65">
        <v>9003211</v>
      </c>
      <c r="B1801" s="65" t="s">
        <v>2529</v>
      </c>
      <c r="C1801" s="65" t="s">
        <v>793</v>
      </c>
    </row>
    <row r="1802" spans="1:3" hidden="1">
      <c r="A1802" s="65">
        <v>9003212</v>
      </c>
      <c r="B1802" s="65" t="s">
        <v>2530</v>
      </c>
      <c r="C1802" s="65" t="s">
        <v>793</v>
      </c>
    </row>
    <row r="1803" spans="1:3" hidden="1">
      <c r="A1803" s="65">
        <v>9003213</v>
      </c>
      <c r="B1803" s="65" t="s">
        <v>2531</v>
      </c>
      <c r="C1803" s="65" t="s">
        <v>793</v>
      </c>
    </row>
    <row r="1804" spans="1:3" hidden="1">
      <c r="A1804" s="65">
        <v>9003214</v>
      </c>
      <c r="B1804" s="65" t="s">
        <v>2532</v>
      </c>
      <c r="C1804" s="65" t="s">
        <v>793</v>
      </c>
    </row>
    <row r="1805" spans="1:3" hidden="1">
      <c r="A1805" s="65">
        <v>9003215</v>
      </c>
      <c r="B1805" s="65" t="s">
        <v>2533</v>
      </c>
      <c r="C1805" s="65" t="s">
        <v>793</v>
      </c>
    </row>
    <row r="1806" spans="1:3" hidden="1">
      <c r="A1806" s="65">
        <v>9003216</v>
      </c>
      <c r="B1806" s="65" t="s">
        <v>2534</v>
      </c>
      <c r="C1806" s="65" t="s">
        <v>793</v>
      </c>
    </row>
    <row r="1807" spans="1:3" hidden="1">
      <c r="A1807" s="65">
        <v>9003217</v>
      </c>
      <c r="B1807" s="65" t="s">
        <v>2535</v>
      </c>
      <c r="C1807" s="65" t="s">
        <v>793</v>
      </c>
    </row>
    <row r="1808" spans="1:3" hidden="1">
      <c r="A1808" s="65">
        <v>9003218</v>
      </c>
      <c r="B1808" s="65" t="s">
        <v>2536</v>
      </c>
      <c r="C1808" s="65" t="s">
        <v>793</v>
      </c>
    </row>
    <row r="1809" spans="1:3" hidden="1">
      <c r="A1809" s="65">
        <v>9003219</v>
      </c>
      <c r="B1809" s="65" t="s">
        <v>2537</v>
      </c>
      <c r="C1809" s="65" t="s">
        <v>793</v>
      </c>
    </row>
    <row r="1810" spans="1:3" hidden="1">
      <c r="A1810" s="65">
        <v>9003220</v>
      </c>
      <c r="B1810" s="65" t="s">
        <v>2538</v>
      </c>
      <c r="C1810" s="65" t="s">
        <v>793</v>
      </c>
    </row>
    <row r="1811" spans="1:3" hidden="1">
      <c r="A1811" s="65">
        <v>9003221</v>
      </c>
      <c r="B1811" s="65" t="s">
        <v>2539</v>
      </c>
      <c r="C1811" s="65" t="s">
        <v>793</v>
      </c>
    </row>
    <row r="1812" spans="1:3" hidden="1">
      <c r="A1812" s="65">
        <v>9003222</v>
      </c>
      <c r="B1812" s="65" t="s">
        <v>2540</v>
      </c>
      <c r="C1812" s="65" t="s">
        <v>793</v>
      </c>
    </row>
    <row r="1813" spans="1:3" hidden="1">
      <c r="A1813" s="65">
        <v>9003223</v>
      </c>
      <c r="B1813" s="65" t="s">
        <v>2541</v>
      </c>
      <c r="C1813" s="65" t="s">
        <v>793</v>
      </c>
    </row>
    <row r="1814" spans="1:3" hidden="1">
      <c r="A1814" s="65">
        <v>9003224</v>
      </c>
      <c r="B1814" s="65" t="s">
        <v>2542</v>
      </c>
      <c r="C1814" s="65" t="s">
        <v>793</v>
      </c>
    </row>
    <row r="1815" spans="1:3" hidden="1">
      <c r="A1815" s="65">
        <v>9003225</v>
      </c>
      <c r="B1815" s="65" t="s">
        <v>2543</v>
      </c>
      <c r="C1815" s="65" t="s">
        <v>793</v>
      </c>
    </row>
    <row r="1816" spans="1:3" hidden="1">
      <c r="A1816" s="65">
        <v>9003226</v>
      </c>
      <c r="B1816" s="65" t="s">
        <v>2544</v>
      </c>
      <c r="C1816" s="65" t="s">
        <v>793</v>
      </c>
    </row>
    <row r="1817" spans="1:3" hidden="1">
      <c r="A1817" s="65">
        <v>9003227</v>
      </c>
      <c r="B1817" s="65" t="s">
        <v>2545</v>
      </c>
      <c r="C1817" s="65" t="s">
        <v>793</v>
      </c>
    </row>
    <row r="1818" spans="1:3" hidden="1">
      <c r="A1818" s="65">
        <v>9003228</v>
      </c>
      <c r="B1818" s="65" t="s">
        <v>2546</v>
      </c>
      <c r="C1818" s="65" t="s">
        <v>793</v>
      </c>
    </row>
    <row r="1819" spans="1:3" hidden="1">
      <c r="A1819" s="65">
        <v>9003229</v>
      </c>
      <c r="B1819" s="65" t="s">
        <v>2547</v>
      </c>
      <c r="C1819" s="65" t="s">
        <v>793</v>
      </c>
    </row>
    <row r="1820" spans="1:3" hidden="1">
      <c r="A1820" s="65">
        <v>9003230</v>
      </c>
      <c r="B1820" s="65" t="s">
        <v>2548</v>
      </c>
      <c r="C1820" s="65" t="s">
        <v>793</v>
      </c>
    </row>
    <row r="1821" spans="1:3" hidden="1">
      <c r="A1821" s="65">
        <v>9003231</v>
      </c>
      <c r="B1821" s="65" t="s">
        <v>2549</v>
      </c>
      <c r="C1821" s="65" t="s">
        <v>793</v>
      </c>
    </row>
    <row r="1822" spans="1:3" hidden="1">
      <c r="A1822" s="65">
        <v>9003232</v>
      </c>
      <c r="B1822" s="65" t="s">
        <v>2550</v>
      </c>
      <c r="C1822" s="65" t="s">
        <v>793</v>
      </c>
    </row>
    <row r="1823" spans="1:3" hidden="1">
      <c r="A1823" s="65">
        <v>9003233</v>
      </c>
      <c r="B1823" s="65" t="s">
        <v>2551</v>
      </c>
      <c r="C1823" s="65" t="s">
        <v>793</v>
      </c>
    </row>
    <row r="1824" spans="1:3" hidden="1">
      <c r="A1824" s="65">
        <v>9003234</v>
      </c>
      <c r="B1824" s="65" t="s">
        <v>2552</v>
      </c>
      <c r="C1824" s="65" t="s">
        <v>793</v>
      </c>
    </row>
    <row r="1825" spans="1:3" hidden="1">
      <c r="A1825" s="65">
        <v>9003235</v>
      </c>
      <c r="B1825" s="65" t="s">
        <v>2553</v>
      </c>
      <c r="C1825" s="65" t="s">
        <v>793</v>
      </c>
    </row>
    <row r="1826" spans="1:3" hidden="1">
      <c r="A1826" s="65">
        <v>9003236</v>
      </c>
      <c r="B1826" s="65" t="s">
        <v>2554</v>
      </c>
      <c r="C1826" s="65" t="s">
        <v>793</v>
      </c>
    </row>
    <row r="1827" spans="1:3" hidden="1">
      <c r="A1827" s="65">
        <v>9003237</v>
      </c>
      <c r="B1827" s="65" t="s">
        <v>2555</v>
      </c>
      <c r="C1827" s="65" t="s">
        <v>793</v>
      </c>
    </row>
    <row r="1828" spans="1:3" hidden="1">
      <c r="A1828" s="65">
        <v>9003238</v>
      </c>
      <c r="B1828" s="65" t="s">
        <v>2556</v>
      </c>
      <c r="C1828" s="65" t="s">
        <v>793</v>
      </c>
    </row>
    <row r="1829" spans="1:3" hidden="1">
      <c r="A1829" s="65">
        <v>9003239</v>
      </c>
      <c r="B1829" s="65" t="s">
        <v>2557</v>
      </c>
      <c r="C1829" s="65" t="s">
        <v>793</v>
      </c>
    </row>
    <row r="1830" spans="1:3" hidden="1">
      <c r="A1830" s="65">
        <v>9003240</v>
      </c>
      <c r="B1830" s="65" t="s">
        <v>2558</v>
      </c>
      <c r="C1830" s="65" t="s">
        <v>793</v>
      </c>
    </row>
    <row r="1831" spans="1:3" hidden="1">
      <c r="A1831" s="65">
        <v>9003241</v>
      </c>
      <c r="B1831" s="65" t="s">
        <v>2559</v>
      </c>
      <c r="C1831" s="65" t="s">
        <v>793</v>
      </c>
    </row>
    <row r="1832" spans="1:3" hidden="1">
      <c r="A1832" s="65">
        <v>9003242</v>
      </c>
      <c r="B1832" s="65" t="s">
        <v>2560</v>
      </c>
      <c r="C1832" s="65" t="s">
        <v>793</v>
      </c>
    </row>
    <row r="1833" spans="1:3" hidden="1">
      <c r="A1833" s="65">
        <v>9003243</v>
      </c>
      <c r="B1833" s="65" t="s">
        <v>2561</v>
      </c>
      <c r="C1833" s="65" t="s">
        <v>793</v>
      </c>
    </row>
    <row r="1834" spans="1:3" hidden="1">
      <c r="A1834" s="65">
        <v>9003244</v>
      </c>
      <c r="B1834" s="65" t="s">
        <v>2562</v>
      </c>
      <c r="C1834" s="65" t="s">
        <v>805</v>
      </c>
    </row>
    <row r="1835" spans="1:3" hidden="1">
      <c r="A1835" s="65">
        <v>9003245</v>
      </c>
      <c r="B1835" s="65" t="s">
        <v>2563</v>
      </c>
      <c r="C1835" s="65" t="s">
        <v>793</v>
      </c>
    </row>
    <row r="1836" spans="1:3" hidden="1">
      <c r="A1836" s="65">
        <v>9003246</v>
      </c>
      <c r="B1836" s="65" t="s">
        <v>2564</v>
      </c>
      <c r="C1836" s="65" t="s">
        <v>793</v>
      </c>
    </row>
    <row r="1837" spans="1:3" hidden="1">
      <c r="A1837" s="65">
        <v>9003247</v>
      </c>
      <c r="B1837" s="65" t="s">
        <v>2565</v>
      </c>
      <c r="C1837" s="65" t="s">
        <v>793</v>
      </c>
    </row>
    <row r="1838" spans="1:3" hidden="1">
      <c r="A1838" s="65">
        <v>9003248</v>
      </c>
      <c r="B1838" s="65" t="s">
        <v>2566</v>
      </c>
      <c r="C1838" s="65" t="s">
        <v>793</v>
      </c>
    </row>
    <row r="1839" spans="1:3" hidden="1">
      <c r="A1839" s="65">
        <v>9003249</v>
      </c>
      <c r="B1839" s="65" t="s">
        <v>2567</v>
      </c>
      <c r="C1839" s="65" t="s">
        <v>793</v>
      </c>
    </row>
    <row r="1840" spans="1:3" hidden="1">
      <c r="A1840" s="65">
        <v>9003250</v>
      </c>
      <c r="B1840" s="65" t="s">
        <v>2568</v>
      </c>
      <c r="C1840" s="65" t="s">
        <v>793</v>
      </c>
    </row>
    <row r="1841" spans="1:3" hidden="1">
      <c r="A1841" s="65">
        <v>9003251</v>
      </c>
      <c r="B1841" s="65" t="s">
        <v>2569</v>
      </c>
      <c r="C1841" s="65" t="s">
        <v>793</v>
      </c>
    </row>
    <row r="1842" spans="1:3" hidden="1">
      <c r="A1842" s="65">
        <v>9003252</v>
      </c>
      <c r="B1842" s="65" t="s">
        <v>2570</v>
      </c>
      <c r="C1842" s="65" t="s">
        <v>805</v>
      </c>
    </row>
    <row r="1843" spans="1:3" hidden="1">
      <c r="A1843" s="65">
        <v>9003253</v>
      </c>
      <c r="B1843" s="65" t="s">
        <v>2571</v>
      </c>
      <c r="C1843" s="65" t="s">
        <v>793</v>
      </c>
    </row>
    <row r="1844" spans="1:3" hidden="1">
      <c r="A1844" s="65">
        <v>9003254</v>
      </c>
      <c r="B1844" s="65" t="s">
        <v>2572</v>
      </c>
      <c r="C1844" s="65" t="s">
        <v>793</v>
      </c>
    </row>
    <row r="1845" spans="1:3" hidden="1">
      <c r="A1845" s="65">
        <v>9003255</v>
      </c>
      <c r="B1845" s="65" t="s">
        <v>2573</v>
      </c>
      <c r="C1845" s="65" t="s">
        <v>793</v>
      </c>
    </row>
    <row r="1846" spans="1:3" hidden="1">
      <c r="A1846" s="65">
        <v>9003256</v>
      </c>
      <c r="B1846" s="65" t="s">
        <v>2574</v>
      </c>
      <c r="C1846" s="65" t="s">
        <v>793</v>
      </c>
    </row>
    <row r="1847" spans="1:3" hidden="1">
      <c r="A1847" s="65">
        <v>9003257</v>
      </c>
      <c r="B1847" s="65" t="s">
        <v>2575</v>
      </c>
      <c r="C1847" s="65" t="s">
        <v>793</v>
      </c>
    </row>
    <row r="1848" spans="1:3" hidden="1">
      <c r="A1848" s="65">
        <v>9003258</v>
      </c>
      <c r="B1848" s="65" t="s">
        <v>2576</v>
      </c>
      <c r="C1848" s="65" t="s">
        <v>793</v>
      </c>
    </row>
    <row r="1849" spans="1:3" hidden="1">
      <c r="A1849" s="65">
        <v>9003259</v>
      </c>
      <c r="B1849" s="65" t="s">
        <v>2577</v>
      </c>
      <c r="C1849" s="65" t="s">
        <v>805</v>
      </c>
    </row>
    <row r="1850" spans="1:3" hidden="1">
      <c r="A1850" s="65">
        <v>9003260</v>
      </c>
      <c r="B1850" s="65" t="s">
        <v>2578</v>
      </c>
      <c r="C1850" s="65" t="s">
        <v>793</v>
      </c>
    </row>
    <row r="1851" spans="1:3" hidden="1">
      <c r="A1851" s="65">
        <v>9003261</v>
      </c>
      <c r="B1851" s="65" t="s">
        <v>2579</v>
      </c>
      <c r="C1851" s="65" t="s">
        <v>793</v>
      </c>
    </row>
    <row r="1852" spans="1:3" hidden="1">
      <c r="A1852" s="65">
        <v>9003262</v>
      </c>
      <c r="B1852" s="65" t="s">
        <v>2580</v>
      </c>
      <c r="C1852" s="65" t="s">
        <v>793</v>
      </c>
    </row>
    <row r="1853" spans="1:3" hidden="1">
      <c r="A1853" s="65">
        <v>9003263</v>
      </c>
      <c r="B1853" s="65" t="s">
        <v>2581</v>
      </c>
      <c r="C1853" s="65" t="s">
        <v>793</v>
      </c>
    </row>
    <row r="1854" spans="1:3" hidden="1">
      <c r="A1854" s="65">
        <v>9003264</v>
      </c>
      <c r="B1854" s="65" t="s">
        <v>2582</v>
      </c>
      <c r="C1854" s="65" t="s">
        <v>793</v>
      </c>
    </row>
    <row r="1855" spans="1:3" hidden="1">
      <c r="A1855" s="65">
        <v>9003265</v>
      </c>
      <c r="B1855" s="65" t="s">
        <v>2583</v>
      </c>
      <c r="C1855" s="65" t="s">
        <v>793</v>
      </c>
    </row>
    <row r="1856" spans="1:3" hidden="1">
      <c r="A1856" s="65">
        <v>9003266</v>
      </c>
      <c r="B1856" s="65" t="s">
        <v>2584</v>
      </c>
      <c r="C1856" s="65" t="s">
        <v>793</v>
      </c>
    </row>
    <row r="1857" spans="1:3" hidden="1">
      <c r="A1857" s="65">
        <v>9003267</v>
      </c>
      <c r="B1857" s="65" t="s">
        <v>2585</v>
      </c>
      <c r="C1857" s="65" t="s">
        <v>793</v>
      </c>
    </row>
    <row r="1858" spans="1:3" hidden="1">
      <c r="A1858" s="65">
        <v>9003268</v>
      </c>
      <c r="B1858" s="65" t="s">
        <v>2586</v>
      </c>
      <c r="C1858" s="65" t="s">
        <v>793</v>
      </c>
    </row>
    <row r="1859" spans="1:3" hidden="1">
      <c r="A1859" s="65">
        <v>9003269</v>
      </c>
      <c r="B1859" s="65" t="s">
        <v>2587</v>
      </c>
      <c r="C1859" s="65" t="s">
        <v>793</v>
      </c>
    </row>
    <row r="1860" spans="1:3" hidden="1">
      <c r="A1860" s="65">
        <v>9003270</v>
      </c>
      <c r="B1860" s="65" t="s">
        <v>2588</v>
      </c>
      <c r="C1860" s="65" t="s">
        <v>793</v>
      </c>
    </row>
    <row r="1861" spans="1:3" hidden="1">
      <c r="A1861" s="65">
        <v>9003271</v>
      </c>
      <c r="B1861" s="65" t="s">
        <v>2589</v>
      </c>
      <c r="C1861" s="65" t="s">
        <v>793</v>
      </c>
    </row>
    <row r="1862" spans="1:3" hidden="1">
      <c r="A1862" s="65">
        <v>9003272</v>
      </c>
      <c r="B1862" s="65" t="s">
        <v>2590</v>
      </c>
      <c r="C1862" s="65" t="s">
        <v>793</v>
      </c>
    </row>
    <row r="1863" spans="1:3" hidden="1">
      <c r="A1863" s="65">
        <v>9003273</v>
      </c>
      <c r="B1863" s="65" t="s">
        <v>2591</v>
      </c>
      <c r="C1863" s="65" t="s">
        <v>793</v>
      </c>
    </row>
    <row r="1864" spans="1:3" hidden="1">
      <c r="A1864" s="65">
        <v>9003274</v>
      </c>
      <c r="B1864" s="65" t="s">
        <v>2592</v>
      </c>
      <c r="C1864" s="65" t="s">
        <v>793</v>
      </c>
    </row>
    <row r="1865" spans="1:3" hidden="1">
      <c r="A1865" s="65">
        <v>9003275</v>
      </c>
      <c r="B1865" s="65" t="s">
        <v>2593</v>
      </c>
      <c r="C1865" s="65" t="s">
        <v>900</v>
      </c>
    </row>
    <row r="1866" spans="1:3" hidden="1">
      <c r="A1866" s="65">
        <v>9003276</v>
      </c>
      <c r="B1866" s="65" t="s">
        <v>2594</v>
      </c>
      <c r="C1866" s="65" t="s">
        <v>793</v>
      </c>
    </row>
    <row r="1867" spans="1:3" hidden="1">
      <c r="A1867" s="65">
        <v>9003277</v>
      </c>
      <c r="B1867" s="65" t="s">
        <v>2595</v>
      </c>
      <c r="C1867" s="65" t="s">
        <v>793</v>
      </c>
    </row>
    <row r="1868" spans="1:3" hidden="1">
      <c r="A1868" s="65">
        <v>9003278</v>
      </c>
      <c r="B1868" s="65" t="s">
        <v>2596</v>
      </c>
      <c r="C1868" s="65" t="s">
        <v>900</v>
      </c>
    </row>
    <row r="1869" spans="1:3" hidden="1">
      <c r="A1869" s="65">
        <v>9003279</v>
      </c>
      <c r="B1869" s="65" t="s">
        <v>2597</v>
      </c>
      <c r="C1869" s="65" t="s">
        <v>686</v>
      </c>
    </row>
    <row r="1870" spans="1:3" hidden="1">
      <c r="A1870" s="65">
        <v>9003280</v>
      </c>
      <c r="B1870" s="65" t="s">
        <v>2598</v>
      </c>
      <c r="C1870" s="65" t="s">
        <v>674</v>
      </c>
    </row>
    <row r="1871" spans="1:3" hidden="1">
      <c r="A1871" s="65">
        <v>9003281</v>
      </c>
      <c r="B1871" s="65" t="s">
        <v>2599</v>
      </c>
      <c r="C1871" s="65" t="s">
        <v>674</v>
      </c>
    </row>
    <row r="1872" spans="1:3" hidden="1">
      <c r="A1872" s="65">
        <v>9003282</v>
      </c>
      <c r="B1872" s="65" t="s">
        <v>2600</v>
      </c>
      <c r="C1872" s="65" t="s">
        <v>674</v>
      </c>
    </row>
    <row r="1873" spans="1:3" hidden="1">
      <c r="A1873" s="65">
        <v>9003283</v>
      </c>
      <c r="B1873" s="65" t="s">
        <v>2601</v>
      </c>
      <c r="C1873" s="65" t="s">
        <v>674</v>
      </c>
    </row>
    <row r="1874" spans="1:3" hidden="1">
      <c r="A1874" s="65">
        <v>9003284</v>
      </c>
      <c r="B1874" s="65" t="s">
        <v>2602</v>
      </c>
      <c r="C1874" s="65" t="s">
        <v>674</v>
      </c>
    </row>
    <row r="1875" spans="1:3" hidden="1">
      <c r="A1875" s="65">
        <v>9003285</v>
      </c>
      <c r="B1875" s="65" t="s">
        <v>2603</v>
      </c>
      <c r="C1875" s="65" t="s">
        <v>1101</v>
      </c>
    </row>
    <row r="1876" spans="1:3" hidden="1">
      <c r="A1876" s="65">
        <v>9003286</v>
      </c>
      <c r="B1876" s="65" t="s">
        <v>2604</v>
      </c>
      <c r="C1876" s="65" t="s">
        <v>793</v>
      </c>
    </row>
    <row r="1877" spans="1:3" hidden="1">
      <c r="A1877" s="65">
        <v>9003287</v>
      </c>
      <c r="B1877" s="65" t="s">
        <v>2605</v>
      </c>
      <c r="C1877" s="65" t="s">
        <v>793</v>
      </c>
    </row>
    <row r="1878" spans="1:3" hidden="1">
      <c r="A1878" s="65">
        <v>9003288</v>
      </c>
      <c r="B1878" s="65" t="s">
        <v>2606</v>
      </c>
      <c r="C1878" s="65" t="s">
        <v>805</v>
      </c>
    </row>
    <row r="1879" spans="1:3" hidden="1">
      <c r="A1879" s="65">
        <v>9003289</v>
      </c>
      <c r="B1879" s="65" t="s">
        <v>2607</v>
      </c>
      <c r="C1879" s="65" t="s">
        <v>805</v>
      </c>
    </row>
    <row r="1880" spans="1:3" hidden="1">
      <c r="A1880" s="65">
        <v>9003290</v>
      </c>
      <c r="B1880" s="65" t="s">
        <v>2608</v>
      </c>
      <c r="C1880" s="65" t="s">
        <v>805</v>
      </c>
    </row>
    <row r="1881" spans="1:3" hidden="1">
      <c r="A1881" s="65">
        <v>9003291</v>
      </c>
      <c r="B1881" s="65" t="s">
        <v>2609</v>
      </c>
      <c r="C1881" s="65" t="s">
        <v>793</v>
      </c>
    </row>
    <row r="1882" spans="1:3" hidden="1">
      <c r="A1882" s="65">
        <v>9003292</v>
      </c>
      <c r="B1882" s="65" t="s">
        <v>2610</v>
      </c>
      <c r="C1882" s="65" t="s">
        <v>777</v>
      </c>
    </row>
    <row r="1883" spans="1:3" hidden="1">
      <c r="A1883" s="65">
        <v>9003293</v>
      </c>
      <c r="B1883" s="65" t="s">
        <v>2611</v>
      </c>
      <c r="C1883" s="65" t="s">
        <v>793</v>
      </c>
    </row>
    <row r="1884" spans="1:3" hidden="1">
      <c r="A1884" s="65">
        <v>9003294</v>
      </c>
      <c r="B1884" s="65" t="s">
        <v>2612</v>
      </c>
      <c r="C1884" s="65" t="s">
        <v>793</v>
      </c>
    </row>
    <row r="1885" spans="1:3" hidden="1">
      <c r="A1885" s="65">
        <v>9003295</v>
      </c>
      <c r="B1885" s="65" t="s">
        <v>2613</v>
      </c>
      <c r="C1885" s="65" t="s">
        <v>805</v>
      </c>
    </row>
    <row r="1886" spans="1:3" hidden="1">
      <c r="A1886" s="65">
        <v>9003296</v>
      </c>
      <c r="B1886" s="65" t="s">
        <v>2614</v>
      </c>
      <c r="C1886" s="65" t="s">
        <v>793</v>
      </c>
    </row>
    <row r="1887" spans="1:3" hidden="1">
      <c r="A1887" s="65">
        <v>9003297</v>
      </c>
      <c r="B1887" s="65" t="s">
        <v>2615</v>
      </c>
      <c r="C1887" s="65" t="s">
        <v>805</v>
      </c>
    </row>
    <row r="1888" spans="1:3" hidden="1">
      <c r="A1888" s="65">
        <v>9003298</v>
      </c>
      <c r="B1888" s="65" t="s">
        <v>2616</v>
      </c>
      <c r="C1888" s="65" t="s">
        <v>679</v>
      </c>
    </row>
    <row r="1889" spans="1:3" hidden="1">
      <c r="A1889" s="65">
        <v>9003299</v>
      </c>
      <c r="B1889" s="65" t="s">
        <v>2617</v>
      </c>
      <c r="C1889" s="65" t="s">
        <v>786</v>
      </c>
    </row>
    <row r="1890" spans="1:3" hidden="1">
      <c r="A1890" s="65">
        <v>9003300</v>
      </c>
      <c r="B1890" s="65" t="s">
        <v>2618</v>
      </c>
      <c r="C1890" s="65" t="s">
        <v>793</v>
      </c>
    </row>
    <row r="1891" spans="1:3" hidden="1">
      <c r="A1891" s="65">
        <v>9003301</v>
      </c>
      <c r="B1891" s="65" t="s">
        <v>2619</v>
      </c>
      <c r="C1891" s="65" t="s">
        <v>805</v>
      </c>
    </row>
    <row r="1892" spans="1:3" hidden="1">
      <c r="A1892" s="65">
        <v>9003302</v>
      </c>
      <c r="B1892" s="65" t="s">
        <v>2620</v>
      </c>
      <c r="C1892" s="65" t="s">
        <v>805</v>
      </c>
    </row>
    <row r="1893" spans="1:3" hidden="1">
      <c r="A1893" s="65">
        <v>9003303</v>
      </c>
      <c r="B1893" s="65" t="s">
        <v>2621</v>
      </c>
      <c r="C1893" s="65" t="s">
        <v>793</v>
      </c>
    </row>
    <row r="1894" spans="1:3" hidden="1">
      <c r="A1894" s="65">
        <v>9003304</v>
      </c>
      <c r="B1894" s="65" t="s">
        <v>2622</v>
      </c>
      <c r="C1894" s="65" t="s">
        <v>793</v>
      </c>
    </row>
    <row r="1895" spans="1:3" hidden="1">
      <c r="A1895" s="65">
        <v>9003305</v>
      </c>
      <c r="B1895" s="65" t="s">
        <v>2623</v>
      </c>
      <c r="C1895" s="65" t="s">
        <v>2624</v>
      </c>
    </row>
    <row r="1896" spans="1:3" hidden="1">
      <c r="A1896" s="65">
        <v>9003306</v>
      </c>
      <c r="B1896" s="65" t="s">
        <v>2625</v>
      </c>
      <c r="C1896" s="65" t="s">
        <v>793</v>
      </c>
    </row>
    <row r="1897" spans="1:3" hidden="1">
      <c r="A1897" s="65">
        <v>9003307</v>
      </c>
      <c r="B1897" s="65" t="s">
        <v>2626</v>
      </c>
      <c r="C1897" s="65" t="s">
        <v>793</v>
      </c>
    </row>
    <row r="1898" spans="1:3" hidden="1">
      <c r="A1898" s="65">
        <v>9003308</v>
      </c>
      <c r="B1898" s="65" t="s">
        <v>2627</v>
      </c>
      <c r="C1898" s="65" t="s">
        <v>793</v>
      </c>
    </row>
    <row r="1899" spans="1:3" hidden="1">
      <c r="A1899" s="65">
        <v>9003309</v>
      </c>
      <c r="B1899" s="65" t="s">
        <v>2628</v>
      </c>
      <c r="C1899" s="65" t="s">
        <v>793</v>
      </c>
    </row>
    <row r="1900" spans="1:3" hidden="1">
      <c r="A1900" s="65">
        <v>9003310</v>
      </c>
      <c r="B1900" s="65" t="s">
        <v>2629</v>
      </c>
      <c r="C1900" s="65" t="s">
        <v>793</v>
      </c>
    </row>
    <row r="1901" spans="1:3" hidden="1">
      <c r="A1901" s="65">
        <v>9003311</v>
      </c>
      <c r="B1901" s="65" t="s">
        <v>2630</v>
      </c>
      <c r="C1901" s="65" t="s">
        <v>793</v>
      </c>
    </row>
    <row r="1902" spans="1:3" hidden="1">
      <c r="A1902" s="65">
        <v>9003312</v>
      </c>
      <c r="B1902" s="65" t="s">
        <v>2631</v>
      </c>
      <c r="C1902" s="65" t="s">
        <v>793</v>
      </c>
    </row>
    <row r="1903" spans="1:3" hidden="1">
      <c r="A1903" s="65">
        <v>9003313</v>
      </c>
      <c r="B1903" s="65" t="s">
        <v>2632</v>
      </c>
      <c r="C1903" s="65" t="s">
        <v>793</v>
      </c>
    </row>
    <row r="1904" spans="1:3" hidden="1">
      <c r="A1904" s="65">
        <v>9003314</v>
      </c>
      <c r="B1904" s="65" t="s">
        <v>2633</v>
      </c>
      <c r="C1904" s="65" t="s">
        <v>793</v>
      </c>
    </row>
    <row r="1905" spans="1:3" hidden="1">
      <c r="A1905" s="65">
        <v>9003315</v>
      </c>
      <c r="B1905" s="65" t="s">
        <v>2634</v>
      </c>
      <c r="C1905" s="65" t="s">
        <v>793</v>
      </c>
    </row>
    <row r="1906" spans="1:3" hidden="1">
      <c r="A1906" s="65">
        <v>9003316</v>
      </c>
      <c r="B1906" s="65" t="s">
        <v>2635</v>
      </c>
      <c r="C1906" s="65" t="s">
        <v>793</v>
      </c>
    </row>
    <row r="1907" spans="1:3" hidden="1">
      <c r="A1907" s="65">
        <v>9003317</v>
      </c>
      <c r="B1907" s="65" t="s">
        <v>2636</v>
      </c>
      <c r="C1907" s="65" t="s">
        <v>793</v>
      </c>
    </row>
    <row r="1908" spans="1:3" hidden="1">
      <c r="A1908" s="65">
        <v>9003318</v>
      </c>
      <c r="B1908" s="65" t="s">
        <v>2637</v>
      </c>
      <c r="C1908" s="65" t="s">
        <v>793</v>
      </c>
    </row>
    <row r="1909" spans="1:3" hidden="1">
      <c r="A1909" s="65">
        <v>9003319</v>
      </c>
      <c r="B1909" s="65" t="s">
        <v>2638</v>
      </c>
      <c r="C1909" s="65" t="s">
        <v>805</v>
      </c>
    </row>
    <row r="1910" spans="1:3" hidden="1">
      <c r="A1910" s="65">
        <v>9003320</v>
      </c>
      <c r="B1910" s="65" t="s">
        <v>2639</v>
      </c>
      <c r="C1910" s="65" t="s">
        <v>793</v>
      </c>
    </row>
    <row r="1911" spans="1:3" hidden="1">
      <c r="A1911" s="65">
        <v>9003321</v>
      </c>
      <c r="B1911" s="65" t="s">
        <v>1449</v>
      </c>
      <c r="C1911" s="65" t="s">
        <v>674</v>
      </c>
    </row>
    <row r="1912" spans="1:3" hidden="1">
      <c r="A1912" s="65">
        <v>9003322</v>
      </c>
      <c r="B1912" s="65" t="s">
        <v>2640</v>
      </c>
      <c r="C1912" s="65" t="s">
        <v>805</v>
      </c>
    </row>
    <row r="1913" spans="1:3" hidden="1">
      <c r="A1913" s="65">
        <v>9003329</v>
      </c>
      <c r="B1913" s="65" t="s">
        <v>2641</v>
      </c>
      <c r="C1913" s="65" t="s">
        <v>786</v>
      </c>
    </row>
    <row r="1914" spans="1:3" hidden="1">
      <c r="A1914" s="65">
        <v>9003330</v>
      </c>
      <c r="B1914" s="65" t="s">
        <v>2642</v>
      </c>
      <c r="C1914" s="65" t="s">
        <v>805</v>
      </c>
    </row>
    <row r="1915" spans="1:3" hidden="1">
      <c r="A1915" s="65">
        <v>9003339</v>
      </c>
      <c r="B1915" s="65" t="s">
        <v>2643</v>
      </c>
      <c r="C1915" s="65" t="s">
        <v>793</v>
      </c>
    </row>
    <row r="1916" spans="1:3" hidden="1">
      <c r="A1916" s="65">
        <v>9003340</v>
      </c>
      <c r="B1916" s="65" t="s">
        <v>2644</v>
      </c>
      <c r="C1916" s="65" t="s">
        <v>793</v>
      </c>
    </row>
    <row r="1917" spans="1:3" hidden="1">
      <c r="A1917" s="65">
        <v>9003341</v>
      </c>
      <c r="B1917" s="65" t="s">
        <v>2645</v>
      </c>
      <c r="C1917" s="65" t="s">
        <v>793</v>
      </c>
    </row>
    <row r="1918" spans="1:3" hidden="1">
      <c r="A1918" s="65">
        <v>9003342</v>
      </c>
      <c r="B1918" s="65" t="s">
        <v>2646</v>
      </c>
      <c r="C1918" s="65" t="s">
        <v>793</v>
      </c>
    </row>
    <row r="1919" spans="1:3" hidden="1">
      <c r="A1919" s="65">
        <v>9003343</v>
      </c>
      <c r="B1919" s="65" t="s">
        <v>2647</v>
      </c>
      <c r="C1919" s="65" t="s">
        <v>793</v>
      </c>
    </row>
    <row r="1920" spans="1:3" hidden="1">
      <c r="A1920" s="65">
        <v>9003344</v>
      </c>
      <c r="B1920" s="65" t="s">
        <v>2648</v>
      </c>
      <c r="C1920" s="65" t="s">
        <v>793</v>
      </c>
    </row>
    <row r="1921" spans="1:3" hidden="1">
      <c r="A1921" s="65">
        <v>9003345</v>
      </c>
      <c r="B1921" s="65" t="s">
        <v>2649</v>
      </c>
      <c r="C1921" s="65" t="s">
        <v>793</v>
      </c>
    </row>
    <row r="1922" spans="1:3" hidden="1">
      <c r="A1922" s="65">
        <v>9003346</v>
      </c>
      <c r="B1922" s="65" t="s">
        <v>2650</v>
      </c>
      <c r="C1922" s="65" t="s">
        <v>793</v>
      </c>
    </row>
    <row r="1923" spans="1:3" hidden="1">
      <c r="A1923" s="65">
        <v>9003347</v>
      </c>
      <c r="B1923" s="65" t="s">
        <v>2651</v>
      </c>
      <c r="C1923" s="65" t="s">
        <v>793</v>
      </c>
    </row>
    <row r="1924" spans="1:3" hidden="1">
      <c r="A1924" s="65">
        <v>9003348</v>
      </c>
      <c r="B1924" s="65" t="s">
        <v>2652</v>
      </c>
      <c r="C1924" s="65" t="s">
        <v>793</v>
      </c>
    </row>
    <row r="1925" spans="1:3" hidden="1">
      <c r="A1925" s="65">
        <v>9003349</v>
      </c>
      <c r="B1925" s="65" t="s">
        <v>2653</v>
      </c>
      <c r="C1925" s="65" t="s">
        <v>805</v>
      </c>
    </row>
    <row r="1926" spans="1:3" hidden="1">
      <c r="A1926" s="65">
        <v>9003350</v>
      </c>
      <c r="B1926" s="65" t="s">
        <v>2654</v>
      </c>
      <c r="C1926" s="65" t="s">
        <v>793</v>
      </c>
    </row>
    <row r="1927" spans="1:3" hidden="1">
      <c r="A1927" s="65">
        <v>9003351</v>
      </c>
      <c r="B1927" s="65" t="s">
        <v>2655</v>
      </c>
      <c r="C1927" s="65" t="s">
        <v>793</v>
      </c>
    </row>
    <row r="1928" spans="1:3" hidden="1">
      <c r="A1928" s="65">
        <v>9003352</v>
      </c>
      <c r="B1928" s="65" t="s">
        <v>2656</v>
      </c>
      <c r="C1928" s="65" t="s">
        <v>793</v>
      </c>
    </row>
    <row r="1929" spans="1:3" hidden="1">
      <c r="A1929" s="65">
        <v>9003353</v>
      </c>
      <c r="B1929" s="65" t="s">
        <v>2657</v>
      </c>
      <c r="C1929" s="65" t="s">
        <v>793</v>
      </c>
    </row>
    <row r="1930" spans="1:3" hidden="1">
      <c r="A1930" s="65">
        <v>9003354</v>
      </c>
      <c r="B1930" s="65" t="s">
        <v>2658</v>
      </c>
      <c r="C1930" s="65" t="s">
        <v>793</v>
      </c>
    </row>
    <row r="1931" spans="1:3" hidden="1">
      <c r="A1931" s="65">
        <v>9003355</v>
      </c>
      <c r="B1931" s="65" t="s">
        <v>2659</v>
      </c>
      <c r="C1931" s="65" t="s">
        <v>793</v>
      </c>
    </row>
    <row r="1932" spans="1:3" hidden="1">
      <c r="A1932" s="65">
        <v>9003356</v>
      </c>
      <c r="B1932" s="65" t="s">
        <v>2660</v>
      </c>
      <c r="C1932" s="65" t="s">
        <v>793</v>
      </c>
    </row>
    <row r="1933" spans="1:3" hidden="1">
      <c r="A1933" s="65">
        <v>9003357</v>
      </c>
      <c r="B1933" s="65" t="s">
        <v>2661</v>
      </c>
      <c r="C1933" s="65" t="s">
        <v>793</v>
      </c>
    </row>
    <row r="1934" spans="1:3" hidden="1">
      <c r="A1934" s="65">
        <v>9003358</v>
      </c>
      <c r="B1934" s="65" t="s">
        <v>2662</v>
      </c>
      <c r="C1934" s="65" t="s">
        <v>793</v>
      </c>
    </row>
    <row r="1935" spans="1:3" hidden="1">
      <c r="A1935" s="65">
        <v>9003359</v>
      </c>
      <c r="B1935" s="65" t="s">
        <v>2663</v>
      </c>
      <c r="C1935" s="65" t="s">
        <v>793</v>
      </c>
    </row>
    <row r="1936" spans="1:3" hidden="1">
      <c r="A1936" s="65">
        <v>9003360</v>
      </c>
      <c r="B1936" s="65" t="s">
        <v>2664</v>
      </c>
      <c r="C1936" s="65" t="s">
        <v>793</v>
      </c>
    </row>
    <row r="1937" spans="1:3" hidden="1">
      <c r="A1937" s="65">
        <v>9003361</v>
      </c>
      <c r="B1937" s="65" t="s">
        <v>2665</v>
      </c>
      <c r="C1937" s="65" t="s">
        <v>793</v>
      </c>
    </row>
    <row r="1938" spans="1:3" hidden="1">
      <c r="A1938" s="65">
        <v>9003362</v>
      </c>
      <c r="B1938" s="65" t="s">
        <v>2666</v>
      </c>
      <c r="C1938" s="65" t="s">
        <v>793</v>
      </c>
    </row>
    <row r="1939" spans="1:3" hidden="1">
      <c r="A1939" s="65">
        <v>9003363</v>
      </c>
      <c r="B1939" s="65" t="s">
        <v>2667</v>
      </c>
      <c r="C1939" s="65" t="s">
        <v>793</v>
      </c>
    </row>
    <row r="1940" spans="1:3" hidden="1">
      <c r="A1940" s="65">
        <v>9003364</v>
      </c>
      <c r="B1940" s="65" t="s">
        <v>2668</v>
      </c>
      <c r="C1940" s="65" t="s">
        <v>793</v>
      </c>
    </row>
    <row r="1941" spans="1:3" hidden="1">
      <c r="A1941" s="65">
        <v>9003365</v>
      </c>
      <c r="B1941" s="65" t="s">
        <v>2669</v>
      </c>
      <c r="C1941" s="65" t="s">
        <v>793</v>
      </c>
    </row>
    <row r="1942" spans="1:3" hidden="1">
      <c r="A1942" s="65">
        <v>9003366</v>
      </c>
      <c r="B1942" s="65" t="s">
        <v>2670</v>
      </c>
      <c r="C1942" s="65" t="s">
        <v>793</v>
      </c>
    </row>
    <row r="1943" spans="1:3" hidden="1">
      <c r="A1943" s="65">
        <v>9003367</v>
      </c>
      <c r="B1943" s="65" t="s">
        <v>2671</v>
      </c>
      <c r="C1943" s="65" t="s">
        <v>793</v>
      </c>
    </row>
    <row r="1944" spans="1:3" hidden="1">
      <c r="A1944" s="65">
        <v>9003368</v>
      </c>
      <c r="B1944" s="65" t="s">
        <v>2672</v>
      </c>
      <c r="C1944" s="65" t="s">
        <v>793</v>
      </c>
    </row>
    <row r="1945" spans="1:3" hidden="1">
      <c r="A1945" s="65">
        <v>9003369</v>
      </c>
      <c r="B1945" s="65" t="s">
        <v>2673</v>
      </c>
      <c r="C1945" s="65" t="s">
        <v>793</v>
      </c>
    </row>
    <row r="1946" spans="1:3" hidden="1">
      <c r="A1946" s="65">
        <v>9003370</v>
      </c>
      <c r="B1946" s="65" t="s">
        <v>2674</v>
      </c>
      <c r="C1946" s="65" t="s">
        <v>793</v>
      </c>
    </row>
    <row r="1947" spans="1:3" hidden="1">
      <c r="A1947" s="65">
        <v>9003371</v>
      </c>
      <c r="B1947" s="65" t="s">
        <v>2675</v>
      </c>
      <c r="C1947" s="65" t="s">
        <v>793</v>
      </c>
    </row>
    <row r="1948" spans="1:3" hidden="1">
      <c r="A1948" s="65">
        <v>9003372</v>
      </c>
      <c r="B1948" s="65" t="s">
        <v>2676</v>
      </c>
      <c r="C1948" s="65" t="s">
        <v>793</v>
      </c>
    </row>
    <row r="1949" spans="1:3" hidden="1">
      <c r="A1949" s="65">
        <v>9003373</v>
      </c>
      <c r="B1949" s="65" t="s">
        <v>2677</v>
      </c>
      <c r="C1949" s="65" t="s">
        <v>793</v>
      </c>
    </row>
    <row r="1950" spans="1:3" hidden="1">
      <c r="A1950" s="65">
        <v>9003374</v>
      </c>
      <c r="B1950" s="65" t="s">
        <v>2678</v>
      </c>
      <c r="C1950" s="65" t="s">
        <v>793</v>
      </c>
    </row>
    <row r="1951" spans="1:3" hidden="1">
      <c r="A1951" s="65">
        <v>9003375</v>
      </c>
      <c r="B1951" s="65" t="s">
        <v>2679</v>
      </c>
      <c r="C1951" s="65" t="s">
        <v>793</v>
      </c>
    </row>
    <row r="1952" spans="1:3" hidden="1">
      <c r="A1952" s="65">
        <v>9003376</v>
      </c>
      <c r="B1952" s="65" t="s">
        <v>2680</v>
      </c>
      <c r="C1952" s="65" t="s">
        <v>793</v>
      </c>
    </row>
    <row r="1953" spans="1:3" hidden="1">
      <c r="A1953" s="65">
        <v>9003377</v>
      </c>
      <c r="B1953" s="65" t="s">
        <v>2681</v>
      </c>
      <c r="C1953" s="65" t="s">
        <v>793</v>
      </c>
    </row>
    <row r="1954" spans="1:3" hidden="1">
      <c r="A1954" s="65">
        <v>9003378</v>
      </c>
      <c r="B1954" s="65" t="s">
        <v>2682</v>
      </c>
      <c r="C1954" s="65" t="s">
        <v>793</v>
      </c>
    </row>
    <row r="1955" spans="1:3" hidden="1">
      <c r="A1955" s="65">
        <v>9003379</v>
      </c>
      <c r="B1955" s="65" t="s">
        <v>2683</v>
      </c>
      <c r="C1955" s="65" t="s">
        <v>793</v>
      </c>
    </row>
    <row r="1956" spans="1:3" hidden="1">
      <c r="A1956" s="65">
        <v>9003380</v>
      </c>
      <c r="B1956" s="65" t="s">
        <v>2684</v>
      </c>
      <c r="C1956" s="65" t="s">
        <v>793</v>
      </c>
    </row>
    <row r="1957" spans="1:3" hidden="1">
      <c r="A1957" s="65">
        <v>9003381</v>
      </c>
      <c r="B1957" s="65" t="s">
        <v>2685</v>
      </c>
      <c r="C1957" s="65" t="s">
        <v>793</v>
      </c>
    </row>
    <row r="1958" spans="1:3" hidden="1">
      <c r="A1958" s="65">
        <v>9003382</v>
      </c>
      <c r="B1958" s="65" t="s">
        <v>2686</v>
      </c>
      <c r="C1958" s="65" t="s">
        <v>793</v>
      </c>
    </row>
    <row r="1959" spans="1:3" hidden="1">
      <c r="A1959" s="65">
        <v>9003383</v>
      </c>
      <c r="B1959" s="65" t="s">
        <v>2687</v>
      </c>
      <c r="C1959" s="65" t="s">
        <v>793</v>
      </c>
    </row>
    <row r="1960" spans="1:3" hidden="1">
      <c r="A1960" s="65">
        <v>9003384</v>
      </c>
      <c r="B1960" s="65" t="s">
        <v>2688</v>
      </c>
      <c r="C1960" s="65" t="s">
        <v>1111</v>
      </c>
    </row>
    <row r="1961" spans="1:3" hidden="1">
      <c r="A1961" s="65">
        <v>9003385</v>
      </c>
      <c r="B1961" s="65" t="s">
        <v>2689</v>
      </c>
      <c r="C1961" s="65" t="s">
        <v>1111</v>
      </c>
    </row>
    <row r="1962" spans="1:3" hidden="1">
      <c r="A1962" s="65">
        <v>9003386</v>
      </c>
      <c r="B1962" s="65" t="s">
        <v>2690</v>
      </c>
      <c r="C1962" s="65" t="s">
        <v>793</v>
      </c>
    </row>
    <row r="1963" spans="1:3" hidden="1">
      <c r="A1963" s="65">
        <v>9003387</v>
      </c>
      <c r="B1963" s="65" t="s">
        <v>2691</v>
      </c>
      <c r="C1963" s="65" t="s">
        <v>1111</v>
      </c>
    </row>
    <row r="1964" spans="1:3" hidden="1">
      <c r="A1964" s="65">
        <v>9003388</v>
      </c>
      <c r="B1964" s="65" t="s">
        <v>2692</v>
      </c>
      <c r="C1964" s="65" t="s">
        <v>1111</v>
      </c>
    </row>
    <row r="1965" spans="1:3" hidden="1">
      <c r="A1965" s="65">
        <v>9003389</v>
      </c>
      <c r="B1965" s="65" t="s">
        <v>2693</v>
      </c>
      <c r="C1965" s="65" t="s">
        <v>793</v>
      </c>
    </row>
    <row r="1966" spans="1:3" hidden="1">
      <c r="A1966" s="65">
        <v>9003390</v>
      </c>
      <c r="B1966" s="65" t="s">
        <v>2694</v>
      </c>
      <c r="C1966" s="65" t="s">
        <v>1111</v>
      </c>
    </row>
    <row r="1967" spans="1:3" hidden="1">
      <c r="A1967" s="65">
        <v>9003391</v>
      </c>
      <c r="B1967" s="65" t="s">
        <v>2695</v>
      </c>
      <c r="C1967" s="65" t="s">
        <v>1111</v>
      </c>
    </row>
    <row r="1968" spans="1:3" hidden="1">
      <c r="A1968" s="65">
        <v>9003392</v>
      </c>
      <c r="B1968" s="65" t="s">
        <v>2696</v>
      </c>
      <c r="C1968" s="65" t="s">
        <v>1111</v>
      </c>
    </row>
    <row r="1969" spans="1:3" hidden="1">
      <c r="A1969" s="65">
        <v>9003393</v>
      </c>
      <c r="B1969" s="65" t="s">
        <v>2697</v>
      </c>
      <c r="C1969" s="65" t="s">
        <v>1111</v>
      </c>
    </row>
    <row r="1970" spans="1:3" hidden="1">
      <c r="A1970" s="65">
        <v>9003394</v>
      </c>
      <c r="B1970" s="65" t="s">
        <v>2698</v>
      </c>
      <c r="C1970" s="65" t="s">
        <v>1111</v>
      </c>
    </row>
    <row r="1971" spans="1:3" hidden="1">
      <c r="A1971" s="65">
        <v>9003395</v>
      </c>
      <c r="B1971" s="65" t="s">
        <v>2699</v>
      </c>
      <c r="C1971" s="65" t="s">
        <v>1111</v>
      </c>
    </row>
    <row r="1972" spans="1:3" hidden="1">
      <c r="A1972" s="65">
        <v>9003396</v>
      </c>
      <c r="B1972" s="65" t="s">
        <v>2700</v>
      </c>
      <c r="C1972" s="65" t="s">
        <v>1111</v>
      </c>
    </row>
    <row r="1973" spans="1:3" hidden="1">
      <c r="A1973" s="65">
        <v>9003397</v>
      </c>
      <c r="B1973" s="65" t="s">
        <v>2701</v>
      </c>
      <c r="C1973" s="65" t="s">
        <v>793</v>
      </c>
    </row>
    <row r="1974" spans="1:3" hidden="1">
      <c r="A1974" s="65">
        <v>9003398</v>
      </c>
      <c r="B1974" s="65" t="s">
        <v>2702</v>
      </c>
      <c r="C1974" s="65" t="s">
        <v>793</v>
      </c>
    </row>
    <row r="1975" spans="1:3" hidden="1">
      <c r="A1975" s="65">
        <v>9003399</v>
      </c>
      <c r="B1975" s="65" t="s">
        <v>2703</v>
      </c>
      <c r="C1975" s="65" t="s">
        <v>793</v>
      </c>
    </row>
    <row r="1976" spans="1:3" hidden="1">
      <c r="A1976" s="65">
        <v>9003400</v>
      </c>
      <c r="B1976" s="65" t="s">
        <v>2704</v>
      </c>
      <c r="C1976" s="65" t="s">
        <v>793</v>
      </c>
    </row>
    <row r="1977" spans="1:3" hidden="1">
      <c r="A1977" s="65">
        <v>9003401</v>
      </c>
      <c r="B1977" s="65" t="s">
        <v>2705</v>
      </c>
      <c r="C1977" s="65" t="s">
        <v>793</v>
      </c>
    </row>
    <row r="1978" spans="1:3" hidden="1">
      <c r="A1978" s="65">
        <v>9003402</v>
      </c>
      <c r="B1978" s="65" t="s">
        <v>2706</v>
      </c>
      <c r="C1978" s="65" t="s">
        <v>738</v>
      </c>
    </row>
    <row r="1979" spans="1:3" hidden="1">
      <c r="A1979" s="65">
        <v>9003403</v>
      </c>
      <c r="B1979" s="65" t="s">
        <v>2707</v>
      </c>
      <c r="C1979" s="65" t="s">
        <v>738</v>
      </c>
    </row>
    <row r="1980" spans="1:3" hidden="1">
      <c r="A1980" s="65">
        <v>9003404</v>
      </c>
      <c r="B1980" s="65" t="s">
        <v>2708</v>
      </c>
      <c r="C1980" s="65" t="s">
        <v>738</v>
      </c>
    </row>
    <row r="1981" spans="1:3" hidden="1">
      <c r="A1981" s="65">
        <v>9003405</v>
      </c>
      <c r="B1981" s="65" t="s">
        <v>2709</v>
      </c>
      <c r="C1981" s="65" t="s">
        <v>738</v>
      </c>
    </row>
    <row r="1982" spans="1:3" hidden="1">
      <c r="A1982" s="65">
        <v>9003406</v>
      </c>
      <c r="B1982" s="65" t="s">
        <v>2710</v>
      </c>
      <c r="C1982" s="65" t="s">
        <v>664</v>
      </c>
    </row>
    <row r="1983" spans="1:3" hidden="1">
      <c r="A1983" s="65">
        <v>9003407</v>
      </c>
      <c r="B1983" s="65" t="s">
        <v>2711</v>
      </c>
      <c r="C1983" s="65" t="s">
        <v>738</v>
      </c>
    </row>
    <row r="1984" spans="1:3" hidden="1">
      <c r="A1984" s="65">
        <v>9003408</v>
      </c>
      <c r="B1984" s="65" t="s">
        <v>2712</v>
      </c>
      <c r="C1984" s="65" t="s">
        <v>664</v>
      </c>
    </row>
    <row r="1985" spans="1:3" hidden="1">
      <c r="A1985" s="65">
        <v>9003409</v>
      </c>
      <c r="B1985" s="65" t="s">
        <v>2713</v>
      </c>
      <c r="C1985" s="65" t="s">
        <v>738</v>
      </c>
    </row>
    <row r="1986" spans="1:3" hidden="1">
      <c r="A1986" s="65">
        <v>9003410</v>
      </c>
      <c r="B1986" s="65" t="s">
        <v>2714</v>
      </c>
      <c r="C1986" s="65" t="s">
        <v>738</v>
      </c>
    </row>
    <row r="1987" spans="1:3" hidden="1">
      <c r="A1987" s="65">
        <v>9003411</v>
      </c>
      <c r="B1987" s="65" t="s">
        <v>2715</v>
      </c>
      <c r="C1987" s="65" t="s">
        <v>677</v>
      </c>
    </row>
    <row r="1988" spans="1:3" hidden="1">
      <c r="A1988" s="65">
        <v>9003412</v>
      </c>
      <c r="B1988" s="65" t="s">
        <v>2716</v>
      </c>
      <c r="C1988" s="65" t="s">
        <v>805</v>
      </c>
    </row>
    <row r="1989" spans="1:3" hidden="1">
      <c r="A1989" s="65">
        <v>9003413</v>
      </c>
      <c r="B1989" s="65" t="s">
        <v>2717</v>
      </c>
      <c r="C1989" s="65" t="s">
        <v>805</v>
      </c>
    </row>
    <row r="1990" spans="1:3" hidden="1">
      <c r="A1990" s="65">
        <v>9003414</v>
      </c>
      <c r="B1990" s="65" t="s">
        <v>2718</v>
      </c>
      <c r="C1990" s="65" t="s">
        <v>805</v>
      </c>
    </row>
    <row r="1991" spans="1:3" hidden="1">
      <c r="A1991" s="65">
        <v>9003415</v>
      </c>
      <c r="B1991" s="65" t="s">
        <v>2719</v>
      </c>
      <c r="C1991" s="65" t="s">
        <v>805</v>
      </c>
    </row>
    <row r="1992" spans="1:3" hidden="1">
      <c r="A1992" s="65">
        <v>9003416</v>
      </c>
      <c r="B1992" s="65" t="s">
        <v>2720</v>
      </c>
      <c r="C1992" s="65" t="s">
        <v>805</v>
      </c>
    </row>
    <row r="1993" spans="1:3" hidden="1">
      <c r="A1993" s="65">
        <v>9003417</v>
      </c>
      <c r="B1993" s="65" t="s">
        <v>2721</v>
      </c>
      <c r="C1993" s="65" t="s">
        <v>805</v>
      </c>
    </row>
    <row r="1994" spans="1:3" hidden="1">
      <c r="A1994" s="65">
        <v>9003418</v>
      </c>
      <c r="B1994" s="65" t="s">
        <v>2722</v>
      </c>
      <c r="C1994" s="65" t="s">
        <v>805</v>
      </c>
    </row>
    <row r="1995" spans="1:3" hidden="1">
      <c r="A1995" s="65">
        <v>9003419</v>
      </c>
      <c r="B1995" s="65" t="s">
        <v>2723</v>
      </c>
      <c r="C1995" s="65" t="s">
        <v>805</v>
      </c>
    </row>
    <row r="1996" spans="1:3" hidden="1">
      <c r="A1996" s="65">
        <v>9003420</v>
      </c>
      <c r="B1996" s="65" t="s">
        <v>2724</v>
      </c>
      <c r="C1996" s="65" t="s">
        <v>805</v>
      </c>
    </row>
    <row r="1997" spans="1:3" hidden="1">
      <c r="A1997" s="65">
        <v>9003421</v>
      </c>
      <c r="B1997" s="65" t="s">
        <v>2725</v>
      </c>
      <c r="C1997" s="65" t="s">
        <v>805</v>
      </c>
    </row>
    <row r="1998" spans="1:3" hidden="1">
      <c r="A1998" s="65">
        <v>9003422</v>
      </c>
      <c r="B1998" s="65" t="s">
        <v>2726</v>
      </c>
      <c r="C1998" s="65" t="s">
        <v>805</v>
      </c>
    </row>
    <row r="1999" spans="1:3" hidden="1">
      <c r="A1999" s="65">
        <v>9003423</v>
      </c>
      <c r="B1999" s="65" t="s">
        <v>2727</v>
      </c>
      <c r="C1999" s="65" t="s">
        <v>805</v>
      </c>
    </row>
    <row r="2000" spans="1:3" hidden="1">
      <c r="A2000" s="65">
        <v>9003424</v>
      </c>
      <c r="B2000" s="65" t="s">
        <v>2728</v>
      </c>
      <c r="C2000" s="65" t="s">
        <v>805</v>
      </c>
    </row>
    <row r="2001" spans="1:3" hidden="1">
      <c r="A2001" s="65">
        <v>9003425</v>
      </c>
      <c r="B2001" s="65" t="s">
        <v>2729</v>
      </c>
      <c r="C2001" s="65" t="s">
        <v>805</v>
      </c>
    </row>
    <row r="2002" spans="1:3" hidden="1">
      <c r="A2002" s="65">
        <v>9003426</v>
      </c>
      <c r="B2002" s="65" t="s">
        <v>2730</v>
      </c>
      <c r="C2002" s="65" t="s">
        <v>805</v>
      </c>
    </row>
    <row r="2003" spans="1:3" hidden="1">
      <c r="A2003" s="65">
        <v>9003427</v>
      </c>
      <c r="B2003" s="65" t="s">
        <v>2731</v>
      </c>
      <c r="C2003" s="65" t="s">
        <v>664</v>
      </c>
    </row>
    <row r="2004" spans="1:3" hidden="1">
      <c r="A2004" s="65">
        <v>9003429</v>
      </c>
      <c r="B2004" s="65" t="s">
        <v>2732</v>
      </c>
      <c r="C2004" s="65" t="s">
        <v>805</v>
      </c>
    </row>
    <row r="2005" spans="1:3" hidden="1">
      <c r="A2005" s="65">
        <v>9003430</v>
      </c>
      <c r="B2005" s="65" t="s">
        <v>2733</v>
      </c>
      <c r="C2005" s="65" t="s">
        <v>738</v>
      </c>
    </row>
    <row r="2006" spans="1:3" hidden="1">
      <c r="A2006" s="65">
        <v>9003439</v>
      </c>
      <c r="B2006" s="65" t="s">
        <v>2734</v>
      </c>
      <c r="C2006" s="65" t="s">
        <v>805</v>
      </c>
    </row>
    <row r="2007" spans="1:3" hidden="1">
      <c r="A2007" s="65">
        <v>9003440</v>
      </c>
      <c r="B2007" s="65" t="s">
        <v>2735</v>
      </c>
      <c r="C2007" s="65" t="s">
        <v>805</v>
      </c>
    </row>
    <row r="2008" spans="1:3" hidden="1">
      <c r="A2008" s="65">
        <v>9003441</v>
      </c>
      <c r="B2008" s="65" t="s">
        <v>2736</v>
      </c>
      <c r="C2008" s="65" t="s">
        <v>738</v>
      </c>
    </row>
    <row r="2009" spans="1:3" hidden="1">
      <c r="A2009" s="65">
        <v>9003442</v>
      </c>
      <c r="B2009" s="65" t="s">
        <v>2737</v>
      </c>
      <c r="C2009" s="65" t="s">
        <v>738</v>
      </c>
    </row>
    <row r="2010" spans="1:3" hidden="1">
      <c r="A2010" s="65">
        <v>9003443</v>
      </c>
      <c r="B2010" s="65" t="s">
        <v>2738</v>
      </c>
      <c r="C2010" s="65" t="s">
        <v>738</v>
      </c>
    </row>
    <row r="2011" spans="1:3" hidden="1">
      <c r="A2011" s="65">
        <v>9003444</v>
      </c>
      <c r="B2011" s="65" t="s">
        <v>2739</v>
      </c>
      <c r="C2011" s="65" t="s">
        <v>738</v>
      </c>
    </row>
    <row r="2012" spans="1:3" hidden="1">
      <c r="A2012" s="65">
        <v>9003449</v>
      </c>
      <c r="B2012" s="65" t="s">
        <v>2740</v>
      </c>
      <c r="C2012" s="65" t="s">
        <v>793</v>
      </c>
    </row>
    <row r="2013" spans="1:3" hidden="1">
      <c r="A2013" s="65">
        <v>9003450</v>
      </c>
      <c r="B2013" s="65" t="s">
        <v>2741</v>
      </c>
      <c r="C2013" s="65" t="s">
        <v>793</v>
      </c>
    </row>
    <row r="2014" spans="1:3" hidden="1">
      <c r="A2014" s="65">
        <v>9003451</v>
      </c>
      <c r="B2014" s="65" t="s">
        <v>2742</v>
      </c>
      <c r="C2014" s="65" t="s">
        <v>745</v>
      </c>
    </row>
    <row r="2015" spans="1:3" hidden="1">
      <c r="A2015" s="65">
        <v>9003452</v>
      </c>
      <c r="B2015" s="65" t="s">
        <v>2743</v>
      </c>
      <c r="C2015" s="65" t="s">
        <v>683</v>
      </c>
    </row>
    <row r="2016" spans="1:3" hidden="1">
      <c r="A2016" s="65">
        <v>9003453</v>
      </c>
      <c r="B2016" s="65" t="s">
        <v>2744</v>
      </c>
      <c r="C2016" s="65" t="s">
        <v>664</v>
      </c>
    </row>
    <row r="2017" spans="1:3" hidden="1">
      <c r="A2017" s="65">
        <v>9003454</v>
      </c>
      <c r="B2017" s="65" t="s">
        <v>2745</v>
      </c>
      <c r="C2017" s="65" t="s">
        <v>664</v>
      </c>
    </row>
    <row r="2018" spans="1:3" hidden="1">
      <c r="A2018" s="65">
        <v>9003455</v>
      </c>
      <c r="B2018" s="65" t="s">
        <v>2746</v>
      </c>
      <c r="C2018" s="65" t="s">
        <v>664</v>
      </c>
    </row>
    <row r="2019" spans="1:3" hidden="1">
      <c r="A2019" s="65">
        <v>9003456</v>
      </c>
      <c r="B2019" s="65" t="s">
        <v>2747</v>
      </c>
      <c r="C2019" s="65" t="s">
        <v>664</v>
      </c>
    </row>
    <row r="2020" spans="1:3" hidden="1">
      <c r="A2020" s="65">
        <v>9003457</v>
      </c>
      <c r="B2020" s="65" t="s">
        <v>2748</v>
      </c>
      <c r="C2020" s="65" t="s">
        <v>805</v>
      </c>
    </row>
    <row r="2021" spans="1:3" hidden="1">
      <c r="A2021" s="65">
        <v>9003458</v>
      </c>
      <c r="B2021" s="65" t="s">
        <v>2749</v>
      </c>
      <c r="C2021" s="65" t="s">
        <v>807</v>
      </c>
    </row>
    <row r="2022" spans="1:3" hidden="1">
      <c r="A2022" s="65">
        <v>9003459</v>
      </c>
      <c r="B2022" s="65" t="s">
        <v>2750</v>
      </c>
      <c r="C2022" s="65" t="s">
        <v>805</v>
      </c>
    </row>
    <row r="2023" spans="1:3" hidden="1">
      <c r="A2023" s="65">
        <v>9003469</v>
      </c>
      <c r="B2023" s="65" t="s">
        <v>2751</v>
      </c>
      <c r="C2023" s="65" t="s">
        <v>738</v>
      </c>
    </row>
    <row r="2024" spans="1:3" hidden="1">
      <c r="A2024" s="65">
        <v>9003470</v>
      </c>
      <c r="B2024" s="65" t="s">
        <v>2752</v>
      </c>
      <c r="C2024" s="65" t="s">
        <v>738</v>
      </c>
    </row>
    <row r="2025" spans="1:3" hidden="1">
      <c r="A2025" s="65">
        <v>9003479</v>
      </c>
      <c r="B2025" s="65" t="s">
        <v>2753</v>
      </c>
      <c r="C2025" s="65" t="s">
        <v>805</v>
      </c>
    </row>
    <row r="2026" spans="1:3" hidden="1">
      <c r="A2026" s="65">
        <v>9003480</v>
      </c>
      <c r="B2026" s="65" t="s">
        <v>2754</v>
      </c>
      <c r="C2026" s="65" t="s">
        <v>805</v>
      </c>
    </row>
    <row r="2027" spans="1:3" hidden="1">
      <c r="A2027" s="65">
        <v>9003481</v>
      </c>
      <c r="B2027" s="65" t="s">
        <v>2755</v>
      </c>
      <c r="C2027" s="65" t="s">
        <v>775</v>
      </c>
    </row>
    <row r="2028" spans="1:3" hidden="1">
      <c r="A2028" s="65">
        <v>9003482</v>
      </c>
      <c r="B2028" s="65" t="s">
        <v>2756</v>
      </c>
      <c r="C2028" s="65" t="s">
        <v>805</v>
      </c>
    </row>
    <row r="2029" spans="1:3" hidden="1">
      <c r="A2029" s="65">
        <v>9003483</v>
      </c>
      <c r="B2029" s="65" t="s">
        <v>2757</v>
      </c>
      <c r="C2029" s="65" t="s">
        <v>805</v>
      </c>
    </row>
    <row r="2030" spans="1:3" hidden="1">
      <c r="A2030" s="65">
        <v>9003484</v>
      </c>
      <c r="B2030" s="65" t="s">
        <v>2758</v>
      </c>
      <c r="C2030" s="65" t="s">
        <v>805</v>
      </c>
    </row>
    <row r="2031" spans="1:3" hidden="1">
      <c r="A2031" s="65">
        <v>9003485</v>
      </c>
      <c r="B2031" s="65" t="s">
        <v>2759</v>
      </c>
      <c r="C2031" s="65" t="s">
        <v>775</v>
      </c>
    </row>
    <row r="2032" spans="1:3" hidden="1">
      <c r="A2032" s="65">
        <v>9003486</v>
      </c>
      <c r="B2032" s="65" t="s">
        <v>2760</v>
      </c>
      <c r="C2032" s="65" t="s">
        <v>795</v>
      </c>
    </row>
    <row r="2033" spans="1:3" hidden="1">
      <c r="A2033" s="65">
        <v>9003487</v>
      </c>
      <c r="B2033" s="65" t="s">
        <v>2761</v>
      </c>
      <c r="C2033" s="65" t="s">
        <v>805</v>
      </c>
    </row>
    <row r="2034" spans="1:3" hidden="1">
      <c r="A2034" s="65">
        <v>9003488</v>
      </c>
      <c r="B2034" s="65" t="s">
        <v>2762</v>
      </c>
      <c r="C2034" s="65" t="s">
        <v>793</v>
      </c>
    </row>
    <row r="2035" spans="1:3" hidden="1">
      <c r="A2035" s="65">
        <v>9003489</v>
      </c>
      <c r="B2035" s="65" t="s">
        <v>2763</v>
      </c>
      <c r="C2035" s="65" t="s">
        <v>751</v>
      </c>
    </row>
    <row r="2036" spans="1:3" hidden="1">
      <c r="A2036" s="65">
        <v>9003490</v>
      </c>
      <c r="B2036" s="65" t="s">
        <v>2764</v>
      </c>
      <c r="C2036" s="65" t="s">
        <v>805</v>
      </c>
    </row>
    <row r="2037" spans="1:3" hidden="1">
      <c r="A2037" s="65">
        <v>9003491</v>
      </c>
      <c r="B2037" s="65" t="s">
        <v>2765</v>
      </c>
      <c r="C2037" s="65" t="s">
        <v>1181</v>
      </c>
    </row>
    <row r="2038" spans="1:3" hidden="1">
      <c r="A2038" s="65">
        <v>9003492</v>
      </c>
      <c r="B2038" s="65" t="s">
        <v>2766</v>
      </c>
      <c r="C2038" s="65" t="s">
        <v>1181</v>
      </c>
    </row>
    <row r="2039" spans="1:3" hidden="1">
      <c r="A2039" s="65">
        <v>9003493</v>
      </c>
      <c r="B2039" s="65" t="s">
        <v>2767</v>
      </c>
      <c r="C2039" s="65" t="s">
        <v>1181</v>
      </c>
    </row>
    <row r="2040" spans="1:3" hidden="1">
      <c r="A2040" s="65">
        <v>9003494</v>
      </c>
      <c r="B2040" s="65" t="s">
        <v>2768</v>
      </c>
      <c r="C2040" s="65" t="s">
        <v>775</v>
      </c>
    </row>
    <row r="2041" spans="1:3" hidden="1">
      <c r="A2041" s="65">
        <v>9003495</v>
      </c>
      <c r="B2041" s="65" t="s">
        <v>2769</v>
      </c>
      <c r="C2041" s="65" t="s">
        <v>775</v>
      </c>
    </row>
    <row r="2042" spans="1:3" hidden="1">
      <c r="A2042" s="65">
        <v>9003496</v>
      </c>
      <c r="B2042" s="65" t="s">
        <v>2770</v>
      </c>
      <c r="C2042" s="65" t="s">
        <v>745</v>
      </c>
    </row>
    <row r="2043" spans="1:3" hidden="1">
      <c r="A2043" s="65">
        <v>9003497</v>
      </c>
      <c r="B2043" s="65" t="s">
        <v>2771</v>
      </c>
      <c r="C2043" s="65" t="s">
        <v>738</v>
      </c>
    </row>
    <row r="2044" spans="1:3" hidden="1">
      <c r="A2044" s="65">
        <v>9003498</v>
      </c>
      <c r="B2044" s="65" t="s">
        <v>2772</v>
      </c>
      <c r="C2044" s="65" t="s">
        <v>793</v>
      </c>
    </row>
    <row r="2045" spans="1:3" hidden="1">
      <c r="A2045" s="65">
        <v>9003499</v>
      </c>
      <c r="B2045" s="65" t="s">
        <v>2773</v>
      </c>
      <c r="C2045" s="65" t="s">
        <v>805</v>
      </c>
    </row>
    <row r="2046" spans="1:3" hidden="1">
      <c r="A2046" s="65">
        <v>9003500</v>
      </c>
      <c r="B2046" s="65" t="s">
        <v>2774</v>
      </c>
      <c r="C2046" s="65" t="s">
        <v>738</v>
      </c>
    </row>
    <row r="2047" spans="1:3" hidden="1">
      <c r="A2047" s="65">
        <v>9003501</v>
      </c>
      <c r="B2047" s="65" t="s">
        <v>2775</v>
      </c>
      <c r="C2047" s="65" t="s">
        <v>738</v>
      </c>
    </row>
    <row r="2048" spans="1:3" hidden="1">
      <c r="A2048" s="65">
        <v>9003502</v>
      </c>
      <c r="B2048" s="65" t="s">
        <v>2776</v>
      </c>
      <c r="C2048" s="65" t="s">
        <v>738</v>
      </c>
    </row>
    <row r="2049" spans="1:3" hidden="1">
      <c r="A2049" s="65">
        <v>9003503</v>
      </c>
      <c r="B2049" s="65" t="s">
        <v>2777</v>
      </c>
      <c r="C2049" s="65" t="s">
        <v>738</v>
      </c>
    </row>
    <row r="2050" spans="1:3" hidden="1">
      <c r="A2050" s="65">
        <v>9003504</v>
      </c>
      <c r="B2050" s="65" t="s">
        <v>2778</v>
      </c>
      <c r="C2050" s="65" t="s">
        <v>738</v>
      </c>
    </row>
    <row r="2051" spans="1:3" hidden="1">
      <c r="A2051" s="65">
        <v>9003505</v>
      </c>
      <c r="B2051" s="65" t="s">
        <v>2779</v>
      </c>
      <c r="C2051" s="65" t="s">
        <v>793</v>
      </c>
    </row>
    <row r="2052" spans="1:3" hidden="1">
      <c r="A2052" s="65">
        <v>9003506</v>
      </c>
      <c r="B2052" s="65" t="s">
        <v>2780</v>
      </c>
      <c r="C2052" s="65" t="s">
        <v>793</v>
      </c>
    </row>
    <row r="2053" spans="1:3" hidden="1">
      <c r="A2053" s="65">
        <v>9003507</v>
      </c>
      <c r="B2053" s="65" t="s">
        <v>2781</v>
      </c>
      <c r="C2053" s="65" t="s">
        <v>805</v>
      </c>
    </row>
    <row r="2054" spans="1:3" hidden="1">
      <c r="A2054" s="65">
        <v>9003508</v>
      </c>
      <c r="B2054" s="65" t="s">
        <v>2782</v>
      </c>
      <c r="C2054" s="65" t="s">
        <v>738</v>
      </c>
    </row>
    <row r="2055" spans="1:3" hidden="1">
      <c r="A2055" s="65">
        <v>9003509</v>
      </c>
      <c r="B2055" s="65" t="s">
        <v>2783</v>
      </c>
      <c r="C2055" s="65" t="s">
        <v>738</v>
      </c>
    </row>
    <row r="2056" spans="1:3" hidden="1">
      <c r="A2056" s="65">
        <v>9003510</v>
      </c>
      <c r="B2056" s="65" t="s">
        <v>2784</v>
      </c>
      <c r="C2056" s="65" t="s">
        <v>738</v>
      </c>
    </row>
    <row r="2057" spans="1:3" hidden="1">
      <c r="A2057" s="65">
        <v>9003511</v>
      </c>
      <c r="B2057" s="65" t="s">
        <v>2785</v>
      </c>
      <c r="C2057" s="65" t="s">
        <v>738</v>
      </c>
    </row>
    <row r="2058" spans="1:3" hidden="1">
      <c r="A2058" s="65">
        <v>9003512</v>
      </c>
      <c r="B2058" s="65" t="s">
        <v>2786</v>
      </c>
      <c r="C2058" s="65" t="s">
        <v>738</v>
      </c>
    </row>
    <row r="2059" spans="1:3" hidden="1">
      <c r="A2059" s="65">
        <v>9003513</v>
      </c>
      <c r="B2059" s="65" t="s">
        <v>2787</v>
      </c>
      <c r="C2059" s="65" t="s">
        <v>793</v>
      </c>
    </row>
    <row r="2060" spans="1:3" hidden="1">
      <c r="A2060" s="65">
        <v>9003514</v>
      </c>
      <c r="B2060" s="65" t="s">
        <v>2788</v>
      </c>
      <c r="C2060" s="65" t="s">
        <v>793</v>
      </c>
    </row>
    <row r="2061" spans="1:3" hidden="1">
      <c r="A2061" s="65">
        <v>9003515</v>
      </c>
      <c r="B2061" s="65" t="s">
        <v>2789</v>
      </c>
      <c r="C2061" s="65" t="s">
        <v>793</v>
      </c>
    </row>
    <row r="2062" spans="1:3" hidden="1">
      <c r="A2062" s="65">
        <v>9003516</v>
      </c>
      <c r="B2062" s="65" t="s">
        <v>2790</v>
      </c>
      <c r="C2062" s="65" t="s">
        <v>805</v>
      </c>
    </row>
    <row r="2063" spans="1:3" hidden="1">
      <c r="A2063" s="65">
        <v>9003517</v>
      </c>
      <c r="B2063" s="65" t="s">
        <v>2791</v>
      </c>
      <c r="C2063" s="65" t="s">
        <v>805</v>
      </c>
    </row>
    <row r="2064" spans="1:3" hidden="1">
      <c r="A2064" s="65">
        <v>9003518</v>
      </c>
      <c r="B2064" s="65" t="s">
        <v>2792</v>
      </c>
      <c r="C2064" s="65" t="s">
        <v>805</v>
      </c>
    </row>
    <row r="2065" spans="1:3" hidden="1">
      <c r="A2065" s="65">
        <v>9003519</v>
      </c>
      <c r="B2065" s="65" t="s">
        <v>2793</v>
      </c>
      <c r="C2065" s="65" t="s">
        <v>805</v>
      </c>
    </row>
    <row r="2066" spans="1:3" hidden="1">
      <c r="A2066" s="65">
        <v>9003520</v>
      </c>
      <c r="B2066" s="65" t="s">
        <v>2794</v>
      </c>
      <c r="C2066" s="65" t="s">
        <v>793</v>
      </c>
    </row>
    <row r="2067" spans="1:3" hidden="1">
      <c r="A2067" s="65">
        <v>9003521</v>
      </c>
      <c r="B2067" s="65" t="s">
        <v>2795</v>
      </c>
      <c r="C2067" s="65" t="s">
        <v>793</v>
      </c>
    </row>
    <row r="2068" spans="1:3" hidden="1">
      <c r="A2068" s="65">
        <v>9003522</v>
      </c>
      <c r="B2068" s="65" t="s">
        <v>2796</v>
      </c>
      <c r="C2068" s="65" t="s">
        <v>738</v>
      </c>
    </row>
    <row r="2069" spans="1:3" hidden="1">
      <c r="A2069" s="65">
        <v>9003523</v>
      </c>
      <c r="B2069" s="65" t="s">
        <v>2797</v>
      </c>
      <c r="C2069" s="65" t="s">
        <v>732</v>
      </c>
    </row>
    <row r="2070" spans="1:3" hidden="1">
      <c r="A2070" s="65">
        <v>9003524</v>
      </c>
      <c r="B2070" s="65" t="s">
        <v>2798</v>
      </c>
      <c r="C2070" s="65" t="s">
        <v>805</v>
      </c>
    </row>
    <row r="2071" spans="1:3" hidden="1">
      <c r="A2071" s="65">
        <v>9003525</v>
      </c>
      <c r="B2071" s="65" t="s">
        <v>2799</v>
      </c>
      <c r="C2071" s="65" t="s">
        <v>732</v>
      </c>
    </row>
    <row r="2072" spans="1:3" hidden="1">
      <c r="A2072" s="65">
        <v>9003526</v>
      </c>
      <c r="B2072" s="65" t="s">
        <v>2800</v>
      </c>
      <c r="C2072" s="65" t="s">
        <v>738</v>
      </c>
    </row>
    <row r="2073" spans="1:3" hidden="1">
      <c r="A2073" s="65">
        <v>9003527</v>
      </c>
      <c r="B2073" s="65" t="s">
        <v>2801</v>
      </c>
      <c r="C2073" s="65" t="s">
        <v>738</v>
      </c>
    </row>
    <row r="2074" spans="1:3" hidden="1">
      <c r="A2074" s="65">
        <v>9003528</v>
      </c>
      <c r="B2074" s="65" t="s">
        <v>2802</v>
      </c>
      <c r="C2074" s="65" t="s">
        <v>809</v>
      </c>
    </row>
    <row r="2075" spans="1:3" hidden="1">
      <c r="A2075" s="65">
        <v>9003529</v>
      </c>
      <c r="B2075" s="65" t="s">
        <v>2803</v>
      </c>
      <c r="C2075" s="65" t="s">
        <v>775</v>
      </c>
    </row>
    <row r="2076" spans="1:3" hidden="1">
      <c r="A2076" s="65">
        <v>9003530</v>
      </c>
      <c r="B2076" s="65" t="s">
        <v>2804</v>
      </c>
      <c r="C2076" s="65" t="s">
        <v>1181</v>
      </c>
    </row>
    <row r="2077" spans="1:3" hidden="1">
      <c r="A2077" s="65">
        <v>9003531</v>
      </c>
      <c r="B2077" s="65" t="s">
        <v>2805</v>
      </c>
      <c r="C2077" s="65" t="s">
        <v>1181</v>
      </c>
    </row>
    <row r="2078" spans="1:3" hidden="1">
      <c r="A2078" s="65">
        <v>9003532</v>
      </c>
      <c r="B2078" s="65" t="s">
        <v>2806</v>
      </c>
      <c r="C2078" s="65" t="s">
        <v>683</v>
      </c>
    </row>
    <row r="2079" spans="1:3" hidden="1">
      <c r="A2079" s="65">
        <v>9003533</v>
      </c>
      <c r="B2079" s="65" t="s">
        <v>2807</v>
      </c>
      <c r="C2079" s="65" t="s">
        <v>683</v>
      </c>
    </row>
    <row r="2080" spans="1:3" hidden="1">
      <c r="A2080" s="65">
        <v>9003534</v>
      </c>
      <c r="B2080" s="65" t="s">
        <v>2808</v>
      </c>
      <c r="C2080" s="65" t="s">
        <v>805</v>
      </c>
    </row>
    <row r="2081" spans="1:3" hidden="1">
      <c r="A2081" s="65">
        <v>9003535</v>
      </c>
      <c r="B2081" s="65" t="s">
        <v>2809</v>
      </c>
      <c r="C2081" s="65" t="s">
        <v>805</v>
      </c>
    </row>
    <row r="2082" spans="1:3" hidden="1">
      <c r="A2082" s="65">
        <v>9003536</v>
      </c>
      <c r="B2082" s="65" t="s">
        <v>2810</v>
      </c>
      <c r="C2082" s="65" t="s">
        <v>738</v>
      </c>
    </row>
    <row r="2083" spans="1:3" hidden="1">
      <c r="A2083" s="65">
        <v>9003537</v>
      </c>
      <c r="B2083" s="65" t="s">
        <v>2811</v>
      </c>
      <c r="C2083" s="65" t="s">
        <v>805</v>
      </c>
    </row>
    <row r="2084" spans="1:3" hidden="1">
      <c r="A2084" s="65">
        <v>9003538</v>
      </c>
      <c r="B2084" s="65" t="s">
        <v>2812</v>
      </c>
      <c r="C2084" s="65" t="s">
        <v>805</v>
      </c>
    </row>
    <row r="2085" spans="1:3" hidden="1">
      <c r="A2085" s="65">
        <v>9003539</v>
      </c>
      <c r="B2085" s="65" t="s">
        <v>2813</v>
      </c>
      <c r="C2085" s="65" t="s">
        <v>738</v>
      </c>
    </row>
    <row r="2086" spans="1:3" hidden="1">
      <c r="A2086" s="65">
        <v>9003540</v>
      </c>
      <c r="B2086" s="65" t="s">
        <v>2814</v>
      </c>
      <c r="C2086" s="65" t="s">
        <v>805</v>
      </c>
    </row>
    <row r="2087" spans="1:3" hidden="1">
      <c r="A2087" s="65">
        <v>9003541</v>
      </c>
      <c r="B2087" s="65" t="s">
        <v>2815</v>
      </c>
      <c r="C2087" s="65" t="s">
        <v>805</v>
      </c>
    </row>
    <row r="2088" spans="1:3" hidden="1">
      <c r="A2088" s="65">
        <v>9003542</v>
      </c>
      <c r="B2088" s="65" t="s">
        <v>2816</v>
      </c>
      <c r="C2088" s="65" t="s">
        <v>738</v>
      </c>
    </row>
    <row r="2089" spans="1:3" hidden="1">
      <c r="A2089" s="65">
        <v>9003543</v>
      </c>
      <c r="B2089" s="65" t="s">
        <v>2817</v>
      </c>
      <c r="C2089" s="65" t="s">
        <v>805</v>
      </c>
    </row>
    <row r="2090" spans="1:3" hidden="1">
      <c r="A2090" s="65">
        <v>9003544</v>
      </c>
      <c r="B2090" s="65" t="s">
        <v>2818</v>
      </c>
      <c r="C2090" s="65" t="s">
        <v>805</v>
      </c>
    </row>
    <row r="2091" spans="1:3" hidden="1">
      <c r="A2091" s="65">
        <v>9003545</v>
      </c>
      <c r="B2091" s="65" t="s">
        <v>2819</v>
      </c>
      <c r="C2091" s="65" t="s">
        <v>738</v>
      </c>
    </row>
    <row r="2092" spans="1:3" hidden="1">
      <c r="A2092" s="65">
        <v>9003546</v>
      </c>
      <c r="B2092" s="65" t="s">
        <v>2820</v>
      </c>
      <c r="C2092" s="65" t="s">
        <v>805</v>
      </c>
    </row>
    <row r="2093" spans="1:3" hidden="1">
      <c r="A2093" s="65">
        <v>9003547</v>
      </c>
      <c r="B2093" s="65" t="s">
        <v>2821</v>
      </c>
      <c r="C2093" s="65" t="s">
        <v>805</v>
      </c>
    </row>
    <row r="2094" spans="1:3" hidden="1">
      <c r="A2094" s="65">
        <v>9003548</v>
      </c>
      <c r="B2094" s="65" t="s">
        <v>2822</v>
      </c>
      <c r="C2094" s="65" t="s">
        <v>738</v>
      </c>
    </row>
    <row r="2095" spans="1:3" hidden="1">
      <c r="A2095" s="65">
        <v>9003549</v>
      </c>
      <c r="B2095" s="65" t="s">
        <v>2823</v>
      </c>
      <c r="C2095" s="65" t="s">
        <v>805</v>
      </c>
    </row>
    <row r="2096" spans="1:3" hidden="1">
      <c r="A2096" s="65">
        <v>9003550</v>
      </c>
      <c r="B2096" s="65" t="s">
        <v>2824</v>
      </c>
      <c r="C2096" s="65" t="s">
        <v>805</v>
      </c>
    </row>
    <row r="2097" spans="1:3" hidden="1">
      <c r="A2097" s="65">
        <v>9003551</v>
      </c>
      <c r="B2097" s="65" t="s">
        <v>2825</v>
      </c>
      <c r="C2097" s="65" t="s">
        <v>738</v>
      </c>
    </row>
    <row r="2098" spans="1:3" hidden="1">
      <c r="A2098" s="65">
        <v>9003552</v>
      </c>
      <c r="B2098" s="65" t="s">
        <v>2826</v>
      </c>
      <c r="C2098" s="65" t="s">
        <v>805</v>
      </c>
    </row>
    <row r="2099" spans="1:3" hidden="1">
      <c r="A2099" s="65">
        <v>9003553</v>
      </c>
      <c r="B2099" s="65" t="s">
        <v>2827</v>
      </c>
      <c r="C2099" s="65" t="s">
        <v>805</v>
      </c>
    </row>
    <row r="2100" spans="1:3" hidden="1">
      <c r="A2100" s="65">
        <v>9003554</v>
      </c>
      <c r="B2100" s="65" t="s">
        <v>2828</v>
      </c>
      <c r="C2100" s="65" t="s">
        <v>738</v>
      </c>
    </row>
    <row r="2101" spans="1:3" hidden="1">
      <c r="A2101" s="65">
        <v>9003555</v>
      </c>
      <c r="B2101" s="65" t="s">
        <v>2829</v>
      </c>
      <c r="C2101" s="65" t="s">
        <v>805</v>
      </c>
    </row>
    <row r="2102" spans="1:3" hidden="1">
      <c r="A2102" s="65">
        <v>9003556</v>
      </c>
      <c r="B2102" s="65" t="s">
        <v>2830</v>
      </c>
      <c r="C2102" s="65" t="s">
        <v>805</v>
      </c>
    </row>
    <row r="2103" spans="1:3" hidden="1">
      <c r="A2103" s="65">
        <v>9003557</v>
      </c>
      <c r="B2103" s="65" t="s">
        <v>2831</v>
      </c>
      <c r="C2103" s="65" t="s">
        <v>738</v>
      </c>
    </row>
    <row r="2104" spans="1:3" hidden="1">
      <c r="A2104" s="65">
        <v>9003558</v>
      </c>
      <c r="B2104" s="65" t="s">
        <v>2832</v>
      </c>
      <c r="C2104" s="65" t="s">
        <v>805</v>
      </c>
    </row>
    <row r="2105" spans="1:3" hidden="1">
      <c r="A2105" s="65">
        <v>9003559</v>
      </c>
      <c r="B2105" s="65" t="s">
        <v>2833</v>
      </c>
      <c r="C2105" s="65" t="s">
        <v>805</v>
      </c>
    </row>
    <row r="2106" spans="1:3" hidden="1">
      <c r="A2106" s="65">
        <v>9003560</v>
      </c>
      <c r="B2106" s="65" t="s">
        <v>2834</v>
      </c>
      <c r="C2106" s="65" t="s">
        <v>738</v>
      </c>
    </row>
    <row r="2107" spans="1:3" hidden="1">
      <c r="A2107" s="65">
        <v>9003561</v>
      </c>
      <c r="B2107" s="65" t="s">
        <v>2835</v>
      </c>
      <c r="C2107" s="65" t="s">
        <v>1181</v>
      </c>
    </row>
    <row r="2108" spans="1:3" hidden="1">
      <c r="A2108" s="65">
        <v>9003562</v>
      </c>
      <c r="B2108" s="65" t="s">
        <v>2836</v>
      </c>
      <c r="C2108" s="65" t="s">
        <v>793</v>
      </c>
    </row>
    <row r="2109" spans="1:3" hidden="1">
      <c r="A2109" s="65">
        <v>9003569</v>
      </c>
      <c r="B2109" s="65" t="s">
        <v>2837</v>
      </c>
      <c r="C2109" s="65" t="s">
        <v>738</v>
      </c>
    </row>
    <row r="2110" spans="1:3" hidden="1">
      <c r="A2110" s="65">
        <v>9003570</v>
      </c>
      <c r="B2110" s="65" t="s">
        <v>2838</v>
      </c>
      <c r="C2110" s="65" t="s">
        <v>738</v>
      </c>
    </row>
    <row r="2111" spans="1:3" hidden="1">
      <c r="A2111" s="65">
        <v>9003579</v>
      </c>
      <c r="B2111" s="65" t="s">
        <v>2839</v>
      </c>
      <c r="C2111" s="65" t="s">
        <v>738</v>
      </c>
    </row>
    <row r="2112" spans="1:3" hidden="1">
      <c r="A2112" s="65">
        <v>9003580</v>
      </c>
      <c r="B2112" s="65" t="s">
        <v>2840</v>
      </c>
      <c r="C2112" s="65" t="s">
        <v>805</v>
      </c>
    </row>
    <row r="2113" spans="1:3" hidden="1">
      <c r="A2113" s="65">
        <v>9003581</v>
      </c>
      <c r="B2113" s="65" t="s">
        <v>2841</v>
      </c>
      <c r="C2113" s="65" t="s">
        <v>795</v>
      </c>
    </row>
    <row r="2114" spans="1:3" hidden="1">
      <c r="A2114" s="65">
        <v>9003582</v>
      </c>
      <c r="B2114" s="65" t="s">
        <v>2842</v>
      </c>
      <c r="C2114" s="65" t="s">
        <v>793</v>
      </c>
    </row>
    <row r="2115" spans="1:3" hidden="1">
      <c r="A2115" s="65">
        <v>9003583</v>
      </c>
      <c r="B2115" s="65" t="s">
        <v>2843</v>
      </c>
      <c r="C2115" s="65" t="s">
        <v>793</v>
      </c>
    </row>
    <row r="2116" spans="1:3" hidden="1">
      <c r="A2116" s="65">
        <v>9003584</v>
      </c>
      <c r="B2116" s="65" t="s">
        <v>2844</v>
      </c>
      <c r="C2116" s="65" t="s">
        <v>1111</v>
      </c>
    </row>
    <row r="2117" spans="1:3" hidden="1">
      <c r="A2117" s="65">
        <v>9003585</v>
      </c>
      <c r="B2117" s="65" t="s">
        <v>2845</v>
      </c>
      <c r="C2117" s="65" t="s">
        <v>793</v>
      </c>
    </row>
    <row r="2118" spans="1:3" hidden="1">
      <c r="A2118" s="65">
        <v>9003586</v>
      </c>
      <c r="B2118" s="65" t="s">
        <v>2846</v>
      </c>
      <c r="C2118" s="65" t="s">
        <v>793</v>
      </c>
    </row>
    <row r="2119" spans="1:3" hidden="1">
      <c r="A2119" s="65">
        <v>9003587</v>
      </c>
      <c r="B2119" s="65" t="s">
        <v>2847</v>
      </c>
      <c r="C2119" s="65" t="s">
        <v>1111</v>
      </c>
    </row>
    <row r="2120" spans="1:3" hidden="1">
      <c r="A2120" s="65">
        <v>9003588</v>
      </c>
      <c r="B2120" s="65" t="s">
        <v>2848</v>
      </c>
      <c r="C2120" s="65" t="s">
        <v>793</v>
      </c>
    </row>
    <row r="2121" spans="1:3" hidden="1">
      <c r="A2121" s="65">
        <v>9003589</v>
      </c>
      <c r="B2121" s="65" t="s">
        <v>2849</v>
      </c>
      <c r="C2121" s="65" t="s">
        <v>805</v>
      </c>
    </row>
    <row r="2122" spans="1:3" hidden="1">
      <c r="A2122" s="65">
        <v>9003590</v>
      </c>
      <c r="B2122" s="65" t="s">
        <v>2850</v>
      </c>
      <c r="C2122" s="65" t="s">
        <v>805</v>
      </c>
    </row>
    <row r="2123" spans="1:3" hidden="1">
      <c r="A2123" s="65">
        <v>9003591</v>
      </c>
      <c r="B2123" s="65" t="s">
        <v>2851</v>
      </c>
      <c r="C2123" s="65" t="s">
        <v>805</v>
      </c>
    </row>
    <row r="2124" spans="1:3" hidden="1">
      <c r="A2124" s="65">
        <v>9003592</v>
      </c>
      <c r="B2124" s="65" t="s">
        <v>2852</v>
      </c>
      <c r="C2124" s="65" t="s">
        <v>805</v>
      </c>
    </row>
    <row r="2125" spans="1:3" hidden="1">
      <c r="A2125" s="65">
        <v>9003593</v>
      </c>
      <c r="B2125" s="65" t="s">
        <v>2853</v>
      </c>
      <c r="C2125" s="65" t="s">
        <v>805</v>
      </c>
    </row>
    <row r="2126" spans="1:3" hidden="1">
      <c r="A2126" s="65">
        <v>9003594</v>
      </c>
      <c r="B2126" s="65" t="s">
        <v>2854</v>
      </c>
      <c r="C2126" s="65" t="s">
        <v>805</v>
      </c>
    </row>
    <row r="2127" spans="1:3" hidden="1">
      <c r="A2127" s="65">
        <v>9003595</v>
      </c>
      <c r="B2127" s="65" t="s">
        <v>2855</v>
      </c>
      <c r="C2127" s="65" t="s">
        <v>805</v>
      </c>
    </row>
    <row r="2128" spans="1:3" hidden="1">
      <c r="A2128" s="65">
        <v>9003596</v>
      </c>
      <c r="B2128" s="65" t="s">
        <v>2856</v>
      </c>
      <c r="C2128" s="65" t="s">
        <v>793</v>
      </c>
    </row>
    <row r="2129" spans="1:3" hidden="1">
      <c r="A2129" s="65">
        <v>9003597</v>
      </c>
      <c r="B2129" s="65" t="s">
        <v>2857</v>
      </c>
      <c r="C2129" s="65" t="s">
        <v>805</v>
      </c>
    </row>
    <row r="2130" spans="1:3" hidden="1">
      <c r="A2130" s="65">
        <v>9003598</v>
      </c>
      <c r="B2130" s="65" t="s">
        <v>2858</v>
      </c>
      <c r="C2130" s="65" t="s">
        <v>805</v>
      </c>
    </row>
    <row r="2131" spans="1:3" hidden="1">
      <c r="A2131" s="65">
        <v>9003599</v>
      </c>
      <c r="B2131" s="65" t="s">
        <v>2859</v>
      </c>
      <c r="C2131" s="65" t="s">
        <v>805</v>
      </c>
    </row>
    <row r="2132" spans="1:3" hidden="1">
      <c r="A2132" s="65">
        <v>9003600</v>
      </c>
      <c r="B2132" s="65" t="s">
        <v>2860</v>
      </c>
      <c r="C2132" s="65" t="s">
        <v>805</v>
      </c>
    </row>
    <row r="2133" spans="1:3" hidden="1">
      <c r="A2133" s="65">
        <v>9003601</v>
      </c>
      <c r="B2133" s="65" t="s">
        <v>2861</v>
      </c>
      <c r="C2133" s="65" t="s">
        <v>805</v>
      </c>
    </row>
    <row r="2134" spans="1:3" hidden="1">
      <c r="A2134" s="65">
        <v>9003602</v>
      </c>
      <c r="B2134" s="65" t="s">
        <v>2862</v>
      </c>
      <c r="C2134" s="65" t="s">
        <v>805</v>
      </c>
    </row>
    <row r="2135" spans="1:3" hidden="1">
      <c r="A2135" s="65">
        <v>9003603</v>
      </c>
      <c r="B2135" s="65" t="s">
        <v>2863</v>
      </c>
      <c r="C2135" s="65" t="s">
        <v>805</v>
      </c>
    </row>
    <row r="2136" spans="1:3" hidden="1">
      <c r="A2136" s="65">
        <v>9003604</v>
      </c>
      <c r="B2136" s="65" t="s">
        <v>2864</v>
      </c>
      <c r="C2136" s="65" t="s">
        <v>805</v>
      </c>
    </row>
    <row r="2137" spans="1:3" hidden="1">
      <c r="A2137" s="65">
        <v>9003605</v>
      </c>
      <c r="B2137" s="65" t="s">
        <v>2865</v>
      </c>
      <c r="C2137" s="65" t="s">
        <v>805</v>
      </c>
    </row>
    <row r="2138" spans="1:3" hidden="1">
      <c r="A2138" s="65">
        <v>9003606</v>
      </c>
      <c r="B2138" s="65" t="s">
        <v>2866</v>
      </c>
      <c r="C2138" s="65" t="s">
        <v>805</v>
      </c>
    </row>
    <row r="2139" spans="1:3" hidden="1">
      <c r="A2139" s="65">
        <v>9003607</v>
      </c>
      <c r="B2139" s="65" t="s">
        <v>2867</v>
      </c>
      <c r="C2139" s="65" t="s">
        <v>805</v>
      </c>
    </row>
    <row r="2140" spans="1:3" hidden="1">
      <c r="A2140" s="65">
        <v>9003608</v>
      </c>
      <c r="B2140" s="65" t="s">
        <v>2868</v>
      </c>
      <c r="C2140" s="65" t="s">
        <v>805</v>
      </c>
    </row>
    <row r="2141" spans="1:3" hidden="1">
      <c r="A2141" s="65">
        <v>9003609</v>
      </c>
      <c r="B2141" s="65" t="s">
        <v>2869</v>
      </c>
      <c r="C2141" s="65" t="s">
        <v>805</v>
      </c>
    </row>
    <row r="2142" spans="1:3" hidden="1">
      <c r="A2142" s="65">
        <v>9003610</v>
      </c>
      <c r="B2142" s="65" t="s">
        <v>2870</v>
      </c>
      <c r="C2142" s="65" t="s">
        <v>805</v>
      </c>
    </row>
    <row r="2143" spans="1:3" hidden="1">
      <c r="A2143" s="65">
        <v>9003611</v>
      </c>
      <c r="B2143" s="65" t="s">
        <v>2871</v>
      </c>
      <c r="C2143" s="65" t="s">
        <v>805</v>
      </c>
    </row>
    <row r="2144" spans="1:3" hidden="1">
      <c r="A2144" s="65">
        <v>9003612</v>
      </c>
      <c r="B2144" s="65" t="s">
        <v>2872</v>
      </c>
      <c r="C2144" s="65" t="s">
        <v>805</v>
      </c>
    </row>
    <row r="2145" spans="1:3" hidden="1">
      <c r="A2145" s="65">
        <v>9003613</v>
      </c>
      <c r="B2145" s="65" t="s">
        <v>2873</v>
      </c>
      <c r="C2145" s="65" t="s">
        <v>805</v>
      </c>
    </row>
    <row r="2146" spans="1:3" hidden="1">
      <c r="A2146" s="65">
        <v>9003614</v>
      </c>
      <c r="B2146" s="65" t="s">
        <v>2874</v>
      </c>
      <c r="C2146" s="65" t="s">
        <v>805</v>
      </c>
    </row>
    <row r="2147" spans="1:3" hidden="1">
      <c r="A2147" s="65">
        <v>9003615</v>
      </c>
      <c r="B2147" s="65" t="s">
        <v>2875</v>
      </c>
      <c r="C2147" s="65" t="s">
        <v>805</v>
      </c>
    </row>
    <row r="2148" spans="1:3" hidden="1">
      <c r="A2148" s="65">
        <v>9003616</v>
      </c>
      <c r="B2148" s="65" t="s">
        <v>2876</v>
      </c>
      <c r="C2148" s="65" t="s">
        <v>805</v>
      </c>
    </row>
    <row r="2149" spans="1:3" hidden="1">
      <c r="A2149" s="65">
        <v>9003617</v>
      </c>
      <c r="B2149" s="65" t="s">
        <v>2877</v>
      </c>
      <c r="C2149" s="65" t="s">
        <v>805</v>
      </c>
    </row>
    <row r="2150" spans="1:3" hidden="1">
      <c r="A2150" s="65">
        <v>9003618</v>
      </c>
      <c r="B2150" s="65" t="s">
        <v>2878</v>
      </c>
      <c r="C2150" s="65" t="s">
        <v>805</v>
      </c>
    </row>
    <row r="2151" spans="1:3" hidden="1">
      <c r="A2151" s="65">
        <v>9003619</v>
      </c>
      <c r="B2151" s="65" t="s">
        <v>2879</v>
      </c>
      <c r="C2151" s="65" t="s">
        <v>809</v>
      </c>
    </row>
    <row r="2152" spans="1:3" hidden="1">
      <c r="A2152" s="65">
        <v>9003620</v>
      </c>
      <c r="B2152" s="65" t="s">
        <v>2880</v>
      </c>
      <c r="C2152" s="65" t="s">
        <v>807</v>
      </c>
    </row>
    <row r="2153" spans="1:3" hidden="1">
      <c r="A2153" s="65">
        <v>9003621</v>
      </c>
      <c r="B2153" s="65" t="s">
        <v>2881</v>
      </c>
      <c r="C2153" s="65" t="s">
        <v>786</v>
      </c>
    </row>
    <row r="2154" spans="1:3" hidden="1">
      <c r="A2154" s="65">
        <v>9003622</v>
      </c>
      <c r="B2154" s="65" t="s">
        <v>2882</v>
      </c>
      <c r="C2154" s="65" t="s">
        <v>738</v>
      </c>
    </row>
    <row r="2155" spans="1:3" hidden="1">
      <c r="A2155" s="65">
        <v>9003623</v>
      </c>
      <c r="B2155" s="65" t="s">
        <v>2883</v>
      </c>
      <c r="C2155" s="65" t="s">
        <v>738</v>
      </c>
    </row>
    <row r="2156" spans="1:3" hidden="1">
      <c r="A2156" s="65">
        <v>9003624</v>
      </c>
      <c r="B2156" s="65" t="s">
        <v>2884</v>
      </c>
      <c r="C2156" s="65" t="s">
        <v>793</v>
      </c>
    </row>
    <row r="2157" spans="1:3" hidden="1">
      <c r="A2157" s="65">
        <v>9003625</v>
      </c>
      <c r="B2157" s="65" t="s">
        <v>2885</v>
      </c>
      <c r="C2157" s="65" t="s">
        <v>809</v>
      </c>
    </row>
    <row r="2158" spans="1:3" hidden="1">
      <c r="A2158" s="65">
        <v>9003629</v>
      </c>
      <c r="B2158" s="65" t="s">
        <v>2886</v>
      </c>
      <c r="C2158" s="65" t="s">
        <v>738</v>
      </c>
    </row>
    <row r="2159" spans="1:3" hidden="1">
      <c r="A2159" s="65">
        <v>9003639</v>
      </c>
      <c r="B2159" s="65" t="s">
        <v>2887</v>
      </c>
      <c r="C2159" s="65" t="s">
        <v>805</v>
      </c>
    </row>
    <row r="2160" spans="1:3" hidden="1">
      <c r="A2160" s="65">
        <v>9003640</v>
      </c>
      <c r="B2160" s="65" t="s">
        <v>2888</v>
      </c>
      <c r="C2160" s="65" t="s">
        <v>805</v>
      </c>
    </row>
    <row r="2161" spans="1:3" hidden="1">
      <c r="A2161" s="65">
        <v>9003641</v>
      </c>
      <c r="B2161" s="65" t="s">
        <v>2889</v>
      </c>
      <c r="C2161" s="65" t="s">
        <v>775</v>
      </c>
    </row>
    <row r="2162" spans="1:3" hidden="1">
      <c r="A2162" s="65">
        <v>9003642</v>
      </c>
      <c r="B2162" s="65" t="s">
        <v>2890</v>
      </c>
      <c r="C2162" s="65" t="s">
        <v>805</v>
      </c>
    </row>
    <row r="2163" spans="1:3" hidden="1">
      <c r="A2163" s="65">
        <v>9003643</v>
      </c>
      <c r="B2163" s="65" t="s">
        <v>2891</v>
      </c>
      <c r="C2163" s="65" t="s">
        <v>805</v>
      </c>
    </row>
    <row r="2164" spans="1:3" hidden="1">
      <c r="A2164" s="65">
        <v>9003644</v>
      </c>
      <c r="B2164" s="65" t="s">
        <v>2892</v>
      </c>
      <c r="C2164" s="65" t="s">
        <v>805</v>
      </c>
    </row>
    <row r="2165" spans="1:3" hidden="1">
      <c r="A2165" s="65">
        <v>9003645</v>
      </c>
      <c r="B2165" s="65" t="s">
        <v>2893</v>
      </c>
      <c r="C2165" s="65" t="s">
        <v>805</v>
      </c>
    </row>
    <row r="2166" spans="1:3" hidden="1">
      <c r="A2166" s="65">
        <v>9003646</v>
      </c>
      <c r="B2166" s="65" t="s">
        <v>2894</v>
      </c>
      <c r="C2166" s="65" t="s">
        <v>805</v>
      </c>
    </row>
    <row r="2167" spans="1:3" hidden="1">
      <c r="A2167" s="65">
        <v>9003647</v>
      </c>
      <c r="B2167" s="65" t="s">
        <v>2895</v>
      </c>
      <c r="C2167" s="65" t="s">
        <v>805</v>
      </c>
    </row>
    <row r="2168" spans="1:3" hidden="1">
      <c r="A2168" s="65">
        <v>9003648</v>
      </c>
      <c r="B2168" s="65" t="s">
        <v>2896</v>
      </c>
      <c r="C2168" s="65" t="s">
        <v>805</v>
      </c>
    </row>
    <row r="2169" spans="1:3" hidden="1">
      <c r="A2169" s="65">
        <v>9003649</v>
      </c>
      <c r="B2169" s="65" t="s">
        <v>2897</v>
      </c>
      <c r="C2169" s="65" t="s">
        <v>805</v>
      </c>
    </row>
    <row r="2170" spans="1:3" hidden="1">
      <c r="A2170" s="65">
        <v>9003650</v>
      </c>
      <c r="B2170" s="65" t="s">
        <v>2898</v>
      </c>
      <c r="C2170" s="65" t="s">
        <v>805</v>
      </c>
    </row>
    <row r="2171" spans="1:3" hidden="1">
      <c r="A2171" s="65">
        <v>9003651</v>
      </c>
      <c r="B2171" s="65" t="s">
        <v>2899</v>
      </c>
      <c r="C2171" s="65" t="s">
        <v>786</v>
      </c>
    </row>
    <row r="2172" spans="1:3" hidden="1">
      <c r="A2172" s="65">
        <v>9003652</v>
      </c>
      <c r="B2172" s="65" t="s">
        <v>2900</v>
      </c>
      <c r="C2172" s="65" t="s">
        <v>805</v>
      </c>
    </row>
    <row r="2173" spans="1:3" hidden="1">
      <c r="A2173" s="65">
        <v>9003653</v>
      </c>
      <c r="B2173" s="65" t="s">
        <v>2901</v>
      </c>
      <c r="C2173" s="65" t="s">
        <v>805</v>
      </c>
    </row>
    <row r="2174" spans="1:3" hidden="1">
      <c r="A2174" s="65">
        <v>9003654</v>
      </c>
      <c r="B2174" s="65" t="s">
        <v>2902</v>
      </c>
      <c r="C2174" s="65" t="s">
        <v>805</v>
      </c>
    </row>
    <row r="2175" spans="1:3" hidden="1">
      <c r="A2175" s="65">
        <v>9003655</v>
      </c>
      <c r="B2175" s="65" t="s">
        <v>2903</v>
      </c>
      <c r="C2175" s="65" t="s">
        <v>805</v>
      </c>
    </row>
    <row r="2176" spans="1:3" hidden="1">
      <c r="A2176" s="65">
        <v>9003656</v>
      </c>
      <c r="B2176" s="65" t="s">
        <v>2904</v>
      </c>
      <c r="C2176" s="65" t="s">
        <v>805</v>
      </c>
    </row>
    <row r="2177" spans="1:3" hidden="1">
      <c r="A2177" s="65">
        <v>9003657</v>
      </c>
      <c r="B2177" s="65" t="s">
        <v>2905</v>
      </c>
      <c r="C2177" s="65" t="s">
        <v>805</v>
      </c>
    </row>
    <row r="2178" spans="1:3" hidden="1">
      <c r="A2178" s="65">
        <v>9003658</v>
      </c>
      <c r="B2178" s="65" t="s">
        <v>2906</v>
      </c>
      <c r="C2178" s="65" t="s">
        <v>805</v>
      </c>
    </row>
    <row r="2179" spans="1:3" hidden="1">
      <c r="A2179" s="65">
        <v>9003659</v>
      </c>
      <c r="B2179" s="65" t="s">
        <v>2907</v>
      </c>
      <c r="C2179" s="65" t="s">
        <v>805</v>
      </c>
    </row>
    <row r="2180" spans="1:3" hidden="1">
      <c r="A2180" s="65">
        <v>9003660</v>
      </c>
      <c r="B2180" s="65" t="s">
        <v>2908</v>
      </c>
      <c r="C2180" s="65" t="s">
        <v>805</v>
      </c>
    </row>
    <row r="2181" spans="1:3" hidden="1">
      <c r="A2181" s="65">
        <v>9003661</v>
      </c>
      <c r="B2181" s="65" t="s">
        <v>2909</v>
      </c>
      <c r="C2181" s="65" t="s">
        <v>786</v>
      </c>
    </row>
    <row r="2182" spans="1:3" hidden="1">
      <c r="A2182" s="65">
        <v>9003662</v>
      </c>
      <c r="B2182" s="65" t="s">
        <v>2910</v>
      </c>
      <c r="C2182" s="65" t="s">
        <v>805</v>
      </c>
    </row>
    <row r="2183" spans="1:3" hidden="1">
      <c r="A2183" s="65">
        <v>9003663</v>
      </c>
      <c r="B2183" s="65" t="s">
        <v>2911</v>
      </c>
      <c r="C2183" s="65" t="s">
        <v>805</v>
      </c>
    </row>
    <row r="2184" spans="1:3" hidden="1">
      <c r="A2184" s="65">
        <v>9003664</v>
      </c>
      <c r="B2184" s="65" t="s">
        <v>2912</v>
      </c>
      <c r="C2184" s="65" t="s">
        <v>805</v>
      </c>
    </row>
    <row r="2185" spans="1:3" hidden="1">
      <c r="A2185" s="65">
        <v>9003665</v>
      </c>
      <c r="B2185" s="65" t="s">
        <v>2913</v>
      </c>
      <c r="C2185" s="65" t="s">
        <v>805</v>
      </c>
    </row>
    <row r="2186" spans="1:3" hidden="1">
      <c r="A2186" s="65">
        <v>9003666</v>
      </c>
      <c r="B2186" s="65" t="s">
        <v>2914</v>
      </c>
      <c r="C2186" s="65" t="s">
        <v>805</v>
      </c>
    </row>
    <row r="2187" spans="1:3" hidden="1">
      <c r="A2187" s="65">
        <v>9003667</v>
      </c>
      <c r="B2187" s="65" t="s">
        <v>2915</v>
      </c>
      <c r="C2187" s="65" t="s">
        <v>805</v>
      </c>
    </row>
    <row r="2188" spans="1:3" hidden="1">
      <c r="A2188" s="65">
        <v>9003668</v>
      </c>
      <c r="B2188" s="65" t="s">
        <v>2916</v>
      </c>
      <c r="C2188" s="65" t="s">
        <v>805</v>
      </c>
    </row>
    <row r="2189" spans="1:3" hidden="1">
      <c r="A2189" s="65">
        <v>9003669</v>
      </c>
      <c r="B2189" s="65" t="s">
        <v>2917</v>
      </c>
      <c r="C2189" s="65" t="s">
        <v>805</v>
      </c>
    </row>
    <row r="2190" spans="1:3" hidden="1">
      <c r="A2190" s="65">
        <v>9003670</v>
      </c>
      <c r="B2190" s="65" t="s">
        <v>2918</v>
      </c>
      <c r="C2190" s="65" t="s">
        <v>805</v>
      </c>
    </row>
    <row r="2191" spans="1:3" hidden="1">
      <c r="A2191" s="65">
        <v>9003671</v>
      </c>
      <c r="B2191" s="65" t="s">
        <v>2919</v>
      </c>
      <c r="C2191" s="65" t="s">
        <v>805</v>
      </c>
    </row>
    <row r="2192" spans="1:3" hidden="1">
      <c r="A2192" s="65">
        <v>9003672</v>
      </c>
      <c r="B2192" s="65" t="s">
        <v>2920</v>
      </c>
      <c r="C2192" s="65" t="s">
        <v>805</v>
      </c>
    </row>
    <row r="2193" spans="1:3" hidden="1">
      <c r="A2193" s="65">
        <v>9003673</v>
      </c>
      <c r="B2193" s="65" t="s">
        <v>2921</v>
      </c>
      <c r="C2193" s="65" t="s">
        <v>805</v>
      </c>
    </row>
    <row r="2194" spans="1:3" hidden="1">
      <c r="A2194" s="65">
        <v>9003674</v>
      </c>
      <c r="B2194" s="65" t="s">
        <v>2922</v>
      </c>
      <c r="C2194" s="65" t="s">
        <v>805</v>
      </c>
    </row>
    <row r="2195" spans="1:3" hidden="1">
      <c r="A2195" s="65">
        <v>9003675</v>
      </c>
      <c r="B2195" s="65" t="s">
        <v>2923</v>
      </c>
      <c r="C2195" s="65" t="s">
        <v>805</v>
      </c>
    </row>
    <row r="2196" spans="1:3" hidden="1">
      <c r="A2196" s="65">
        <v>9003676</v>
      </c>
      <c r="B2196" s="65" t="s">
        <v>2924</v>
      </c>
      <c r="C2196" s="65" t="s">
        <v>805</v>
      </c>
    </row>
    <row r="2197" spans="1:3" hidden="1">
      <c r="A2197" s="65">
        <v>9003677</v>
      </c>
      <c r="B2197" s="65" t="s">
        <v>2925</v>
      </c>
      <c r="C2197" s="65" t="s">
        <v>805</v>
      </c>
    </row>
    <row r="2198" spans="1:3" hidden="1">
      <c r="A2198" s="65">
        <v>9003678</v>
      </c>
      <c r="B2198" s="65" t="s">
        <v>2926</v>
      </c>
      <c r="C2198" s="65" t="s">
        <v>805</v>
      </c>
    </row>
    <row r="2199" spans="1:3" hidden="1">
      <c r="A2199" s="65">
        <v>9003679</v>
      </c>
      <c r="B2199" s="65" t="s">
        <v>2927</v>
      </c>
      <c r="C2199" s="65" t="s">
        <v>805</v>
      </c>
    </row>
    <row r="2200" spans="1:3" hidden="1">
      <c r="A2200" s="65">
        <v>9003680</v>
      </c>
      <c r="B2200" s="65" t="s">
        <v>2928</v>
      </c>
      <c r="C2200" s="65" t="s">
        <v>805</v>
      </c>
    </row>
    <row r="2201" spans="1:3" hidden="1">
      <c r="A2201" s="65">
        <v>9003681</v>
      </c>
      <c r="B2201" s="65" t="s">
        <v>2929</v>
      </c>
      <c r="C2201" s="65" t="s">
        <v>805</v>
      </c>
    </row>
    <row r="2202" spans="1:3" hidden="1">
      <c r="A2202" s="65">
        <v>9003682</v>
      </c>
      <c r="B2202" s="65" t="s">
        <v>2930</v>
      </c>
      <c r="C2202" s="65" t="s">
        <v>805</v>
      </c>
    </row>
    <row r="2203" spans="1:3" hidden="1">
      <c r="A2203" s="65">
        <v>9003683</v>
      </c>
      <c r="B2203" s="65" t="s">
        <v>2931</v>
      </c>
      <c r="C2203" s="65" t="s">
        <v>805</v>
      </c>
    </row>
    <row r="2204" spans="1:3" hidden="1">
      <c r="A2204" s="65">
        <v>9003684</v>
      </c>
      <c r="B2204" s="65" t="s">
        <v>2932</v>
      </c>
      <c r="C2204" s="65" t="s">
        <v>805</v>
      </c>
    </row>
    <row r="2205" spans="1:3" hidden="1">
      <c r="A2205" s="65">
        <v>9003685</v>
      </c>
      <c r="B2205" s="65" t="s">
        <v>2933</v>
      </c>
      <c r="C2205" s="65" t="s">
        <v>805</v>
      </c>
    </row>
    <row r="2206" spans="1:3" hidden="1">
      <c r="A2206" s="65">
        <v>9003686</v>
      </c>
      <c r="B2206" s="65" t="s">
        <v>2934</v>
      </c>
      <c r="C2206" s="65" t="s">
        <v>805</v>
      </c>
    </row>
    <row r="2207" spans="1:3" hidden="1">
      <c r="A2207" s="65">
        <v>9003687</v>
      </c>
      <c r="B2207" s="65" t="s">
        <v>2935</v>
      </c>
      <c r="C2207" s="65" t="s">
        <v>805</v>
      </c>
    </row>
    <row r="2208" spans="1:3" hidden="1">
      <c r="A2208" s="65">
        <v>9003688</v>
      </c>
      <c r="B2208" s="65" t="s">
        <v>2936</v>
      </c>
      <c r="C2208" s="65" t="s">
        <v>805</v>
      </c>
    </row>
    <row r="2209" spans="1:3" hidden="1">
      <c r="A2209" s="65">
        <v>9003689</v>
      </c>
      <c r="B2209" s="65" t="s">
        <v>2937</v>
      </c>
      <c r="C2209" s="65" t="s">
        <v>805</v>
      </c>
    </row>
    <row r="2210" spans="1:3" hidden="1">
      <c r="A2210" s="65">
        <v>9003690</v>
      </c>
      <c r="B2210" s="65" t="s">
        <v>2938</v>
      </c>
      <c r="C2210" s="65" t="s">
        <v>805</v>
      </c>
    </row>
    <row r="2211" spans="1:3" hidden="1">
      <c r="A2211" s="65">
        <v>9003691</v>
      </c>
      <c r="B2211" s="65" t="s">
        <v>2939</v>
      </c>
      <c r="C2211" s="65" t="s">
        <v>805</v>
      </c>
    </row>
    <row r="2212" spans="1:3" hidden="1">
      <c r="A2212" s="65">
        <v>9003692</v>
      </c>
      <c r="B2212" s="65" t="s">
        <v>2940</v>
      </c>
      <c r="C2212" s="65" t="s">
        <v>805</v>
      </c>
    </row>
    <row r="2213" spans="1:3" hidden="1">
      <c r="A2213" s="65">
        <v>9003693</v>
      </c>
      <c r="B2213" s="65" t="s">
        <v>2941</v>
      </c>
      <c r="C2213" s="65" t="s">
        <v>805</v>
      </c>
    </row>
    <row r="2214" spans="1:3" hidden="1">
      <c r="A2214" s="65">
        <v>9003694</v>
      </c>
      <c r="B2214" s="65" t="s">
        <v>2942</v>
      </c>
      <c r="C2214" s="65" t="s">
        <v>805</v>
      </c>
    </row>
    <row r="2215" spans="1:3" hidden="1">
      <c r="A2215" s="65">
        <v>9003695</v>
      </c>
      <c r="B2215" s="65" t="s">
        <v>2943</v>
      </c>
      <c r="C2215" s="65" t="s">
        <v>805</v>
      </c>
    </row>
    <row r="2216" spans="1:3" hidden="1">
      <c r="A2216" s="65">
        <v>9003696</v>
      </c>
      <c r="B2216" s="65" t="s">
        <v>2944</v>
      </c>
      <c r="C2216" s="65" t="s">
        <v>805</v>
      </c>
    </row>
    <row r="2217" spans="1:3" hidden="1">
      <c r="A2217" s="65">
        <v>9003697</v>
      </c>
      <c r="B2217" s="65" t="s">
        <v>2945</v>
      </c>
      <c r="C2217" s="65" t="s">
        <v>805</v>
      </c>
    </row>
    <row r="2218" spans="1:3" hidden="1">
      <c r="A2218" s="65">
        <v>9003698</v>
      </c>
      <c r="B2218" s="65" t="s">
        <v>2946</v>
      </c>
      <c r="C2218" s="65" t="s">
        <v>805</v>
      </c>
    </row>
    <row r="2219" spans="1:3" hidden="1">
      <c r="A2219" s="65">
        <v>9003699</v>
      </c>
      <c r="B2219" s="65" t="s">
        <v>2947</v>
      </c>
      <c r="C2219" s="65" t="s">
        <v>805</v>
      </c>
    </row>
    <row r="2220" spans="1:3" hidden="1">
      <c r="A2220" s="65">
        <v>9003700</v>
      </c>
      <c r="B2220" s="65" t="s">
        <v>2948</v>
      </c>
      <c r="C2220" s="65" t="s">
        <v>805</v>
      </c>
    </row>
    <row r="2221" spans="1:3" hidden="1">
      <c r="A2221" s="65">
        <v>9003701</v>
      </c>
      <c r="B2221" s="65" t="s">
        <v>2949</v>
      </c>
      <c r="C2221" s="65" t="s">
        <v>805</v>
      </c>
    </row>
    <row r="2222" spans="1:3" hidden="1">
      <c r="A2222" s="65">
        <v>9003702</v>
      </c>
      <c r="B2222" s="65" t="s">
        <v>2950</v>
      </c>
      <c r="C2222" s="65" t="s">
        <v>805</v>
      </c>
    </row>
    <row r="2223" spans="1:3" hidden="1">
      <c r="A2223" s="65">
        <v>9003703</v>
      </c>
      <c r="B2223" s="65" t="s">
        <v>2951</v>
      </c>
      <c r="C2223" s="65" t="s">
        <v>805</v>
      </c>
    </row>
    <row r="2224" spans="1:3" hidden="1">
      <c r="A2224" s="65">
        <v>9003704</v>
      </c>
      <c r="B2224" s="65" t="s">
        <v>2952</v>
      </c>
      <c r="C2224" s="65" t="s">
        <v>805</v>
      </c>
    </row>
    <row r="2225" spans="1:3" hidden="1">
      <c r="A2225" s="65">
        <v>9003705</v>
      </c>
      <c r="B2225" s="65" t="s">
        <v>2953</v>
      </c>
      <c r="C2225" s="65" t="s">
        <v>805</v>
      </c>
    </row>
    <row r="2226" spans="1:3" hidden="1">
      <c r="A2226" s="65">
        <v>9003706</v>
      </c>
      <c r="B2226" s="65" t="s">
        <v>2954</v>
      </c>
      <c r="C2226" s="65" t="s">
        <v>805</v>
      </c>
    </row>
    <row r="2227" spans="1:3" hidden="1">
      <c r="A2227" s="65">
        <v>9003707</v>
      </c>
      <c r="B2227" s="65" t="s">
        <v>2955</v>
      </c>
      <c r="C2227" s="65" t="s">
        <v>805</v>
      </c>
    </row>
    <row r="2228" spans="1:3" hidden="1">
      <c r="A2228" s="65">
        <v>9003708</v>
      </c>
      <c r="B2228" s="65" t="s">
        <v>2956</v>
      </c>
      <c r="C2228" s="65" t="s">
        <v>805</v>
      </c>
    </row>
    <row r="2229" spans="1:3" hidden="1">
      <c r="A2229" s="65">
        <v>9003709</v>
      </c>
      <c r="B2229" s="65" t="s">
        <v>2957</v>
      </c>
      <c r="C2229" s="65" t="s">
        <v>805</v>
      </c>
    </row>
    <row r="2230" spans="1:3" hidden="1">
      <c r="A2230" s="65">
        <v>9003710</v>
      </c>
      <c r="B2230" s="65" t="s">
        <v>2958</v>
      </c>
      <c r="C2230" s="65" t="s">
        <v>805</v>
      </c>
    </row>
    <row r="2231" spans="1:3" hidden="1">
      <c r="A2231" s="65">
        <v>9003711</v>
      </c>
      <c r="B2231" s="65" t="s">
        <v>2959</v>
      </c>
      <c r="C2231" s="65" t="s">
        <v>805</v>
      </c>
    </row>
    <row r="2232" spans="1:3" hidden="1">
      <c r="A2232" s="65">
        <v>9003712</v>
      </c>
      <c r="B2232" s="65" t="s">
        <v>2960</v>
      </c>
      <c r="C2232" s="65" t="s">
        <v>805</v>
      </c>
    </row>
    <row r="2233" spans="1:3" hidden="1">
      <c r="A2233" s="65">
        <v>9003713</v>
      </c>
      <c r="B2233" s="65" t="s">
        <v>2961</v>
      </c>
      <c r="C2233" s="65" t="s">
        <v>805</v>
      </c>
    </row>
    <row r="2234" spans="1:3" hidden="1">
      <c r="A2234" s="65">
        <v>9003714</v>
      </c>
      <c r="B2234" s="65" t="s">
        <v>2962</v>
      </c>
      <c r="C2234" s="65" t="s">
        <v>1111</v>
      </c>
    </row>
    <row r="2235" spans="1:3" hidden="1">
      <c r="A2235" s="65">
        <v>9003715</v>
      </c>
      <c r="B2235" s="65" t="s">
        <v>2963</v>
      </c>
      <c r="C2235" s="65" t="s">
        <v>745</v>
      </c>
    </row>
    <row r="2236" spans="1:3" hidden="1">
      <c r="A2236" s="65">
        <v>9003716</v>
      </c>
      <c r="B2236" s="65" t="s">
        <v>2964</v>
      </c>
      <c r="C2236" s="65" t="s">
        <v>805</v>
      </c>
    </row>
    <row r="2237" spans="1:3" hidden="1">
      <c r="A2237" s="65">
        <v>9003717</v>
      </c>
      <c r="B2237" s="65" t="s">
        <v>2965</v>
      </c>
      <c r="C2237" s="65" t="s">
        <v>805</v>
      </c>
    </row>
    <row r="2238" spans="1:3" hidden="1">
      <c r="A2238" s="65">
        <v>9003718</v>
      </c>
      <c r="B2238" s="65" t="s">
        <v>2966</v>
      </c>
      <c r="C2238" s="65" t="s">
        <v>732</v>
      </c>
    </row>
    <row r="2239" spans="1:3" hidden="1">
      <c r="A2239" s="65">
        <v>9003719</v>
      </c>
      <c r="B2239" s="65" t="s">
        <v>2967</v>
      </c>
      <c r="C2239" s="65" t="s">
        <v>850</v>
      </c>
    </row>
    <row r="2240" spans="1:3" hidden="1">
      <c r="A2240" s="65">
        <v>9003720</v>
      </c>
      <c r="B2240" s="65" t="s">
        <v>2968</v>
      </c>
      <c r="C2240" s="65" t="s">
        <v>805</v>
      </c>
    </row>
    <row r="2241" spans="1:3" hidden="1">
      <c r="A2241" s="65">
        <v>9003721</v>
      </c>
      <c r="B2241" s="65" t="s">
        <v>2969</v>
      </c>
      <c r="C2241" s="65" t="s">
        <v>805</v>
      </c>
    </row>
    <row r="2242" spans="1:3" hidden="1">
      <c r="A2242" s="65">
        <v>9003722</v>
      </c>
      <c r="B2242" s="65" t="s">
        <v>2970</v>
      </c>
      <c r="C2242" s="65" t="s">
        <v>805</v>
      </c>
    </row>
    <row r="2243" spans="1:3" hidden="1">
      <c r="A2243" s="65">
        <v>9003723</v>
      </c>
      <c r="B2243" s="65" t="s">
        <v>2971</v>
      </c>
      <c r="C2243" s="65" t="s">
        <v>805</v>
      </c>
    </row>
    <row r="2244" spans="1:3" hidden="1">
      <c r="A2244" s="65">
        <v>9003724</v>
      </c>
      <c r="B2244" s="65" t="s">
        <v>2972</v>
      </c>
      <c r="C2244" s="65" t="s">
        <v>805</v>
      </c>
    </row>
    <row r="2245" spans="1:3" hidden="1">
      <c r="A2245" s="65">
        <v>9003725</v>
      </c>
      <c r="B2245" s="65" t="s">
        <v>2973</v>
      </c>
      <c r="C2245" s="65" t="s">
        <v>805</v>
      </c>
    </row>
    <row r="2246" spans="1:3" hidden="1">
      <c r="A2246" s="65">
        <v>9003726</v>
      </c>
      <c r="B2246" s="65" t="s">
        <v>2974</v>
      </c>
      <c r="C2246" s="65" t="s">
        <v>805</v>
      </c>
    </row>
    <row r="2247" spans="1:3" hidden="1">
      <c r="A2247" s="65">
        <v>9003727</v>
      </c>
      <c r="B2247" s="65" t="s">
        <v>2975</v>
      </c>
      <c r="C2247" s="65" t="s">
        <v>805</v>
      </c>
    </row>
    <row r="2248" spans="1:3" hidden="1">
      <c r="A2248" s="65">
        <v>9003728</v>
      </c>
      <c r="B2248" s="65" t="s">
        <v>2976</v>
      </c>
      <c r="C2248" s="65" t="s">
        <v>805</v>
      </c>
    </row>
    <row r="2249" spans="1:3" hidden="1">
      <c r="A2249" s="65">
        <v>9003729</v>
      </c>
      <c r="B2249" s="65" t="s">
        <v>2977</v>
      </c>
      <c r="C2249" s="65" t="s">
        <v>805</v>
      </c>
    </row>
    <row r="2250" spans="1:3" hidden="1">
      <c r="A2250" s="65">
        <v>9003730</v>
      </c>
      <c r="B2250" s="65" t="s">
        <v>2978</v>
      </c>
      <c r="C2250" s="65" t="s">
        <v>805</v>
      </c>
    </row>
    <row r="2251" spans="1:3" hidden="1">
      <c r="A2251" s="65">
        <v>9003731</v>
      </c>
      <c r="B2251" s="65" t="s">
        <v>2979</v>
      </c>
      <c r="C2251" s="65" t="s">
        <v>805</v>
      </c>
    </row>
    <row r="2252" spans="1:3" hidden="1">
      <c r="A2252" s="65">
        <v>9003739</v>
      </c>
      <c r="B2252" s="65" t="s">
        <v>2980</v>
      </c>
      <c r="C2252" s="65" t="s">
        <v>805</v>
      </c>
    </row>
    <row r="2253" spans="1:3" hidden="1">
      <c r="A2253" s="65">
        <v>9003740</v>
      </c>
      <c r="B2253" s="65" t="s">
        <v>2981</v>
      </c>
      <c r="C2253" s="65" t="s">
        <v>805</v>
      </c>
    </row>
    <row r="2254" spans="1:3" hidden="1">
      <c r="A2254" s="65">
        <v>9003741</v>
      </c>
      <c r="B2254" s="65" t="s">
        <v>2982</v>
      </c>
      <c r="C2254" s="65" t="s">
        <v>738</v>
      </c>
    </row>
    <row r="2255" spans="1:3" hidden="1">
      <c r="A2255" s="65">
        <v>9003742</v>
      </c>
      <c r="B2255" s="65" t="s">
        <v>2983</v>
      </c>
      <c r="C2255" s="65" t="s">
        <v>805</v>
      </c>
    </row>
    <row r="2256" spans="1:3" hidden="1">
      <c r="A2256" s="65">
        <v>9003749</v>
      </c>
      <c r="B2256" s="65" t="s">
        <v>2984</v>
      </c>
      <c r="C2256" s="65" t="s">
        <v>732</v>
      </c>
    </row>
    <row r="2257" spans="1:3" hidden="1">
      <c r="A2257" s="65">
        <v>9003759</v>
      </c>
      <c r="B2257" s="65" t="s">
        <v>2985</v>
      </c>
      <c r="C2257" s="65" t="s">
        <v>805</v>
      </c>
    </row>
    <row r="2258" spans="1:3" hidden="1">
      <c r="A2258" s="65">
        <v>9003760</v>
      </c>
      <c r="B2258" s="65" t="s">
        <v>2986</v>
      </c>
      <c r="C2258" s="65" t="s">
        <v>793</v>
      </c>
    </row>
    <row r="2259" spans="1:3" hidden="1">
      <c r="A2259" s="65">
        <v>9003761</v>
      </c>
      <c r="B2259" s="65" t="s">
        <v>2987</v>
      </c>
      <c r="C2259" s="65" t="s">
        <v>805</v>
      </c>
    </row>
    <row r="2260" spans="1:3" hidden="1">
      <c r="A2260" s="65">
        <v>9003769</v>
      </c>
      <c r="B2260" s="65" t="s">
        <v>2988</v>
      </c>
      <c r="C2260" s="65" t="s">
        <v>807</v>
      </c>
    </row>
    <row r="2261" spans="1:3" hidden="1">
      <c r="A2261" s="65">
        <v>9003770</v>
      </c>
      <c r="B2261" s="65" t="s">
        <v>2989</v>
      </c>
      <c r="C2261" s="65" t="s">
        <v>793</v>
      </c>
    </row>
    <row r="2262" spans="1:3" hidden="1">
      <c r="A2262" s="65">
        <v>9003771</v>
      </c>
      <c r="B2262" s="65" t="s">
        <v>2990</v>
      </c>
      <c r="C2262" s="65" t="s">
        <v>732</v>
      </c>
    </row>
    <row r="2263" spans="1:3" hidden="1">
      <c r="A2263" s="65">
        <v>9003772</v>
      </c>
      <c r="B2263" s="65" t="s">
        <v>2991</v>
      </c>
      <c r="C2263" s="65" t="s">
        <v>786</v>
      </c>
    </row>
    <row r="2264" spans="1:3" hidden="1">
      <c r="A2264" s="65">
        <v>9003779</v>
      </c>
      <c r="B2264" s="65" t="s">
        <v>2979</v>
      </c>
      <c r="C2264" s="65" t="s">
        <v>805</v>
      </c>
    </row>
    <row r="2265" spans="1:3" hidden="1">
      <c r="A2265" s="65">
        <v>9003780</v>
      </c>
      <c r="B2265" s="65" t="s">
        <v>2978</v>
      </c>
      <c r="C2265" s="65" t="s">
        <v>805</v>
      </c>
    </row>
    <row r="2266" spans="1:3" hidden="1">
      <c r="A2266" s="65">
        <v>9003781</v>
      </c>
      <c r="B2266" s="65" t="s">
        <v>2977</v>
      </c>
      <c r="C2266" s="65" t="s">
        <v>805</v>
      </c>
    </row>
    <row r="2267" spans="1:3" hidden="1">
      <c r="A2267" s="65">
        <v>9003782</v>
      </c>
      <c r="B2267" s="65" t="s">
        <v>2976</v>
      </c>
      <c r="C2267" s="65" t="s">
        <v>805</v>
      </c>
    </row>
    <row r="2268" spans="1:3" hidden="1">
      <c r="A2268" s="65">
        <v>9003783</v>
      </c>
      <c r="B2268" s="65" t="s">
        <v>2976</v>
      </c>
      <c r="C2268" s="65" t="s">
        <v>805</v>
      </c>
    </row>
    <row r="2269" spans="1:3" hidden="1">
      <c r="A2269" s="65">
        <v>9003784</v>
      </c>
      <c r="B2269" s="65" t="s">
        <v>2975</v>
      </c>
      <c r="C2269" s="65" t="s">
        <v>805</v>
      </c>
    </row>
    <row r="2270" spans="1:3" hidden="1">
      <c r="A2270" s="65">
        <v>9003785</v>
      </c>
      <c r="B2270" s="65" t="s">
        <v>2974</v>
      </c>
      <c r="C2270" s="65" t="s">
        <v>805</v>
      </c>
    </row>
    <row r="2271" spans="1:3" hidden="1">
      <c r="A2271" s="65">
        <v>9003786</v>
      </c>
      <c r="B2271" s="65" t="s">
        <v>2973</v>
      </c>
      <c r="C2271" s="65" t="s">
        <v>805</v>
      </c>
    </row>
    <row r="2272" spans="1:3" hidden="1">
      <c r="A2272" s="65">
        <v>9003787</v>
      </c>
      <c r="B2272" s="65" t="s">
        <v>2972</v>
      </c>
      <c r="C2272" s="65" t="s">
        <v>805</v>
      </c>
    </row>
    <row r="2273" spans="1:3" hidden="1">
      <c r="A2273" s="65">
        <v>9003788</v>
      </c>
      <c r="B2273" s="65" t="s">
        <v>2971</v>
      </c>
      <c r="C2273" s="65" t="s">
        <v>805</v>
      </c>
    </row>
    <row r="2274" spans="1:3" hidden="1">
      <c r="A2274" s="65">
        <v>9003789</v>
      </c>
      <c r="B2274" s="65" t="s">
        <v>2970</v>
      </c>
      <c r="C2274" s="65" t="s">
        <v>805</v>
      </c>
    </row>
    <row r="2275" spans="1:3" hidden="1">
      <c r="A2275" s="65">
        <v>9003790</v>
      </c>
      <c r="B2275" s="65" t="s">
        <v>2969</v>
      </c>
      <c r="C2275" s="65" t="s">
        <v>805</v>
      </c>
    </row>
    <row r="2276" spans="1:3" hidden="1">
      <c r="A2276" s="65">
        <v>9003791</v>
      </c>
      <c r="B2276" s="65" t="s">
        <v>2968</v>
      </c>
      <c r="C2276" s="65" t="s">
        <v>805</v>
      </c>
    </row>
    <row r="2277" spans="1:3" hidden="1">
      <c r="A2277" s="65">
        <v>9003792</v>
      </c>
      <c r="B2277" s="65" t="s">
        <v>2992</v>
      </c>
      <c r="C2277" s="65" t="s">
        <v>942</v>
      </c>
    </row>
    <row r="2278" spans="1:3" hidden="1">
      <c r="A2278" s="65">
        <v>9003799</v>
      </c>
      <c r="B2278" s="65" t="s">
        <v>2993</v>
      </c>
      <c r="C2278" s="65" t="s">
        <v>942</v>
      </c>
    </row>
    <row r="2279" spans="1:3" hidden="1">
      <c r="A2279" s="65">
        <v>9003800</v>
      </c>
      <c r="B2279" s="65" t="s">
        <v>2994</v>
      </c>
      <c r="C2279" s="65" t="s">
        <v>805</v>
      </c>
    </row>
    <row r="2280" spans="1:3" hidden="1">
      <c r="A2280" s="65">
        <v>9003801</v>
      </c>
      <c r="B2280" s="65" t="s">
        <v>2995</v>
      </c>
      <c r="C2280" s="65" t="s">
        <v>942</v>
      </c>
    </row>
    <row r="2281" spans="1:3" hidden="1">
      <c r="A2281" s="65">
        <v>9003802</v>
      </c>
      <c r="B2281" s="65" t="s">
        <v>2996</v>
      </c>
      <c r="C2281" s="65" t="s">
        <v>805</v>
      </c>
    </row>
    <row r="2282" spans="1:3" hidden="1">
      <c r="A2282" s="65">
        <v>9003803</v>
      </c>
      <c r="B2282" s="65" t="s">
        <v>2997</v>
      </c>
      <c r="C2282" s="65" t="s">
        <v>942</v>
      </c>
    </row>
    <row r="2283" spans="1:3" hidden="1">
      <c r="A2283" s="65">
        <v>9003804</v>
      </c>
      <c r="B2283" s="65" t="s">
        <v>2998</v>
      </c>
      <c r="C2283" s="65" t="s">
        <v>942</v>
      </c>
    </row>
    <row r="2284" spans="1:3" hidden="1">
      <c r="A2284" s="65">
        <v>9003805</v>
      </c>
      <c r="B2284" s="65" t="s">
        <v>2999</v>
      </c>
      <c r="C2284" s="65" t="s">
        <v>942</v>
      </c>
    </row>
    <row r="2285" spans="1:3" hidden="1">
      <c r="A2285" s="65">
        <v>9003809</v>
      </c>
      <c r="B2285" s="65" t="s">
        <v>3000</v>
      </c>
      <c r="C2285" s="65" t="s">
        <v>805</v>
      </c>
    </row>
    <row r="2286" spans="1:3" hidden="1">
      <c r="A2286" s="65">
        <v>9003810</v>
      </c>
      <c r="B2286" s="65" t="s">
        <v>3001</v>
      </c>
      <c r="C2286" s="65" t="s">
        <v>805</v>
      </c>
    </row>
    <row r="2287" spans="1:3" hidden="1">
      <c r="A2287" s="65">
        <v>9003811</v>
      </c>
      <c r="B2287" s="65" t="s">
        <v>3002</v>
      </c>
      <c r="C2287" s="65" t="s">
        <v>805</v>
      </c>
    </row>
    <row r="2288" spans="1:3" hidden="1">
      <c r="A2288" s="65">
        <v>9003819</v>
      </c>
      <c r="B2288" s="65" t="s">
        <v>3003</v>
      </c>
      <c r="C2288" s="65" t="s">
        <v>805</v>
      </c>
    </row>
    <row r="2289" spans="1:3" hidden="1">
      <c r="A2289" s="65">
        <v>9003820</v>
      </c>
      <c r="B2289" s="65" t="s">
        <v>3004</v>
      </c>
      <c r="C2289" s="65" t="s">
        <v>805</v>
      </c>
    </row>
    <row r="2290" spans="1:3" hidden="1">
      <c r="A2290" s="65">
        <v>9003821</v>
      </c>
      <c r="B2290" s="65" t="s">
        <v>3005</v>
      </c>
      <c r="C2290" s="65" t="s">
        <v>942</v>
      </c>
    </row>
    <row r="2291" spans="1:3" hidden="1">
      <c r="A2291" s="65">
        <v>9003829</v>
      </c>
      <c r="B2291" s="65" t="s">
        <v>3006</v>
      </c>
      <c r="C2291" s="65" t="s">
        <v>942</v>
      </c>
    </row>
    <row r="2292" spans="1:3" hidden="1">
      <c r="A2292" s="65">
        <v>9003830</v>
      </c>
      <c r="B2292" s="65" t="s">
        <v>3007</v>
      </c>
      <c r="C2292" s="65" t="s">
        <v>942</v>
      </c>
    </row>
    <row r="2293" spans="1:3" hidden="1">
      <c r="A2293" s="65">
        <v>9003831</v>
      </c>
      <c r="B2293" s="65" t="s">
        <v>3008</v>
      </c>
      <c r="C2293" s="65" t="s">
        <v>942</v>
      </c>
    </row>
    <row r="2294" spans="1:3" hidden="1">
      <c r="A2294" s="65">
        <v>9003832</v>
      </c>
      <c r="B2294" s="65" t="s">
        <v>3009</v>
      </c>
      <c r="C2294" s="65" t="s">
        <v>942</v>
      </c>
    </row>
    <row r="2295" spans="1:3" hidden="1">
      <c r="A2295" s="65">
        <v>9003833</v>
      </c>
      <c r="B2295" s="65" t="s">
        <v>3010</v>
      </c>
      <c r="C2295" s="65" t="s">
        <v>942</v>
      </c>
    </row>
    <row r="2296" spans="1:3" hidden="1">
      <c r="A2296" s="65">
        <v>9003834</v>
      </c>
      <c r="B2296" s="65" t="s">
        <v>3011</v>
      </c>
      <c r="C2296" s="65" t="s">
        <v>942</v>
      </c>
    </row>
    <row r="2297" spans="1:3" hidden="1">
      <c r="A2297" s="65">
        <v>9003835</v>
      </c>
      <c r="B2297" s="65" t="s">
        <v>3012</v>
      </c>
      <c r="C2297" s="65" t="s">
        <v>942</v>
      </c>
    </row>
    <row r="2298" spans="1:3" hidden="1">
      <c r="A2298" s="65">
        <v>9003836</v>
      </c>
      <c r="B2298" s="65" t="s">
        <v>3013</v>
      </c>
      <c r="C2298" s="65" t="s">
        <v>942</v>
      </c>
    </row>
    <row r="2299" spans="1:3" hidden="1">
      <c r="A2299" s="65">
        <v>9003837</v>
      </c>
      <c r="B2299" s="65" t="s">
        <v>3014</v>
      </c>
      <c r="C2299" s="65" t="s">
        <v>805</v>
      </c>
    </row>
    <row r="2300" spans="1:3" hidden="1">
      <c r="A2300" s="65">
        <v>9003838</v>
      </c>
      <c r="B2300" s="65" t="s">
        <v>3015</v>
      </c>
      <c r="C2300" s="65" t="s">
        <v>942</v>
      </c>
    </row>
    <row r="2301" spans="1:3" hidden="1">
      <c r="A2301" s="65">
        <v>9003839</v>
      </c>
      <c r="B2301" s="65" t="s">
        <v>3016</v>
      </c>
      <c r="C2301" s="65" t="s">
        <v>942</v>
      </c>
    </row>
    <row r="2302" spans="1:3" hidden="1">
      <c r="A2302" s="65">
        <v>9003840</v>
      </c>
      <c r="B2302" s="65" t="s">
        <v>3017</v>
      </c>
      <c r="C2302" s="65" t="s">
        <v>942</v>
      </c>
    </row>
    <row r="2303" spans="1:3" hidden="1">
      <c r="A2303" s="65">
        <v>9003841</v>
      </c>
      <c r="B2303" s="65" t="s">
        <v>3017</v>
      </c>
      <c r="C2303" s="65" t="s">
        <v>942</v>
      </c>
    </row>
    <row r="2304" spans="1:3" hidden="1">
      <c r="A2304" s="65">
        <v>9003842</v>
      </c>
      <c r="B2304" s="65" t="s">
        <v>3017</v>
      </c>
      <c r="C2304" s="65" t="s">
        <v>942</v>
      </c>
    </row>
    <row r="2305" spans="1:3" hidden="1">
      <c r="A2305" s="65">
        <v>9003843</v>
      </c>
      <c r="B2305" s="65" t="s">
        <v>3018</v>
      </c>
      <c r="C2305" s="65" t="s">
        <v>942</v>
      </c>
    </row>
    <row r="2306" spans="1:3" hidden="1">
      <c r="A2306" s="65">
        <v>9003844</v>
      </c>
      <c r="B2306" s="65" t="s">
        <v>3019</v>
      </c>
      <c r="C2306" s="65" t="s">
        <v>942</v>
      </c>
    </row>
    <row r="2307" spans="1:3" hidden="1">
      <c r="A2307" s="65">
        <v>9003845</v>
      </c>
      <c r="B2307" s="65" t="s">
        <v>3019</v>
      </c>
      <c r="C2307" s="65" t="s">
        <v>942</v>
      </c>
    </row>
    <row r="2308" spans="1:3" hidden="1">
      <c r="A2308" s="65">
        <v>9003846</v>
      </c>
      <c r="B2308" s="65" t="s">
        <v>3019</v>
      </c>
      <c r="C2308" s="65" t="s">
        <v>942</v>
      </c>
    </row>
    <row r="2309" spans="1:3" hidden="1">
      <c r="A2309" s="65">
        <v>9003847</v>
      </c>
      <c r="B2309" s="65" t="s">
        <v>3020</v>
      </c>
      <c r="C2309" s="65" t="s">
        <v>793</v>
      </c>
    </row>
    <row r="2310" spans="1:3" hidden="1">
      <c r="A2310" s="65">
        <v>9003848</v>
      </c>
      <c r="B2310" s="65" t="s">
        <v>3021</v>
      </c>
      <c r="C2310" s="65" t="s">
        <v>793</v>
      </c>
    </row>
    <row r="2311" spans="1:3" hidden="1">
      <c r="A2311" s="65">
        <v>9003849</v>
      </c>
      <c r="B2311" s="65" t="s">
        <v>3022</v>
      </c>
      <c r="C2311" s="65" t="s">
        <v>942</v>
      </c>
    </row>
    <row r="2312" spans="1:3" hidden="1">
      <c r="A2312" s="65">
        <v>9003859</v>
      </c>
      <c r="B2312" s="65" t="s">
        <v>3023</v>
      </c>
      <c r="C2312" s="65" t="s">
        <v>942</v>
      </c>
    </row>
    <row r="2313" spans="1:3" hidden="1">
      <c r="A2313" s="65">
        <v>9003860</v>
      </c>
      <c r="B2313" s="65" t="s">
        <v>3024</v>
      </c>
      <c r="C2313" s="65" t="s">
        <v>942</v>
      </c>
    </row>
    <row r="2314" spans="1:3" hidden="1">
      <c r="A2314" s="65">
        <v>9003861</v>
      </c>
      <c r="B2314" s="65" t="s">
        <v>3025</v>
      </c>
      <c r="C2314" s="65" t="s">
        <v>942</v>
      </c>
    </row>
    <row r="2315" spans="1:3" hidden="1">
      <c r="A2315" s="65">
        <v>9003862</v>
      </c>
      <c r="B2315" s="65" t="s">
        <v>3026</v>
      </c>
      <c r="C2315" s="65" t="s">
        <v>942</v>
      </c>
    </row>
    <row r="2316" spans="1:3" hidden="1">
      <c r="A2316" s="65">
        <v>9003869</v>
      </c>
      <c r="B2316" s="65" t="s">
        <v>3027</v>
      </c>
      <c r="C2316" s="65" t="s">
        <v>942</v>
      </c>
    </row>
    <row r="2317" spans="1:3" hidden="1">
      <c r="A2317" s="65">
        <v>9003870</v>
      </c>
      <c r="B2317" s="65" t="s">
        <v>3028</v>
      </c>
      <c r="C2317" s="65" t="s">
        <v>805</v>
      </c>
    </row>
    <row r="2318" spans="1:3" hidden="1">
      <c r="A2318" s="65">
        <v>9003871</v>
      </c>
      <c r="B2318" s="65" t="s">
        <v>3029</v>
      </c>
      <c r="C2318" s="65" t="s">
        <v>805</v>
      </c>
    </row>
    <row r="2319" spans="1:3" hidden="1">
      <c r="A2319" s="65">
        <v>9003879</v>
      </c>
      <c r="B2319" s="65" t="s">
        <v>3030</v>
      </c>
      <c r="C2319" s="65" t="s">
        <v>850</v>
      </c>
    </row>
    <row r="2320" spans="1:3" hidden="1">
      <c r="A2320" s="65">
        <v>9003880</v>
      </c>
      <c r="B2320" s="65" t="s">
        <v>3031</v>
      </c>
      <c r="C2320" s="65" t="s">
        <v>942</v>
      </c>
    </row>
    <row r="2321" spans="1:3" hidden="1">
      <c r="A2321" s="65">
        <v>9003889</v>
      </c>
      <c r="B2321" s="65" t="s">
        <v>3032</v>
      </c>
      <c r="C2321" s="65" t="s">
        <v>942</v>
      </c>
    </row>
    <row r="2322" spans="1:3" hidden="1">
      <c r="A2322" s="65">
        <v>9003890</v>
      </c>
      <c r="B2322" s="65" t="s">
        <v>3033</v>
      </c>
      <c r="C2322" s="65" t="s">
        <v>942</v>
      </c>
    </row>
    <row r="2323" spans="1:3" hidden="1">
      <c r="A2323" s="65">
        <v>9003891</v>
      </c>
      <c r="B2323" s="65" t="s">
        <v>3034</v>
      </c>
      <c r="C2323" s="65" t="s">
        <v>942</v>
      </c>
    </row>
    <row r="2324" spans="1:3" hidden="1">
      <c r="A2324" s="65">
        <v>9003892</v>
      </c>
      <c r="B2324" s="65" t="s">
        <v>3035</v>
      </c>
      <c r="C2324" s="65" t="s">
        <v>942</v>
      </c>
    </row>
    <row r="2325" spans="1:3" hidden="1">
      <c r="A2325" s="65">
        <v>9003893</v>
      </c>
      <c r="B2325" s="65" t="s">
        <v>3036</v>
      </c>
      <c r="C2325" s="65" t="s">
        <v>942</v>
      </c>
    </row>
    <row r="2326" spans="1:3" hidden="1">
      <c r="A2326" s="65">
        <v>9003894</v>
      </c>
      <c r="B2326" s="65" t="s">
        <v>3037</v>
      </c>
      <c r="C2326" s="65" t="s">
        <v>942</v>
      </c>
    </row>
    <row r="2327" spans="1:3" hidden="1">
      <c r="A2327" s="65">
        <v>9003895</v>
      </c>
      <c r="B2327" s="65" t="s">
        <v>3038</v>
      </c>
      <c r="C2327" s="65" t="s">
        <v>942</v>
      </c>
    </row>
    <row r="2328" spans="1:3" hidden="1">
      <c r="A2328" s="65">
        <v>9003896</v>
      </c>
      <c r="B2328" s="65" t="s">
        <v>3039</v>
      </c>
      <c r="C2328" s="65" t="s">
        <v>942</v>
      </c>
    </row>
    <row r="2329" spans="1:3" hidden="1">
      <c r="A2329" s="65">
        <v>9003897</v>
      </c>
      <c r="B2329" s="65" t="s">
        <v>3040</v>
      </c>
      <c r="C2329" s="65" t="s">
        <v>942</v>
      </c>
    </row>
    <row r="2330" spans="1:3" hidden="1">
      <c r="A2330" s="65">
        <v>9003898</v>
      </c>
      <c r="B2330" s="65" t="s">
        <v>3041</v>
      </c>
      <c r="C2330" s="65" t="s">
        <v>942</v>
      </c>
    </row>
    <row r="2331" spans="1:3" hidden="1">
      <c r="A2331" s="65">
        <v>9003899</v>
      </c>
      <c r="B2331" s="65" t="s">
        <v>3042</v>
      </c>
      <c r="C2331" s="65" t="s">
        <v>942</v>
      </c>
    </row>
    <row r="2332" spans="1:3" hidden="1">
      <c r="A2332" s="65">
        <v>9003900</v>
      </c>
      <c r="B2332" s="65" t="s">
        <v>3032</v>
      </c>
      <c r="C2332" s="65" t="s">
        <v>942</v>
      </c>
    </row>
    <row r="2333" spans="1:3" hidden="1">
      <c r="A2333" s="65">
        <v>9003901</v>
      </c>
      <c r="B2333" s="65" t="s">
        <v>3043</v>
      </c>
      <c r="C2333" s="65" t="s">
        <v>942</v>
      </c>
    </row>
    <row r="2334" spans="1:3" hidden="1">
      <c r="A2334" s="65">
        <v>9003902</v>
      </c>
      <c r="B2334" s="65" t="s">
        <v>3044</v>
      </c>
      <c r="C2334" s="65" t="s">
        <v>942</v>
      </c>
    </row>
    <row r="2335" spans="1:3" hidden="1">
      <c r="A2335" s="65">
        <v>9003903</v>
      </c>
      <c r="B2335" s="65" t="s">
        <v>3045</v>
      </c>
      <c r="C2335" s="65" t="s">
        <v>942</v>
      </c>
    </row>
    <row r="2336" spans="1:3" hidden="1">
      <c r="A2336" s="65">
        <v>9003904</v>
      </c>
      <c r="B2336" s="65" t="s">
        <v>3046</v>
      </c>
      <c r="C2336" s="65" t="s">
        <v>942</v>
      </c>
    </row>
    <row r="2337" spans="1:3" hidden="1">
      <c r="A2337" s="65">
        <v>9003905</v>
      </c>
      <c r="B2337" s="65" t="s">
        <v>3047</v>
      </c>
      <c r="C2337" s="65" t="s">
        <v>942</v>
      </c>
    </row>
    <row r="2338" spans="1:3" hidden="1">
      <c r="A2338" s="65">
        <v>9003906</v>
      </c>
      <c r="B2338" s="65" t="s">
        <v>3048</v>
      </c>
      <c r="C2338" s="65" t="s">
        <v>942</v>
      </c>
    </row>
    <row r="2339" spans="1:3" hidden="1">
      <c r="A2339" s="65">
        <v>9003907</v>
      </c>
      <c r="B2339" s="65" t="s">
        <v>3049</v>
      </c>
      <c r="C2339" s="65" t="s">
        <v>942</v>
      </c>
    </row>
    <row r="2340" spans="1:3" hidden="1">
      <c r="A2340" s="65">
        <v>9003908</v>
      </c>
      <c r="B2340" s="65" t="s">
        <v>3050</v>
      </c>
      <c r="C2340" s="65" t="s">
        <v>942</v>
      </c>
    </row>
    <row r="2341" spans="1:3">
      <c r="A2341" s="65">
        <v>9003909</v>
      </c>
      <c r="B2341" s="65" t="s">
        <v>3051</v>
      </c>
      <c r="C2341" s="65" t="s">
        <v>942</v>
      </c>
    </row>
    <row r="2342" spans="1:3" hidden="1">
      <c r="A2342" s="65">
        <v>9003910</v>
      </c>
      <c r="B2342" s="65" t="s">
        <v>3052</v>
      </c>
      <c r="C2342" s="65" t="s">
        <v>942</v>
      </c>
    </row>
    <row r="2343" spans="1:3" hidden="1">
      <c r="A2343" s="65">
        <v>9003911</v>
      </c>
      <c r="B2343" s="65" t="s">
        <v>3053</v>
      </c>
      <c r="C2343" s="65" t="s">
        <v>942</v>
      </c>
    </row>
    <row r="2344" spans="1:3" hidden="1">
      <c r="A2344" s="65">
        <v>9003912</v>
      </c>
      <c r="B2344" s="65" t="s">
        <v>3054</v>
      </c>
      <c r="C2344" s="65" t="s">
        <v>942</v>
      </c>
    </row>
    <row r="2345" spans="1:3" hidden="1">
      <c r="A2345" s="65">
        <v>9003913</v>
      </c>
      <c r="B2345" s="65" t="s">
        <v>3055</v>
      </c>
      <c r="C2345" s="65" t="s">
        <v>942</v>
      </c>
    </row>
    <row r="2346" spans="1:3" hidden="1">
      <c r="A2346" s="65">
        <v>9003914</v>
      </c>
      <c r="B2346" s="65" t="s">
        <v>3055</v>
      </c>
      <c r="C2346" s="65" t="s">
        <v>942</v>
      </c>
    </row>
    <row r="2347" spans="1:3" hidden="1">
      <c r="A2347" s="65">
        <v>9003915</v>
      </c>
      <c r="B2347" s="65" t="s">
        <v>3056</v>
      </c>
      <c r="C2347" s="65" t="s">
        <v>942</v>
      </c>
    </row>
    <row r="2348" spans="1:3" hidden="1">
      <c r="A2348" s="65">
        <v>9003916</v>
      </c>
      <c r="B2348" s="65" t="s">
        <v>3057</v>
      </c>
      <c r="C2348" s="65" t="s">
        <v>942</v>
      </c>
    </row>
    <row r="2349" spans="1:3" hidden="1">
      <c r="A2349" s="65">
        <v>9003917</v>
      </c>
      <c r="B2349" s="65" t="s">
        <v>3033</v>
      </c>
      <c r="C2349" s="65" t="s">
        <v>942</v>
      </c>
    </row>
    <row r="2350" spans="1:3" hidden="1">
      <c r="A2350" s="65">
        <v>9003918</v>
      </c>
      <c r="B2350" s="65" t="s">
        <v>3058</v>
      </c>
      <c r="C2350" s="65" t="s">
        <v>942</v>
      </c>
    </row>
    <row r="2351" spans="1:3" hidden="1">
      <c r="A2351" s="65">
        <v>9003919</v>
      </c>
      <c r="B2351" s="65" t="s">
        <v>3059</v>
      </c>
      <c r="C2351" s="65" t="s">
        <v>942</v>
      </c>
    </row>
    <row r="2352" spans="1:3" hidden="1">
      <c r="A2352" s="65">
        <v>9003920</v>
      </c>
      <c r="B2352" s="65" t="s">
        <v>3060</v>
      </c>
      <c r="C2352" s="65" t="s">
        <v>942</v>
      </c>
    </row>
    <row r="2353" spans="1:3" hidden="1">
      <c r="A2353" s="65">
        <v>9003921</v>
      </c>
      <c r="B2353" s="65" t="s">
        <v>3061</v>
      </c>
      <c r="C2353" s="65" t="s">
        <v>942</v>
      </c>
    </row>
    <row r="2354" spans="1:3" hidden="1">
      <c r="A2354" s="65">
        <v>9003922</v>
      </c>
      <c r="B2354" s="65" t="s">
        <v>3062</v>
      </c>
      <c r="C2354" s="65" t="s">
        <v>942</v>
      </c>
    </row>
    <row r="2355" spans="1:3" hidden="1">
      <c r="A2355" s="65">
        <v>9003923</v>
      </c>
      <c r="B2355" s="65" t="s">
        <v>3063</v>
      </c>
      <c r="C2355" s="65" t="s">
        <v>942</v>
      </c>
    </row>
    <row r="2356" spans="1:3" hidden="1">
      <c r="A2356" s="65">
        <v>9003924</v>
      </c>
      <c r="B2356" s="65" t="s">
        <v>3064</v>
      </c>
      <c r="C2356" s="65" t="s">
        <v>942</v>
      </c>
    </row>
    <row r="2357" spans="1:3" hidden="1">
      <c r="A2357" s="65">
        <v>9003925</v>
      </c>
      <c r="B2357" s="65" t="s">
        <v>3065</v>
      </c>
      <c r="C2357" s="65" t="s">
        <v>942</v>
      </c>
    </row>
    <row r="2358" spans="1:3" hidden="1">
      <c r="A2358" s="65">
        <v>9003926</v>
      </c>
      <c r="B2358" s="65" t="s">
        <v>3066</v>
      </c>
      <c r="C2358" s="65" t="s">
        <v>942</v>
      </c>
    </row>
    <row r="2359" spans="1:3" hidden="1">
      <c r="A2359" s="65">
        <v>9003927</v>
      </c>
      <c r="B2359" s="65" t="s">
        <v>3067</v>
      </c>
      <c r="C2359" s="65" t="s">
        <v>942</v>
      </c>
    </row>
    <row r="2360" spans="1:3" hidden="1">
      <c r="A2360" s="65">
        <v>9003928</v>
      </c>
      <c r="B2360" s="65" t="s">
        <v>3068</v>
      </c>
      <c r="C2360" s="65" t="s">
        <v>942</v>
      </c>
    </row>
    <row r="2361" spans="1:3" hidden="1">
      <c r="A2361" s="65">
        <v>9003929</v>
      </c>
      <c r="B2361" s="65" t="s">
        <v>3069</v>
      </c>
      <c r="C2361" s="65" t="s">
        <v>942</v>
      </c>
    </row>
    <row r="2362" spans="1:3" hidden="1">
      <c r="A2362" s="65">
        <v>9003930</v>
      </c>
      <c r="B2362" s="65" t="s">
        <v>3070</v>
      </c>
      <c r="C2362" s="65" t="s">
        <v>942</v>
      </c>
    </row>
    <row r="2363" spans="1:3" hidden="1">
      <c r="A2363" s="65">
        <v>9003931</v>
      </c>
      <c r="B2363" s="65" t="s">
        <v>3071</v>
      </c>
      <c r="C2363" s="65" t="s">
        <v>942</v>
      </c>
    </row>
    <row r="2364" spans="1:3" hidden="1">
      <c r="A2364" s="65">
        <v>9003932</v>
      </c>
      <c r="B2364" s="65" t="s">
        <v>3072</v>
      </c>
      <c r="C2364" s="65" t="s">
        <v>942</v>
      </c>
    </row>
    <row r="2365" spans="1:3" hidden="1">
      <c r="A2365" s="65">
        <v>9003933</v>
      </c>
      <c r="B2365" s="65" t="s">
        <v>3073</v>
      </c>
      <c r="C2365" s="65" t="s">
        <v>942</v>
      </c>
    </row>
    <row r="2366" spans="1:3" hidden="1">
      <c r="A2366" s="65">
        <v>9003934</v>
      </c>
      <c r="B2366" s="65" t="s">
        <v>3074</v>
      </c>
      <c r="C2366" s="65" t="s">
        <v>942</v>
      </c>
    </row>
    <row r="2367" spans="1:3" hidden="1">
      <c r="A2367" s="65">
        <v>9003935</v>
      </c>
      <c r="B2367" s="65" t="s">
        <v>3075</v>
      </c>
      <c r="C2367" s="65" t="s">
        <v>942</v>
      </c>
    </row>
    <row r="2368" spans="1:3" hidden="1">
      <c r="A2368" s="65">
        <v>9003936</v>
      </c>
      <c r="B2368" s="65" t="s">
        <v>3076</v>
      </c>
      <c r="C2368" s="65" t="s">
        <v>942</v>
      </c>
    </row>
    <row r="2369" spans="1:3" hidden="1">
      <c r="A2369" s="65">
        <v>9003937</v>
      </c>
      <c r="B2369" s="65" t="s">
        <v>3077</v>
      </c>
      <c r="C2369" s="65" t="s">
        <v>942</v>
      </c>
    </row>
    <row r="2370" spans="1:3" hidden="1">
      <c r="A2370" s="65">
        <v>9003938</v>
      </c>
      <c r="B2370" s="65" t="s">
        <v>3078</v>
      </c>
      <c r="C2370" s="65" t="s">
        <v>942</v>
      </c>
    </row>
    <row r="2371" spans="1:3" hidden="1">
      <c r="A2371" s="65">
        <v>9003939</v>
      </c>
      <c r="B2371" s="65" t="s">
        <v>3079</v>
      </c>
      <c r="C2371" s="65" t="s">
        <v>942</v>
      </c>
    </row>
    <row r="2372" spans="1:3" hidden="1">
      <c r="A2372" s="65">
        <v>9003940</v>
      </c>
      <c r="B2372" s="65" t="s">
        <v>3080</v>
      </c>
      <c r="C2372" s="65" t="s">
        <v>942</v>
      </c>
    </row>
    <row r="2373" spans="1:3" hidden="1">
      <c r="A2373" s="65">
        <v>9003941</v>
      </c>
      <c r="B2373" s="65" t="s">
        <v>3081</v>
      </c>
      <c r="C2373" s="65" t="s">
        <v>942</v>
      </c>
    </row>
    <row r="2374" spans="1:3" hidden="1">
      <c r="A2374" s="65">
        <v>9003942</v>
      </c>
      <c r="B2374" s="65" t="s">
        <v>3082</v>
      </c>
      <c r="C2374" s="65" t="s">
        <v>942</v>
      </c>
    </row>
    <row r="2375" spans="1:3" hidden="1">
      <c r="A2375" s="65">
        <v>9003943</v>
      </c>
      <c r="B2375" s="65" t="s">
        <v>3083</v>
      </c>
      <c r="C2375" s="65" t="s">
        <v>942</v>
      </c>
    </row>
    <row r="2376" spans="1:3" hidden="1">
      <c r="A2376" s="65">
        <v>9003944</v>
      </c>
      <c r="B2376" s="65" t="s">
        <v>3084</v>
      </c>
      <c r="C2376" s="65" t="s">
        <v>942</v>
      </c>
    </row>
    <row r="2377" spans="1:3" hidden="1">
      <c r="A2377" s="65">
        <v>9003945</v>
      </c>
      <c r="B2377" s="65" t="s">
        <v>3085</v>
      </c>
      <c r="C2377" s="65" t="s">
        <v>942</v>
      </c>
    </row>
    <row r="2378" spans="1:3" hidden="1">
      <c r="A2378" s="65">
        <v>9003946</v>
      </c>
      <c r="B2378" s="65" t="s">
        <v>3086</v>
      </c>
      <c r="C2378" s="65" t="s">
        <v>942</v>
      </c>
    </row>
    <row r="2379" spans="1:3" hidden="1">
      <c r="A2379" s="65">
        <v>9003947</v>
      </c>
      <c r="B2379" s="65" t="s">
        <v>3087</v>
      </c>
      <c r="C2379" s="65" t="s">
        <v>942</v>
      </c>
    </row>
    <row r="2380" spans="1:3" hidden="1">
      <c r="A2380" s="65">
        <v>9003948</v>
      </c>
      <c r="B2380" s="65" t="s">
        <v>3088</v>
      </c>
      <c r="C2380" s="65" t="s">
        <v>942</v>
      </c>
    </row>
    <row r="2381" spans="1:3" hidden="1">
      <c r="A2381" s="65">
        <v>9003949</v>
      </c>
      <c r="B2381" s="65" t="s">
        <v>3089</v>
      </c>
      <c r="C2381" s="65" t="s">
        <v>942</v>
      </c>
    </row>
    <row r="2382" spans="1:3" hidden="1">
      <c r="A2382" s="65">
        <v>9003950</v>
      </c>
      <c r="B2382" s="65" t="s">
        <v>3090</v>
      </c>
      <c r="C2382" s="65" t="s">
        <v>942</v>
      </c>
    </row>
    <row r="2383" spans="1:3" hidden="1">
      <c r="A2383" s="65">
        <v>9003951</v>
      </c>
      <c r="B2383" s="65" t="s">
        <v>3091</v>
      </c>
      <c r="C2383" s="65" t="s">
        <v>942</v>
      </c>
    </row>
    <row r="2384" spans="1:3" hidden="1">
      <c r="A2384" s="65">
        <v>9003952</v>
      </c>
      <c r="B2384" s="65" t="s">
        <v>3092</v>
      </c>
      <c r="C2384" s="65" t="s">
        <v>942</v>
      </c>
    </row>
    <row r="2385" spans="1:3" hidden="1">
      <c r="A2385" s="65">
        <v>9003959</v>
      </c>
      <c r="B2385" s="65" t="s">
        <v>3093</v>
      </c>
      <c r="C2385" s="65" t="s">
        <v>942</v>
      </c>
    </row>
    <row r="2386" spans="1:3" hidden="1">
      <c r="A2386" s="65">
        <v>9003960</v>
      </c>
      <c r="B2386" s="65" t="s">
        <v>3094</v>
      </c>
      <c r="C2386" s="65" t="s">
        <v>942</v>
      </c>
    </row>
    <row r="2387" spans="1:3" hidden="1">
      <c r="A2387" s="65">
        <v>9003961</v>
      </c>
      <c r="B2387" s="65" t="s">
        <v>3095</v>
      </c>
      <c r="C2387" s="65" t="s">
        <v>664</v>
      </c>
    </row>
    <row r="2388" spans="1:3" hidden="1">
      <c r="A2388" s="65">
        <v>9003962</v>
      </c>
      <c r="B2388" s="65" t="s">
        <v>3096</v>
      </c>
      <c r="C2388" s="65" t="s">
        <v>942</v>
      </c>
    </row>
    <row r="2389" spans="1:3" hidden="1">
      <c r="A2389" s="65">
        <v>9003963</v>
      </c>
      <c r="B2389" s="65" t="s">
        <v>3097</v>
      </c>
      <c r="C2389" s="65" t="s">
        <v>942</v>
      </c>
    </row>
    <row r="2390" spans="1:3" hidden="1">
      <c r="A2390" s="65">
        <v>9003964</v>
      </c>
      <c r="B2390" s="65" t="s">
        <v>3098</v>
      </c>
      <c r="C2390" s="65" t="s">
        <v>942</v>
      </c>
    </row>
    <row r="2391" spans="1:3" hidden="1">
      <c r="A2391" s="65">
        <v>9003965</v>
      </c>
      <c r="B2391" s="65" t="s">
        <v>3099</v>
      </c>
      <c r="C2391" s="65" t="s">
        <v>942</v>
      </c>
    </row>
    <row r="2392" spans="1:3" hidden="1">
      <c r="A2392" s="65">
        <v>9003966</v>
      </c>
      <c r="B2392" s="65" t="s">
        <v>3100</v>
      </c>
      <c r="C2392" s="65" t="s">
        <v>942</v>
      </c>
    </row>
    <row r="2393" spans="1:3" hidden="1">
      <c r="A2393" s="65">
        <v>9003967</v>
      </c>
      <c r="B2393" s="65" t="s">
        <v>3101</v>
      </c>
      <c r="C2393" s="65" t="s">
        <v>942</v>
      </c>
    </row>
    <row r="2394" spans="1:3" hidden="1">
      <c r="A2394" s="65">
        <v>9003968</v>
      </c>
      <c r="B2394" s="65" t="s">
        <v>3102</v>
      </c>
      <c r="C2394" s="65" t="s">
        <v>942</v>
      </c>
    </row>
    <row r="2395" spans="1:3" hidden="1">
      <c r="A2395" s="65">
        <v>9003969</v>
      </c>
      <c r="B2395" s="65" t="s">
        <v>3103</v>
      </c>
      <c r="C2395" s="65" t="s">
        <v>942</v>
      </c>
    </row>
    <row r="2396" spans="1:3" hidden="1">
      <c r="A2396" s="65">
        <v>9003970</v>
      </c>
      <c r="B2396" s="65" t="s">
        <v>3104</v>
      </c>
      <c r="C2396" s="65" t="s">
        <v>942</v>
      </c>
    </row>
    <row r="2397" spans="1:3" hidden="1">
      <c r="A2397" s="65">
        <v>9003971</v>
      </c>
      <c r="B2397" s="65" t="s">
        <v>3105</v>
      </c>
      <c r="C2397" s="65" t="s">
        <v>942</v>
      </c>
    </row>
    <row r="2398" spans="1:3" hidden="1">
      <c r="A2398" s="65">
        <v>9003972</v>
      </c>
      <c r="B2398" s="65" t="s">
        <v>3106</v>
      </c>
      <c r="C2398" s="65" t="s">
        <v>942</v>
      </c>
    </row>
    <row r="2399" spans="1:3" hidden="1">
      <c r="A2399" s="65">
        <v>9003973</v>
      </c>
      <c r="B2399" s="65" t="s">
        <v>3107</v>
      </c>
      <c r="C2399" s="65" t="s">
        <v>942</v>
      </c>
    </row>
    <row r="2400" spans="1:3" hidden="1">
      <c r="A2400" s="65">
        <v>9003974</v>
      </c>
      <c r="B2400" s="65" t="s">
        <v>3108</v>
      </c>
      <c r="C2400" s="65" t="s">
        <v>942</v>
      </c>
    </row>
    <row r="2401" spans="1:3" hidden="1">
      <c r="A2401" s="65">
        <v>9003975</v>
      </c>
      <c r="B2401" s="65" t="s">
        <v>3109</v>
      </c>
      <c r="C2401" s="65" t="s">
        <v>942</v>
      </c>
    </row>
    <row r="2402" spans="1:3" hidden="1">
      <c r="A2402" s="65">
        <v>9003976</v>
      </c>
      <c r="B2402" s="65" t="s">
        <v>3110</v>
      </c>
      <c r="C2402" s="65" t="s">
        <v>942</v>
      </c>
    </row>
    <row r="2403" spans="1:3" hidden="1">
      <c r="A2403" s="65">
        <v>9003977</v>
      </c>
      <c r="B2403" s="65" t="s">
        <v>3111</v>
      </c>
      <c r="C2403" s="65" t="s">
        <v>942</v>
      </c>
    </row>
    <row r="2404" spans="1:3" hidden="1">
      <c r="A2404" s="65">
        <v>9003978</v>
      </c>
      <c r="B2404" s="65" t="s">
        <v>3112</v>
      </c>
      <c r="C2404" s="65" t="s">
        <v>942</v>
      </c>
    </row>
    <row r="2405" spans="1:3" hidden="1">
      <c r="A2405" s="65">
        <v>9003979</v>
      </c>
      <c r="B2405" s="65" t="s">
        <v>3113</v>
      </c>
      <c r="C2405" s="65" t="s">
        <v>942</v>
      </c>
    </row>
    <row r="2406" spans="1:3" hidden="1">
      <c r="A2406" s="65">
        <v>9003980</v>
      </c>
      <c r="B2406" s="65" t="s">
        <v>3114</v>
      </c>
      <c r="C2406" s="65" t="s">
        <v>942</v>
      </c>
    </row>
    <row r="2407" spans="1:3" hidden="1">
      <c r="A2407" s="65">
        <v>9003981</v>
      </c>
      <c r="B2407" s="65" t="s">
        <v>3115</v>
      </c>
      <c r="C2407" s="65" t="s">
        <v>942</v>
      </c>
    </row>
    <row r="2408" spans="1:3" hidden="1">
      <c r="A2408" s="65">
        <v>9003982</v>
      </c>
      <c r="B2408" s="65" t="s">
        <v>3116</v>
      </c>
      <c r="C2408" s="65" t="s">
        <v>942</v>
      </c>
    </row>
    <row r="2409" spans="1:3" hidden="1">
      <c r="A2409" s="65">
        <v>9003983</v>
      </c>
      <c r="B2409" s="65" t="s">
        <v>3117</v>
      </c>
      <c r="C2409" s="65" t="s">
        <v>942</v>
      </c>
    </row>
    <row r="2410" spans="1:3" hidden="1">
      <c r="A2410" s="65">
        <v>9003984</v>
      </c>
      <c r="B2410" s="65" t="s">
        <v>3118</v>
      </c>
      <c r="C2410" s="65" t="s">
        <v>942</v>
      </c>
    </row>
    <row r="2411" spans="1:3" hidden="1">
      <c r="A2411" s="65">
        <v>9003985</v>
      </c>
      <c r="B2411" s="65" t="s">
        <v>3119</v>
      </c>
      <c r="C2411" s="65" t="s">
        <v>942</v>
      </c>
    </row>
    <row r="2412" spans="1:3" hidden="1">
      <c r="A2412" s="65">
        <v>9003986</v>
      </c>
      <c r="B2412" s="65" t="s">
        <v>3120</v>
      </c>
      <c r="C2412" s="65" t="s">
        <v>942</v>
      </c>
    </row>
    <row r="2413" spans="1:3" hidden="1">
      <c r="A2413" s="65">
        <v>9003987</v>
      </c>
      <c r="B2413" s="65" t="s">
        <v>3121</v>
      </c>
      <c r="C2413" s="65" t="s">
        <v>942</v>
      </c>
    </row>
    <row r="2414" spans="1:3" hidden="1">
      <c r="A2414" s="65">
        <v>9003988</v>
      </c>
      <c r="B2414" s="65" t="s">
        <v>3122</v>
      </c>
      <c r="C2414" s="65" t="s">
        <v>942</v>
      </c>
    </row>
    <row r="2415" spans="1:3" hidden="1">
      <c r="A2415" s="65">
        <v>9003989</v>
      </c>
      <c r="B2415" s="65" t="s">
        <v>3123</v>
      </c>
      <c r="C2415" s="65" t="s">
        <v>942</v>
      </c>
    </row>
    <row r="2416" spans="1:3" hidden="1">
      <c r="A2416" s="65">
        <v>9003990</v>
      </c>
      <c r="B2416" s="65" t="s">
        <v>3124</v>
      </c>
      <c r="C2416" s="65" t="s">
        <v>942</v>
      </c>
    </row>
    <row r="2417" spans="1:3" hidden="1">
      <c r="A2417" s="65">
        <v>9003991</v>
      </c>
      <c r="B2417" s="65" t="s">
        <v>3125</v>
      </c>
      <c r="C2417" s="65" t="s">
        <v>942</v>
      </c>
    </row>
    <row r="2418" spans="1:3" hidden="1">
      <c r="A2418" s="65">
        <v>9003992</v>
      </c>
      <c r="B2418" s="65" t="s">
        <v>3126</v>
      </c>
      <c r="C2418" s="65" t="s">
        <v>942</v>
      </c>
    </row>
    <row r="2419" spans="1:3" hidden="1">
      <c r="A2419" s="65">
        <v>9003993</v>
      </c>
      <c r="B2419" s="65" t="s">
        <v>3127</v>
      </c>
      <c r="C2419" s="65" t="s">
        <v>942</v>
      </c>
    </row>
    <row r="2420" spans="1:3" hidden="1">
      <c r="A2420" s="65">
        <v>9003994</v>
      </c>
      <c r="B2420" s="65" t="s">
        <v>3128</v>
      </c>
      <c r="C2420" s="65" t="s">
        <v>942</v>
      </c>
    </row>
    <row r="2421" spans="1:3" hidden="1">
      <c r="A2421" s="65">
        <v>9003995</v>
      </c>
      <c r="B2421" s="65" t="s">
        <v>3129</v>
      </c>
      <c r="C2421" s="65" t="s">
        <v>942</v>
      </c>
    </row>
    <row r="2422" spans="1:3" hidden="1">
      <c r="A2422" s="65">
        <v>9003996</v>
      </c>
      <c r="B2422" s="65" t="s">
        <v>3130</v>
      </c>
      <c r="C2422" s="65" t="s">
        <v>807</v>
      </c>
    </row>
    <row r="2423" spans="1:3" hidden="1">
      <c r="A2423" s="65">
        <v>9003997</v>
      </c>
      <c r="B2423" s="65" t="s">
        <v>3131</v>
      </c>
      <c r="C2423" s="65" t="s">
        <v>942</v>
      </c>
    </row>
    <row r="2424" spans="1:3" hidden="1">
      <c r="A2424" s="65">
        <v>9003998</v>
      </c>
      <c r="B2424" s="65" t="s">
        <v>3132</v>
      </c>
      <c r="C2424" s="65" t="s">
        <v>840</v>
      </c>
    </row>
    <row r="2425" spans="1:3" hidden="1">
      <c r="A2425" s="65">
        <v>9003999</v>
      </c>
      <c r="B2425" s="65" t="s">
        <v>3133</v>
      </c>
      <c r="C2425" s="65" t="s">
        <v>942</v>
      </c>
    </row>
    <row r="2426" spans="1:3" hidden="1">
      <c r="A2426" s="65">
        <v>9004000</v>
      </c>
      <c r="B2426" s="65" t="s">
        <v>3134</v>
      </c>
      <c r="C2426" s="65" t="s">
        <v>942</v>
      </c>
    </row>
    <row r="2427" spans="1:3" hidden="1">
      <c r="A2427" s="65">
        <v>9004001</v>
      </c>
      <c r="B2427" s="65" t="s">
        <v>3135</v>
      </c>
      <c r="C2427" s="65" t="s">
        <v>942</v>
      </c>
    </row>
    <row r="2428" spans="1:3" hidden="1">
      <c r="A2428" s="65">
        <v>9004002</v>
      </c>
      <c r="B2428" s="65" t="s">
        <v>3136</v>
      </c>
      <c r="C2428" s="65" t="s">
        <v>942</v>
      </c>
    </row>
    <row r="2429" spans="1:3" hidden="1">
      <c r="A2429" s="65">
        <v>9004003</v>
      </c>
      <c r="B2429" s="65" t="s">
        <v>3121</v>
      </c>
      <c r="C2429" s="65" t="s">
        <v>942</v>
      </c>
    </row>
    <row r="2430" spans="1:3" hidden="1">
      <c r="A2430" s="65">
        <v>9004004</v>
      </c>
      <c r="B2430" s="65" t="s">
        <v>3122</v>
      </c>
      <c r="C2430" s="65" t="s">
        <v>942</v>
      </c>
    </row>
    <row r="2431" spans="1:3" hidden="1">
      <c r="A2431" s="65">
        <v>9004005</v>
      </c>
      <c r="B2431" s="65" t="s">
        <v>3137</v>
      </c>
      <c r="C2431" s="65" t="s">
        <v>942</v>
      </c>
    </row>
    <row r="2432" spans="1:3" hidden="1">
      <c r="A2432" s="65">
        <v>9004006</v>
      </c>
      <c r="B2432" s="65" t="s">
        <v>3138</v>
      </c>
      <c r="C2432" s="65" t="s">
        <v>677</v>
      </c>
    </row>
    <row r="2433" spans="1:3" hidden="1">
      <c r="A2433" s="65">
        <v>9004007</v>
      </c>
      <c r="B2433" s="65" t="s">
        <v>3139</v>
      </c>
      <c r="C2433" s="65" t="s">
        <v>942</v>
      </c>
    </row>
    <row r="2434" spans="1:3" hidden="1">
      <c r="A2434" s="65">
        <v>9004008</v>
      </c>
      <c r="B2434" s="65" t="s">
        <v>3140</v>
      </c>
      <c r="C2434" s="65" t="s">
        <v>942</v>
      </c>
    </row>
    <row r="2435" spans="1:3" hidden="1">
      <c r="A2435" s="65">
        <v>9004009</v>
      </c>
      <c r="B2435" s="65" t="s">
        <v>3141</v>
      </c>
      <c r="C2435" s="65" t="s">
        <v>942</v>
      </c>
    </row>
    <row r="2436" spans="1:3" hidden="1">
      <c r="A2436" s="65">
        <v>9004019</v>
      </c>
      <c r="B2436" s="65" t="s">
        <v>3142</v>
      </c>
      <c r="C2436" s="65" t="s">
        <v>942</v>
      </c>
    </row>
    <row r="2437" spans="1:3" hidden="1">
      <c r="A2437" s="65">
        <v>9004020</v>
      </c>
      <c r="B2437" s="65" t="s">
        <v>3050</v>
      </c>
      <c r="C2437" s="65" t="s">
        <v>942</v>
      </c>
    </row>
    <row r="2438" spans="1:3" hidden="1">
      <c r="A2438" s="65">
        <v>9004029</v>
      </c>
      <c r="B2438" s="65" t="s">
        <v>3143</v>
      </c>
      <c r="C2438" s="65" t="s">
        <v>738</v>
      </c>
    </row>
    <row r="2439" spans="1:3" hidden="1">
      <c r="A2439" s="65">
        <v>9004030</v>
      </c>
      <c r="B2439" s="65" t="s">
        <v>3144</v>
      </c>
      <c r="C2439" s="65" t="s">
        <v>683</v>
      </c>
    </row>
    <row r="2440" spans="1:3" hidden="1">
      <c r="A2440" s="65">
        <v>9004031</v>
      </c>
      <c r="B2440" s="65" t="s">
        <v>3145</v>
      </c>
      <c r="C2440" s="65" t="s">
        <v>683</v>
      </c>
    </row>
    <row r="2441" spans="1:3" hidden="1">
      <c r="A2441" s="65">
        <v>9004032</v>
      </c>
      <c r="B2441" s="65" t="s">
        <v>3146</v>
      </c>
      <c r="C2441" s="65" t="s">
        <v>683</v>
      </c>
    </row>
    <row r="2442" spans="1:3" hidden="1">
      <c r="A2442" s="65">
        <v>9004033</v>
      </c>
      <c r="B2442" s="65" t="s">
        <v>3147</v>
      </c>
      <c r="C2442" s="65" t="s">
        <v>683</v>
      </c>
    </row>
    <row r="2443" spans="1:3" hidden="1">
      <c r="A2443" s="65">
        <v>9004034</v>
      </c>
      <c r="B2443" s="65" t="s">
        <v>3148</v>
      </c>
      <c r="C2443" s="65" t="s">
        <v>683</v>
      </c>
    </row>
    <row r="2444" spans="1:3" hidden="1">
      <c r="A2444" s="65">
        <v>9004035</v>
      </c>
      <c r="B2444" s="65" t="s">
        <v>3149</v>
      </c>
      <c r="C2444" s="65" t="s">
        <v>683</v>
      </c>
    </row>
    <row r="2445" spans="1:3" hidden="1">
      <c r="A2445" s="65">
        <v>9004036</v>
      </c>
      <c r="B2445" s="65" t="s">
        <v>3150</v>
      </c>
      <c r="C2445" s="65" t="s">
        <v>805</v>
      </c>
    </row>
    <row r="2446" spans="1:3" hidden="1">
      <c r="A2446" s="65">
        <v>9004037</v>
      </c>
      <c r="B2446" s="65" t="s">
        <v>3151</v>
      </c>
      <c r="C2446" s="65" t="s">
        <v>805</v>
      </c>
    </row>
    <row r="2447" spans="1:3" hidden="1">
      <c r="A2447" s="65">
        <v>9004038</v>
      </c>
      <c r="B2447" s="65" t="s">
        <v>3152</v>
      </c>
      <c r="C2447" s="65" t="s">
        <v>807</v>
      </c>
    </row>
    <row r="2448" spans="1:3" hidden="1">
      <c r="A2448" s="65">
        <v>9004039</v>
      </c>
      <c r="B2448" s="65" t="s">
        <v>3153</v>
      </c>
      <c r="C2448" s="65" t="s">
        <v>805</v>
      </c>
    </row>
    <row r="2449" spans="1:3" hidden="1">
      <c r="A2449" s="65">
        <v>9004040</v>
      </c>
      <c r="B2449" s="65" t="s">
        <v>3154</v>
      </c>
      <c r="C2449" s="65" t="s">
        <v>807</v>
      </c>
    </row>
    <row r="2450" spans="1:3" hidden="1">
      <c r="A2450" s="65">
        <v>9004041</v>
      </c>
      <c r="B2450" s="65" t="s">
        <v>3155</v>
      </c>
      <c r="C2450" s="65" t="s">
        <v>807</v>
      </c>
    </row>
    <row r="2451" spans="1:3" hidden="1">
      <c r="A2451" s="65">
        <v>9004042</v>
      </c>
      <c r="B2451" s="65" t="s">
        <v>3156</v>
      </c>
      <c r="C2451" s="65" t="s">
        <v>807</v>
      </c>
    </row>
    <row r="2452" spans="1:3" hidden="1">
      <c r="A2452" s="65">
        <v>9004043</v>
      </c>
      <c r="B2452" s="65" t="s">
        <v>3157</v>
      </c>
      <c r="C2452" s="65" t="s">
        <v>738</v>
      </c>
    </row>
    <row r="2453" spans="1:3" hidden="1">
      <c r="A2453" s="65">
        <v>9004044</v>
      </c>
      <c r="B2453" s="65" t="s">
        <v>3158</v>
      </c>
      <c r="C2453" s="65" t="s">
        <v>807</v>
      </c>
    </row>
    <row r="2454" spans="1:3" hidden="1">
      <c r="A2454" s="65">
        <v>9004045</v>
      </c>
      <c r="B2454" s="65" t="s">
        <v>3159</v>
      </c>
      <c r="C2454" s="65" t="s">
        <v>807</v>
      </c>
    </row>
    <row r="2455" spans="1:3" hidden="1">
      <c r="A2455" s="65">
        <v>9004046</v>
      </c>
      <c r="B2455" s="65" t="s">
        <v>3160</v>
      </c>
      <c r="C2455" s="65" t="s">
        <v>807</v>
      </c>
    </row>
    <row r="2456" spans="1:3" hidden="1">
      <c r="A2456" s="65">
        <v>9004047</v>
      </c>
      <c r="B2456" s="65" t="s">
        <v>3161</v>
      </c>
      <c r="C2456" s="65" t="s">
        <v>807</v>
      </c>
    </row>
    <row r="2457" spans="1:3" hidden="1">
      <c r="A2457" s="65">
        <v>9004048</v>
      </c>
      <c r="B2457" s="65" t="s">
        <v>3162</v>
      </c>
      <c r="C2457" s="65" t="s">
        <v>807</v>
      </c>
    </row>
    <row r="2458" spans="1:3" hidden="1">
      <c r="A2458" s="65">
        <v>9004049</v>
      </c>
      <c r="B2458" s="65" t="s">
        <v>3163</v>
      </c>
      <c r="C2458" s="65" t="s">
        <v>807</v>
      </c>
    </row>
    <row r="2459" spans="1:3" hidden="1">
      <c r="A2459" s="65">
        <v>9004050</v>
      </c>
      <c r="B2459" s="65" t="s">
        <v>3164</v>
      </c>
      <c r="C2459" s="65" t="s">
        <v>805</v>
      </c>
    </row>
    <row r="2460" spans="1:3" hidden="1">
      <c r="A2460" s="65">
        <v>9004051</v>
      </c>
      <c r="B2460" s="65" t="s">
        <v>3165</v>
      </c>
      <c r="C2460" s="65" t="s">
        <v>738</v>
      </c>
    </row>
    <row r="2461" spans="1:3" hidden="1">
      <c r="A2461" s="65">
        <v>9004052</v>
      </c>
      <c r="B2461" s="65" t="s">
        <v>3166</v>
      </c>
      <c r="C2461" s="65" t="s">
        <v>805</v>
      </c>
    </row>
    <row r="2462" spans="1:3" hidden="1">
      <c r="A2462" s="65">
        <v>9004053</v>
      </c>
      <c r="B2462" s="65" t="s">
        <v>3167</v>
      </c>
      <c r="C2462" s="65" t="s">
        <v>738</v>
      </c>
    </row>
    <row r="2463" spans="1:3" hidden="1">
      <c r="A2463" s="65">
        <v>9004054</v>
      </c>
      <c r="B2463" s="65" t="s">
        <v>3168</v>
      </c>
      <c r="C2463" s="65" t="s">
        <v>738</v>
      </c>
    </row>
    <row r="2464" spans="1:3" hidden="1">
      <c r="A2464" s="65">
        <v>9004059</v>
      </c>
      <c r="B2464" s="65" t="s">
        <v>3169</v>
      </c>
      <c r="C2464" s="65" t="s">
        <v>3170</v>
      </c>
    </row>
    <row r="2465" spans="1:3" hidden="1">
      <c r="A2465" s="65">
        <v>9004060</v>
      </c>
      <c r="B2465" s="65" t="s">
        <v>3171</v>
      </c>
      <c r="C2465" s="65" t="s">
        <v>942</v>
      </c>
    </row>
    <row r="2466" spans="1:3" hidden="1">
      <c r="A2466" s="65">
        <v>9004061</v>
      </c>
      <c r="B2466" s="65" t="s">
        <v>3172</v>
      </c>
      <c r="C2466" s="65" t="s">
        <v>3170</v>
      </c>
    </row>
    <row r="2467" spans="1:3" hidden="1">
      <c r="A2467" s="65">
        <v>9004062</v>
      </c>
      <c r="B2467" s="65" t="s">
        <v>3173</v>
      </c>
      <c r="C2467" s="65" t="s">
        <v>805</v>
      </c>
    </row>
    <row r="2468" spans="1:3" hidden="1">
      <c r="A2468" s="65">
        <v>9004063</v>
      </c>
      <c r="B2468" s="65" t="s">
        <v>3174</v>
      </c>
      <c r="C2468" s="65" t="s">
        <v>805</v>
      </c>
    </row>
    <row r="2469" spans="1:3" hidden="1">
      <c r="A2469" s="65">
        <v>9004069</v>
      </c>
      <c r="B2469" s="65" t="s">
        <v>3175</v>
      </c>
      <c r="C2469" s="65" t="s">
        <v>942</v>
      </c>
    </row>
    <row r="2470" spans="1:3" hidden="1">
      <c r="A2470" s="65">
        <v>9004070</v>
      </c>
      <c r="B2470" s="65" t="s">
        <v>3176</v>
      </c>
      <c r="C2470" s="65" t="s">
        <v>942</v>
      </c>
    </row>
    <row r="2471" spans="1:3" hidden="1">
      <c r="A2471" s="65">
        <v>9004071</v>
      </c>
      <c r="B2471" s="65" t="s">
        <v>3177</v>
      </c>
      <c r="C2471" s="65" t="s">
        <v>942</v>
      </c>
    </row>
    <row r="2472" spans="1:3" hidden="1">
      <c r="A2472" s="65">
        <v>9004072</v>
      </c>
      <c r="B2472" s="65" t="s">
        <v>3178</v>
      </c>
      <c r="C2472" s="65" t="s">
        <v>942</v>
      </c>
    </row>
    <row r="2473" spans="1:3" hidden="1">
      <c r="A2473" s="65">
        <v>9004079</v>
      </c>
      <c r="B2473" s="65" t="s">
        <v>3179</v>
      </c>
      <c r="C2473" s="65" t="s">
        <v>942</v>
      </c>
    </row>
    <row r="2474" spans="1:3" hidden="1">
      <c r="A2474" s="65">
        <v>9004080</v>
      </c>
      <c r="B2474" s="65" t="s">
        <v>3180</v>
      </c>
      <c r="C2474" s="65" t="s">
        <v>942</v>
      </c>
    </row>
    <row r="2475" spans="1:3" hidden="1">
      <c r="A2475" s="65">
        <v>9004081</v>
      </c>
      <c r="B2475" s="65" t="s">
        <v>3181</v>
      </c>
      <c r="C2475" s="65" t="s">
        <v>942</v>
      </c>
    </row>
    <row r="2476" spans="1:3" hidden="1">
      <c r="A2476" s="65">
        <v>9004089</v>
      </c>
      <c r="B2476" s="65" t="s">
        <v>3182</v>
      </c>
      <c r="C2476" s="65" t="s">
        <v>942</v>
      </c>
    </row>
    <row r="2477" spans="1:3" hidden="1">
      <c r="A2477" s="65">
        <v>9004099</v>
      </c>
      <c r="B2477" s="65" t="s">
        <v>3183</v>
      </c>
      <c r="C2477" s="65" t="s">
        <v>942</v>
      </c>
    </row>
    <row r="2478" spans="1:3" hidden="1">
      <c r="A2478" s="65">
        <v>9004100</v>
      </c>
      <c r="B2478" s="65" t="s">
        <v>3184</v>
      </c>
      <c r="C2478" s="65" t="s">
        <v>942</v>
      </c>
    </row>
    <row r="2479" spans="1:3" hidden="1">
      <c r="A2479" s="65">
        <v>9004101</v>
      </c>
      <c r="B2479" s="65" t="s">
        <v>3185</v>
      </c>
      <c r="C2479" s="65" t="s">
        <v>1181</v>
      </c>
    </row>
    <row r="2480" spans="1:3" hidden="1">
      <c r="A2480" s="65">
        <v>9004102</v>
      </c>
      <c r="B2480" s="65" t="s">
        <v>3186</v>
      </c>
      <c r="C2480" s="65" t="s">
        <v>942</v>
      </c>
    </row>
    <row r="2481" spans="1:3" hidden="1">
      <c r="A2481" s="65">
        <v>9004103</v>
      </c>
      <c r="B2481" s="65" t="s">
        <v>3187</v>
      </c>
      <c r="C2481" s="65" t="s">
        <v>942</v>
      </c>
    </row>
    <row r="2482" spans="1:3" hidden="1">
      <c r="A2482" s="65">
        <v>9004104</v>
      </c>
      <c r="B2482" s="65" t="s">
        <v>3188</v>
      </c>
      <c r="C2482" s="65" t="s">
        <v>942</v>
      </c>
    </row>
    <row r="2483" spans="1:3" hidden="1">
      <c r="A2483" s="65">
        <v>9004105</v>
      </c>
      <c r="B2483" s="65" t="s">
        <v>3189</v>
      </c>
      <c r="C2483" s="65" t="s">
        <v>942</v>
      </c>
    </row>
    <row r="2484" spans="1:3" hidden="1">
      <c r="A2484" s="65">
        <v>9004106</v>
      </c>
      <c r="B2484" s="65" t="s">
        <v>3190</v>
      </c>
      <c r="C2484" s="65" t="s">
        <v>942</v>
      </c>
    </row>
    <row r="2485" spans="1:3" hidden="1">
      <c r="A2485" s="65">
        <v>9004107</v>
      </c>
      <c r="B2485" s="65" t="s">
        <v>3191</v>
      </c>
      <c r="C2485" s="65" t="s">
        <v>942</v>
      </c>
    </row>
    <row r="2486" spans="1:3" hidden="1">
      <c r="A2486" s="65">
        <v>9004108</v>
      </c>
      <c r="B2486" s="65" t="s">
        <v>3192</v>
      </c>
      <c r="C2486" s="65" t="s">
        <v>942</v>
      </c>
    </row>
    <row r="2487" spans="1:3" hidden="1">
      <c r="A2487" s="65">
        <v>9004109</v>
      </c>
      <c r="B2487" s="65" t="s">
        <v>3193</v>
      </c>
      <c r="C2487" s="65" t="s">
        <v>942</v>
      </c>
    </row>
    <row r="2488" spans="1:3" hidden="1">
      <c r="A2488" s="65">
        <v>9004110</v>
      </c>
      <c r="B2488" s="65" t="s">
        <v>3194</v>
      </c>
      <c r="C2488" s="65" t="s">
        <v>942</v>
      </c>
    </row>
    <row r="2489" spans="1:3" hidden="1">
      <c r="A2489" s="65">
        <v>9004111</v>
      </c>
      <c r="B2489" s="65" t="s">
        <v>3195</v>
      </c>
      <c r="C2489" s="65" t="s">
        <v>942</v>
      </c>
    </row>
    <row r="2490" spans="1:3" hidden="1">
      <c r="A2490" s="65">
        <v>9004112</v>
      </c>
      <c r="B2490" s="65" t="s">
        <v>3196</v>
      </c>
      <c r="C2490" s="65" t="s">
        <v>732</v>
      </c>
    </row>
    <row r="2491" spans="1:3" hidden="1">
      <c r="A2491" s="65">
        <v>9004113</v>
      </c>
      <c r="B2491" s="65" t="s">
        <v>3197</v>
      </c>
      <c r="C2491" s="65" t="s">
        <v>942</v>
      </c>
    </row>
    <row r="2492" spans="1:3" hidden="1">
      <c r="A2492" s="65">
        <v>9004114</v>
      </c>
      <c r="B2492" s="65" t="s">
        <v>3198</v>
      </c>
      <c r="C2492" s="65" t="s">
        <v>942</v>
      </c>
    </row>
    <row r="2493" spans="1:3" hidden="1">
      <c r="A2493" s="65">
        <v>9004115</v>
      </c>
      <c r="B2493" s="65" t="s">
        <v>3199</v>
      </c>
      <c r="C2493" s="65" t="s">
        <v>942</v>
      </c>
    </row>
    <row r="2494" spans="1:3" hidden="1">
      <c r="A2494" s="65">
        <v>9004119</v>
      </c>
      <c r="B2494" s="65" t="s">
        <v>3200</v>
      </c>
      <c r="C2494" s="65" t="s">
        <v>942</v>
      </c>
    </row>
    <row r="2495" spans="1:3" hidden="1">
      <c r="A2495" s="65">
        <v>9004120</v>
      </c>
      <c r="B2495" s="65" t="s">
        <v>3201</v>
      </c>
      <c r="C2495" s="65" t="s">
        <v>805</v>
      </c>
    </row>
    <row r="2496" spans="1:3" hidden="1">
      <c r="A2496" s="65">
        <v>9004121</v>
      </c>
      <c r="B2496" s="65" t="s">
        <v>2990</v>
      </c>
      <c r="C2496" s="65" t="s">
        <v>850</v>
      </c>
    </row>
    <row r="2497" spans="1:3" hidden="1">
      <c r="A2497" s="65">
        <v>9004122</v>
      </c>
      <c r="B2497" s="65" t="s">
        <v>3202</v>
      </c>
      <c r="C2497" s="65" t="s">
        <v>942</v>
      </c>
    </row>
    <row r="2498" spans="1:3" hidden="1">
      <c r="A2498" s="65">
        <v>9004123</v>
      </c>
      <c r="B2498" s="65" t="s">
        <v>3203</v>
      </c>
      <c r="C2498" s="65" t="s">
        <v>942</v>
      </c>
    </row>
    <row r="2499" spans="1:3" hidden="1">
      <c r="A2499" s="65">
        <v>9004124</v>
      </c>
      <c r="B2499" s="65" t="s">
        <v>3204</v>
      </c>
      <c r="C2499" s="65" t="s">
        <v>805</v>
      </c>
    </row>
    <row r="2500" spans="1:3" hidden="1">
      <c r="A2500" s="65">
        <v>9004129</v>
      </c>
      <c r="B2500" s="65" t="s">
        <v>3205</v>
      </c>
      <c r="C2500" s="65" t="s">
        <v>942</v>
      </c>
    </row>
    <row r="2501" spans="1:3" hidden="1">
      <c r="A2501" s="65">
        <v>9004130</v>
      </c>
      <c r="B2501" s="65" t="s">
        <v>3206</v>
      </c>
      <c r="C2501" s="65" t="s">
        <v>840</v>
      </c>
    </row>
    <row r="2502" spans="1:3" hidden="1">
      <c r="A2502" s="65">
        <v>9004131</v>
      </c>
      <c r="B2502" s="65" t="s">
        <v>3207</v>
      </c>
      <c r="C2502" s="65" t="s">
        <v>850</v>
      </c>
    </row>
    <row r="2503" spans="1:3" hidden="1">
      <c r="A2503" s="65">
        <v>9004139</v>
      </c>
      <c r="B2503" s="65" t="s">
        <v>3208</v>
      </c>
      <c r="C2503" s="65" t="s">
        <v>942</v>
      </c>
    </row>
    <row r="2504" spans="1:3" hidden="1">
      <c r="A2504" s="65">
        <v>9004140</v>
      </c>
      <c r="B2504" s="65" t="s">
        <v>3209</v>
      </c>
      <c r="C2504" s="65" t="s">
        <v>942</v>
      </c>
    </row>
    <row r="2505" spans="1:3" hidden="1">
      <c r="A2505" s="65">
        <v>9004141</v>
      </c>
      <c r="B2505" s="65" t="s">
        <v>3210</v>
      </c>
      <c r="C2505" s="65" t="s">
        <v>942</v>
      </c>
    </row>
    <row r="2506" spans="1:3" hidden="1">
      <c r="A2506" s="65">
        <v>9004142</v>
      </c>
      <c r="B2506" s="65" t="s">
        <v>3211</v>
      </c>
      <c r="C2506" s="65" t="s">
        <v>942</v>
      </c>
    </row>
    <row r="2507" spans="1:3" hidden="1">
      <c r="A2507" s="65">
        <v>9004143</v>
      </c>
      <c r="B2507" s="65" t="s">
        <v>3212</v>
      </c>
      <c r="C2507" s="65" t="s">
        <v>942</v>
      </c>
    </row>
    <row r="2508" spans="1:3" hidden="1">
      <c r="A2508" s="65">
        <v>9004144</v>
      </c>
      <c r="B2508" s="65" t="s">
        <v>3213</v>
      </c>
      <c r="C2508" s="65" t="s">
        <v>942</v>
      </c>
    </row>
    <row r="2509" spans="1:3" hidden="1">
      <c r="A2509" s="65">
        <v>9004145</v>
      </c>
      <c r="B2509" s="65" t="s">
        <v>3214</v>
      </c>
      <c r="C2509" s="65" t="s">
        <v>942</v>
      </c>
    </row>
    <row r="2510" spans="1:3" hidden="1">
      <c r="A2510" s="65">
        <v>9004146</v>
      </c>
      <c r="B2510" s="65" t="s">
        <v>3214</v>
      </c>
      <c r="C2510" s="65" t="s">
        <v>942</v>
      </c>
    </row>
    <row r="2511" spans="1:3" hidden="1">
      <c r="A2511" s="65">
        <v>9004147</v>
      </c>
      <c r="B2511" s="65" t="s">
        <v>3215</v>
      </c>
      <c r="C2511" s="65" t="s">
        <v>942</v>
      </c>
    </row>
    <row r="2512" spans="1:3" hidden="1">
      <c r="A2512" s="65">
        <v>9004148</v>
      </c>
      <c r="B2512" s="65" t="s">
        <v>3216</v>
      </c>
      <c r="C2512" s="65" t="s">
        <v>942</v>
      </c>
    </row>
    <row r="2513" spans="1:3" hidden="1">
      <c r="A2513" s="65">
        <v>9004149</v>
      </c>
      <c r="B2513" s="65" t="s">
        <v>3217</v>
      </c>
      <c r="C2513" s="65" t="s">
        <v>942</v>
      </c>
    </row>
    <row r="2514" spans="1:3" hidden="1">
      <c r="A2514" s="65">
        <v>9004150</v>
      </c>
      <c r="B2514" s="65" t="s">
        <v>3218</v>
      </c>
      <c r="C2514" s="65" t="s">
        <v>942</v>
      </c>
    </row>
    <row r="2515" spans="1:3" hidden="1">
      <c r="A2515" s="65">
        <v>9004151</v>
      </c>
      <c r="B2515" s="65" t="s">
        <v>3219</v>
      </c>
      <c r="C2515" s="65" t="s">
        <v>942</v>
      </c>
    </row>
    <row r="2516" spans="1:3" hidden="1">
      <c r="A2516" s="65">
        <v>9004152</v>
      </c>
      <c r="B2516" s="65" t="s">
        <v>3220</v>
      </c>
      <c r="C2516" s="65" t="s">
        <v>942</v>
      </c>
    </row>
    <row r="2517" spans="1:3" hidden="1">
      <c r="A2517" s="65">
        <v>9004159</v>
      </c>
      <c r="B2517" s="65" t="s">
        <v>3221</v>
      </c>
      <c r="C2517" s="65" t="s">
        <v>1181</v>
      </c>
    </row>
    <row r="2518" spans="1:3" hidden="1">
      <c r="A2518" s="65">
        <v>9004160</v>
      </c>
      <c r="B2518" s="65" t="s">
        <v>3222</v>
      </c>
      <c r="C2518" s="65" t="s">
        <v>805</v>
      </c>
    </row>
    <row r="2519" spans="1:3" hidden="1">
      <c r="A2519" s="65">
        <v>9004161</v>
      </c>
      <c r="B2519" s="65" t="s">
        <v>3223</v>
      </c>
      <c r="C2519" s="65" t="s">
        <v>1181</v>
      </c>
    </row>
    <row r="2520" spans="1:3" hidden="1">
      <c r="A2520" s="65">
        <v>9004169</v>
      </c>
      <c r="B2520" s="65" t="s">
        <v>3224</v>
      </c>
      <c r="C2520" s="65" t="s">
        <v>942</v>
      </c>
    </row>
    <row r="2521" spans="1:3" hidden="1">
      <c r="A2521" s="65">
        <v>9004170</v>
      </c>
      <c r="B2521" s="65" t="s">
        <v>3225</v>
      </c>
      <c r="C2521" s="65" t="s">
        <v>942</v>
      </c>
    </row>
    <row r="2522" spans="1:3" hidden="1">
      <c r="A2522" s="65">
        <v>9004171</v>
      </c>
      <c r="B2522" s="65" t="s">
        <v>3226</v>
      </c>
      <c r="C2522" s="65" t="s">
        <v>942</v>
      </c>
    </row>
    <row r="2523" spans="1:3" hidden="1">
      <c r="A2523" s="65">
        <v>9004172</v>
      </c>
      <c r="B2523" s="65" t="s">
        <v>3227</v>
      </c>
      <c r="C2523" s="65" t="s">
        <v>942</v>
      </c>
    </row>
    <row r="2524" spans="1:3" hidden="1">
      <c r="A2524" s="65">
        <v>9004173</v>
      </c>
      <c r="B2524" s="65" t="s">
        <v>3228</v>
      </c>
      <c r="C2524" s="65" t="s">
        <v>942</v>
      </c>
    </row>
    <row r="2525" spans="1:3" hidden="1">
      <c r="A2525" s="65">
        <v>9004174</v>
      </c>
      <c r="B2525" s="65" t="s">
        <v>3229</v>
      </c>
      <c r="C2525" s="65" t="s">
        <v>942</v>
      </c>
    </row>
    <row r="2526" spans="1:3" hidden="1">
      <c r="A2526" s="65">
        <v>9004175</v>
      </c>
      <c r="B2526" s="65" t="s">
        <v>3230</v>
      </c>
      <c r="C2526" s="65" t="s">
        <v>942</v>
      </c>
    </row>
    <row r="2527" spans="1:3" hidden="1">
      <c r="A2527" s="65">
        <v>9004176</v>
      </c>
      <c r="B2527" s="65" t="s">
        <v>3231</v>
      </c>
      <c r="C2527" s="65" t="s">
        <v>942</v>
      </c>
    </row>
    <row r="2528" spans="1:3" hidden="1">
      <c r="A2528" s="65">
        <v>9004177</v>
      </c>
      <c r="B2528" s="65" t="s">
        <v>3232</v>
      </c>
      <c r="C2528" s="65" t="s">
        <v>942</v>
      </c>
    </row>
    <row r="2529" spans="1:3" hidden="1">
      <c r="A2529" s="65">
        <v>9004178</v>
      </c>
      <c r="B2529" s="65" t="s">
        <v>3233</v>
      </c>
      <c r="C2529" s="65" t="s">
        <v>942</v>
      </c>
    </row>
    <row r="2530" spans="1:3" hidden="1">
      <c r="A2530" s="65">
        <v>9004179</v>
      </c>
      <c r="B2530" s="65" t="s">
        <v>3234</v>
      </c>
      <c r="C2530" s="65" t="s">
        <v>942</v>
      </c>
    </row>
    <row r="2531" spans="1:3" hidden="1">
      <c r="A2531" s="65">
        <v>9004180</v>
      </c>
      <c r="B2531" s="65" t="s">
        <v>3235</v>
      </c>
      <c r="C2531" s="65" t="s">
        <v>3170</v>
      </c>
    </row>
    <row r="2532" spans="1:3" hidden="1">
      <c r="A2532" s="65">
        <v>9004181</v>
      </c>
      <c r="B2532" s="65" t="s">
        <v>3236</v>
      </c>
      <c r="C2532" s="65" t="s">
        <v>942</v>
      </c>
    </row>
    <row r="2533" spans="1:3" hidden="1">
      <c r="A2533" s="65">
        <v>9004182</v>
      </c>
      <c r="B2533" s="65" t="s">
        <v>3237</v>
      </c>
      <c r="C2533" s="65" t="s">
        <v>942</v>
      </c>
    </row>
    <row r="2534" spans="1:3" hidden="1">
      <c r="A2534" s="65">
        <v>9004183</v>
      </c>
      <c r="B2534" s="65" t="s">
        <v>3238</v>
      </c>
      <c r="C2534" s="65" t="s">
        <v>942</v>
      </c>
    </row>
    <row r="2535" spans="1:3" hidden="1">
      <c r="A2535" s="65">
        <v>9004184</v>
      </c>
      <c r="B2535" s="65" t="s">
        <v>3239</v>
      </c>
      <c r="C2535" s="65" t="s">
        <v>942</v>
      </c>
    </row>
    <row r="2536" spans="1:3" hidden="1">
      <c r="A2536" s="65">
        <v>9004185</v>
      </c>
      <c r="B2536" s="65" t="s">
        <v>3240</v>
      </c>
      <c r="C2536" s="65" t="s">
        <v>942</v>
      </c>
    </row>
    <row r="2537" spans="1:3" hidden="1">
      <c r="A2537" s="65">
        <v>9004186</v>
      </c>
      <c r="B2537" s="65" t="s">
        <v>3241</v>
      </c>
      <c r="C2537" s="65" t="s">
        <v>942</v>
      </c>
    </row>
    <row r="2538" spans="1:3" hidden="1">
      <c r="A2538" s="65">
        <v>9004187</v>
      </c>
      <c r="B2538" s="65" t="s">
        <v>3242</v>
      </c>
      <c r="C2538" s="65" t="s">
        <v>942</v>
      </c>
    </row>
    <row r="2539" spans="1:3" hidden="1">
      <c r="A2539" s="65">
        <v>9004188</v>
      </c>
      <c r="B2539" s="65" t="s">
        <v>3243</v>
      </c>
      <c r="C2539" s="65" t="s">
        <v>942</v>
      </c>
    </row>
    <row r="2540" spans="1:3" hidden="1">
      <c r="A2540" s="65">
        <v>9004189</v>
      </c>
      <c r="B2540" s="65" t="s">
        <v>3244</v>
      </c>
      <c r="C2540" s="65" t="s">
        <v>942</v>
      </c>
    </row>
    <row r="2541" spans="1:3" hidden="1">
      <c r="A2541" s="65">
        <v>9004190</v>
      </c>
      <c r="B2541" s="65" t="s">
        <v>3245</v>
      </c>
      <c r="C2541" s="65" t="s">
        <v>942</v>
      </c>
    </row>
    <row r="2542" spans="1:3" hidden="1">
      <c r="A2542" s="65">
        <v>9004191</v>
      </c>
      <c r="B2542" s="65" t="s">
        <v>3246</v>
      </c>
      <c r="C2542" s="65" t="s">
        <v>942</v>
      </c>
    </row>
    <row r="2543" spans="1:3" hidden="1">
      <c r="A2543" s="65">
        <v>9004192</v>
      </c>
      <c r="B2543" s="65" t="s">
        <v>3247</v>
      </c>
      <c r="C2543" s="65" t="s">
        <v>942</v>
      </c>
    </row>
    <row r="2544" spans="1:3" hidden="1">
      <c r="A2544" s="65">
        <v>9004193</v>
      </c>
      <c r="B2544" s="65" t="s">
        <v>3248</v>
      </c>
      <c r="C2544" s="65" t="s">
        <v>942</v>
      </c>
    </row>
    <row r="2545" spans="1:3" hidden="1">
      <c r="A2545" s="65">
        <v>9004194</v>
      </c>
      <c r="B2545" s="65" t="s">
        <v>3249</v>
      </c>
      <c r="C2545" s="65" t="s">
        <v>942</v>
      </c>
    </row>
    <row r="2546" spans="1:3" hidden="1">
      <c r="A2546" s="65">
        <v>9004195</v>
      </c>
      <c r="B2546" s="65" t="s">
        <v>3250</v>
      </c>
      <c r="C2546" s="65" t="s">
        <v>942</v>
      </c>
    </row>
    <row r="2547" spans="1:3" hidden="1">
      <c r="A2547" s="65">
        <v>9004196</v>
      </c>
      <c r="B2547" s="65" t="s">
        <v>3251</v>
      </c>
      <c r="C2547" s="65" t="s">
        <v>942</v>
      </c>
    </row>
    <row r="2548" spans="1:3" hidden="1">
      <c r="A2548" s="65">
        <v>9004197</v>
      </c>
      <c r="B2548" s="65" t="s">
        <v>3252</v>
      </c>
      <c r="C2548" s="65" t="s">
        <v>942</v>
      </c>
    </row>
    <row r="2549" spans="1:3" hidden="1">
      <c r="A2549" s="65">
        <v>9004198</v>
      </c>
      <c r="B2549" s="65" t="s">
        <v>3253</v>
      </c>
      <c r="C2549" s="65" t="s">
        <v>942</v>
      </c>
    </row>
    <row r="2550" spans="1:3" hidden="1">
      <c r="A2550" s="65">
        <v>9004199</v>
      </c>
      <c r="B2550" s="65" t="s">
        <v>3254</v>
      </c>
      <c r="C2550" s="65" t="s">
        <v>942</v>
      </c>
    </row>
    <row r="2551" spans="1:3" hidden="1">
      <c r="A2551" s="65">
        <v>9004200</v>
      </c>
      <c r="B2551" s="65" t="s">
        <v>3255</v>
      </c>
      <c r="C2551" s="65" t="s">
        <v>942</v>
      </c>
    </row>
    <row r="2552" spans="1:3" hidden="1">
      <c r="A2552" s="65">
        <v>9004201</v>
      </c>
      <c r="B2552" s="65" t="s">
        <v>3256</v>
      </c>
      <c r="C2552" s="65" t="s">
        <v>942</v>
      </c>
    </row>
    <row r="2553" spans="1:3" hidden="1">
      <c r="A2553" s="65">
        <v>9004209</v>
      </c>
      <c r="B2553" s="65" t="s">
        <v>3257</v>
      </c>
      <c r="C2553" s="65" t="s">
        <v>942</v>
      </c>
    </row>
    <row r="2554" spans="1:3" hidden="1">
      <c r="A2554" s="65">
        <v>9004210</v>
      </c>
      <c r="B2554" s="65" t="s">
        <v>3258</v>
      </c>
      <c r="C2554" s="65" t="s">
        <v>942</v>
      </c>
    </row>
    <row r="2555" spans="1:3" hidden="1">
      <c r="A2555" s="65">
        <v>9004211</v>
      </c>
      <c r="B2555" s="65" t="s">
        <v>3259</v>
      </c>
      <c r="C2555" s="65" t="s">
        <v>942</v>
      </c>
    </row>
    <row r="2556" spans="1:3" hidden="1">
      <c r="A2556" s="65">
        <v>9004212</v>
      </c>
      <c r="B2556" s="65" t="s">
        <v>3260</v>
      </c>
      <c r="C2556" s="65" t="s">
        <v>942</v>
      </c>
    </row>
    <row r="2557" spans="1:3" hidden="1">
      <c r="A2557" s="65">
        <v>9004213</v>
      </c>
      <c r="B2557" s="65" t="s">
        <v>3261</v>
      </c>
      <c r="C2557" s="65" t="s">
        <v>942</v>
      </c>
    </row>
    <row r="2558" spans="1:3" hidden="1">
      <c r="A2558" s="65">
        <v>9004214</v>
      </c>
      <c r="B2558" s="65" t="s">
        <v>3262</v>
      </c>
      <c r="C2558" s="65" t="s">
        <v>942</v>
      </c>
    </row>
    <row r="2559" spans="1:3" hidden="1">
      <c r="A2559" s="65">
        <v>9004215</v>
      </c>
      <c r="B2559" s="65" t="s">
        <v>3263</v>
      </c>
      <c r="C2559" s="65" t="s">
        <v>942</v>
      </c>
    </row>
    <row r="2560" spans="1:3" hidden="1">
      <c r="A2560" s="65">
        <v>9004216</v>
      </c>
      <c r="B2560" s="65" t="s">
        <v>3264</v>
      </c>
      <c r="C2560" s="65" t="s">
        <v>942</v>
      </c>
    </row>
    <row r="2561" spans="1:3" hidden="1">
      <c r="A2561" s="65">
        <v>9004217</v>
      </c>
      <c r="B2561" s="65" t="s">
        <v>3265</v>
      </c>
      <c r="C2561" s="65" t="s">
        <v>942</v>
      </c>
    </row>
    <row r="2562" spans="1:3" hidden="1">
      <c r="A2562" s="65">
        <v>9004218</v>
      </c>
      <c r="B2562" s="65" t="s">
        <v>3266</v>
      </c>
      <c r="C2562" s="65" t="s">
        <v>942</v>
      </c>
    </row>
    <row r="2563" spans="1:3" hidden="1">
      <c r="A2563" s="65">
        <v>9004219</v>
      </c>
      <c r="B2563" s="65" t="s">
        <v>3267</v>
      </c>
      <c r="C2563" s="65" t="s">
        <v>942</v>
      </c>
    </row>
    <row r="2564" spans="1:3" hidden="1">
      <c r="A2564" s="65">
        <v>9004220</v>
      </c>
      <c r="B2564" s="65" t="s">
        <v>3268</v>
      </c>
      <c r="C2564" s="65" t="s">
        <v>942</v>
      </c>
    </row>
    <row r="2565" spans="1:3" hidden="1">
      <c r="A2565" s="65">
        <v>9004221</v>
      </c>
      <c r="B2565" s="65" t="s">
        <v>3269</v>
      </c>
      <c r="C2565" s="65" t="s">
        <v>942</v>
      </c>
    </row>
    <row r="2566" spans="1:3" hidden="1">
      <c r="A2566" s="65">
        <v>9004222</v>
      </c>
      <c r="B2566" s="65" t="s">
        <v>3270</v>
      </c>
      <c r="C2566" s="65" t="s">
        <v>942</v>
      </c>
    </row>
    <row r="2567" spans="1:3" hidden="1">
      <c r="A2567" s="65">
        <v>9004223</v>
      </c>
      <c r="B2567" s="65" t="s">
        <v>3271</v>
      </c>
      <c r="C2567" s="65" t="s">
        <v>942</v>
      </c>
    </row>
    <row r="2568" spans="1:3" hidden="1">
      <c r="A2568" s="65">
        <v>9004224</v>
      </c>
      <c r="B2568" s="65" t="s">
        <v>3272</v>
      </c>
      <c r="C2568" s="65" t="s">
        <v>942</v>
      </c>
    </row>
    <row r="2569" spans="1:3" hidden="1">
      <c r="A2569" s="65">
        <v>9004225</v>
      </c>
      <c r="B2569" s="65" t="s">
        <v>3273</v>
      </c>
      <c r="C2569" s="65" t="s">
        <v>793</v>
      </c>
    </row>
    <row r="2570" spans="1:3" hidden="1">
      <c r="A2570" s="65">
        <v>9004226</v>
      </c>
      <c r="B2570" s="65" t="s">
        <v>3274</v>
      </c>
      <c r="C2570" s="65" t="s">
        <v>793</v>
      </c>
    </row>
    <row r="2571" spans="1:3" hidden="1">
      <c r="A2571" s="65">
        <v>9004227</v>
      </c>
      <c r="B2571" s="65" t="s">
        <v>3275</v>
      </c>
      <c r="C2571" s="65" t="s">
        <v>793</v>
      </c>
    </row>
    <row r="2572" spans="1:3" hidden="1">
      <c r="A2572" s="65">
        <v>9004228</v>
      </c>
      <c r="B2572" s="65" t="s">
        <v>3276</v>
      </c>
      <c r="C2572" s="65" t="s">
        <v>805</v>
      </c>
    </row>
    <row r="2573" spans="1:3" hidden="1">
      <c r="A2573" s="65">
        <v>9004229</v>
      </c>
      <c r="B2573" s="65" t="s">
        <v>3277</v>
      </c>
      <c r="C2573" s="65" t="s">
        <v>942</v>
      </c>
    </row>
    <row r="2574" spans="1:3" hidden="1">
      <c r="A2574" s="65">
        <v>9004230</v>
      </c>
      <c r="B2574" s="65" t="s">
        <v>3080</v>
      </c>
      <c r="C2574" s="65" t="s">
        <v>942</v>
      </c>
    </row>
    <row r="2575" spans="1:3" hidden="1">
      <c r="A2575" s="65">
        <v>9004231</v>
      </c>
      <c r="B2575" s="65" t="s">
        <v>3278</v>
      </c>
      <c r="C2575" s="65" t="s">
        <v>942</v>
      </c>
    </row>
    <row r="2576" spans="1:3" hidden="1">
      <c r="A2576" s="65">
        <v>9004232</v>
      </c>
      <c r="B2576" s="65" t="s">
        <v>3279</v>
      </c>
      <c r="C2576" s="65" t="s">
        <v>942</v>
      </c>
    </row>
    <row r="2577" spans="1:3" hidden="1">
      <c r="A2577" s="65">
        <v>9004233</v>
      </c>
      <c r="B2577" s="65" t="s">
        <v>3280</v>
      </c>
      <c r="C2577" s="65" t="s">
        <v>942</v>
      </c>
    </row>
    <row r="2578" spans="1:3" hidden="1">
      <c r="A2578" s="65">
        <v>9004234</v>
      </c>
      <c r="B2578" s="65" t="s">
        <v>3281</v>
      </c>
      <c r="C2578" s="65" t="s">
        <v>942</v>
      </c>
    </row>
    <row r="2579" spans="1:3" hidden="1">
      <c r="A2579" s="65">
        <v>9004235</v>
      </c>
      <c r="B2579" s="65" t="s">
        <v>3282</v>
      </c>
      <c r="C2579" s="65" t="s">
        <v>942</v>
      </c>
    </row>
    <row r="2580" spans="1:3" hidden="1">
      <c r="A2580" s="65">
        <v>9004236</v>
      </c>
      <c r="B2580" s="65" t="s">
        <v>3283</v>
      </c>
      <c r="C2580" s="65" t="s">
        <v>942</v>
      </c>
    </row>
    <row r="2581" spans="1:3" hidden="1">
      <c r="A2581" s="65">
        <v>9004237</v>
      </c>
      <c r="B2581" s="65" t="s">
        <v>3284</v>
      </c>
      <c r="C2581" s="65" t="s">
        <v>942</v>
      </c>
    </row>
    <row r="2582" spans="1:3" hidden="1">
      <c r="A2582" s="65">
        <v>9004238</v>
      </c>
      <c r="B2582" s="65" t="s">
        <v>3285</v>
      </c>
      <c r="C2582" s="65" t="s">
        <v>942</v>
      </c>
    </row>
    <row r="2583" spans="1:3" hidden="1">
      <c r="A2583" s="65">
        <v>9004239</v>
      </c>
      <c r="B2583" s="65" t="s">
        <v>3286</v>
      </c>
      <c r="C2583" s="65" t="s">
        <v>942</v>
      </c>
    </row>
    <row r="2584" spans="1:3" hidden="1">
      <c r="A2584" s="65">
        <v>9004240</v>
      </c>
      <c r="B2584" s="65" t="s">
        <v>3287</v>
      </c>
      <c r="C2584" s="65" t="s">
        <v>942</v>
      </c>
    </row>
    <row r="2585" spans="1:3" hidden="1">
      <c r="A2585" s="65">
        <v>9004241</v>
      </c>
      <c r="B2585" s="65" t="s">
        <v>3288</v>
      </c>
      <c r="C2585" s="65" t="s">
        <v>942</v>
      </c>
    </row>
    <row r="2586" spans="1:3" hidden="1">
      <c r="A2586" s="65">
        <v>9004242</v>
      </c>
      <c r="B2586" s="65" t="s">
        <v>3289</v>
      </c>
      <c r="C2586" s="65" t="s">
        <v>942</v>
      </c>
    </row>
    <row r="2587" spans="1:3" hidden="1">
      <c r="A2587" s="65">
        <v>9004243</v>
      </c>
      <c r="B2587" s="65" t="s">
        <v>3290</v>
      </c>
      <c r="C2587" s="65" t="s">
        <v>942</v>
      </c>
    </row>
    <row r="2588" spans="1:3" hidden="1">
      <c r="A2588" s="65">
        <v>9004244</v>
      </c>
      <c r="B2588" s="65" t="s">
        <v>3291</v>
      </c>
      <c r="C2588" s="65" t="s">
        <v>942</v>
      </c>
    </row>
    <row r="2589" spans="1:3" hidden="1">
      <c r="A2589" s="65">
        <v>9004245</v>
      </c>
      <c r="B2589" s="65" t="s">
        <v>3292</v>
      </c>
      <c r="C2589" s="65" t="s">
        <v>942</v>
      </c>
    </row>
    <row r="2590" spans="1:3" hidden="1">
      <c r="A2590" s="65">
        <v>9004246</v>
      </c>
      <c r="B2590" s="65" t="s">
        <v>3293</v>
      </c>
      <c r="C2590" s="65" t="s">
        <v>942</v>
      </c>
    </row>
    <row r="2591" spans="1:3" hidden="1">
      <c r="A2591" s="65">
        <v>9004247</v>
      </c>
      <c r="B2591" s="65" t="s">
        <v>3294</v>
      </c>
      <c r="C2591" s="65" t="s">
        <v>942</v>
      </c>
    </row>
    <row r="2592" spans="1:3" hidden="1">
      <c r="A2592" s="65">
        <v>9004248</v>
      </c>
      <c r="B2592" s="65" t="s">
        <v>3295</v>
      </c>
      <c r="C2592" s="65" t="s">
        <v>942</v>
      </c>
    </row>
    <row r="2593" spans="1:3" hidden="1">
      <c r="A2593" s="65">
        <v>9004249</v>
      </c>
      <c r="B2593" s="65" t="s">
        <v>3081</v>
      </c>
      <c r="C2593" s="65" t="s">
        <v>942</v>
      </c>
    </row>
    <row r="2594" spans="1:3" hidden="1">
      <c r="A2594" s="65">
        <v>9004250</v>
      </c>
      <c r="B2594" s="65" t="s">
        <v>3296</v>
      </c>
      <c r="C2594" s="65" t="s">
        <v>942</v>
      </c>
    </row>
    <row r="2595" spans="1:3" hidden="1">
      <c r="A2595" s="65">
        <v>9004259</v>
      </c>
      <c r="B2595" s="65" t="s">
        <v>3297</v>
      </c>
      <c r="C2595" s="65" t="s">
        <v>793</v>
      </c>
    </row>
    <row r="2596" spans="1:3" hidden="1">
      <c r="A2596" s="65">
        <v>9004260</v>
      </c>
      <c r="B2596" s="65" t="s">
        <v>3298</v>
      </c>
      <c r="C2596" s="65" t="s">
        <v>793</v>
      </c>
    </row>
    <row r="2597" spans="1:3" hidden="1">
      <c r="A2597" s="65">
        <v>9004261</v>
      </c>
      <c r="B2597" s="65" t="s">
        <v>3299</v>
      </c>
      <c r="C2597" s="65" t="s">
        <v>793</v>
      </c>
    </row>
    <row r="2598" spans="1:3" hidden="1">
      <c r="A2598" s="65">
        <v>9004262</v>
      </c>
      <c r="B2598" s="65" t="s">
        <v>3300</v>
      </c>
      <c r="C2598" s="65" t="s">
        <v>793</v>
      </c>
    </row>
    <row r="2599" spans="1:3" hidden="1">
      <c r="A2599" s="65">
        <v>9004263</v>
      </c>
      <c r="B2599" s="65" t="s">
        <v>3301</v>
      </c>
      <c r="C2599" s="65" t="s">
        <v>793</v>
      </c>
    </row>
    <row r="2600" spans="1:3" hidden="1">
      <c r="A2600" s="65">
        <v>9004264</v>
      </c>
      <c r="B2600" s="65" t="s">
        <v>3302</v>
      </c>
      <c r="C2600" s="65" t="s">
        <v>793</v>
      </c>
    </row>
    <row r="2601" spans="1:3" hidden="1">
      <c r="A2601" s="65">
        <v>9004265</v>
      </c>
      <c r="B2601" s="65" t="s">
        <v>3303</v>
      </c>
      <c r="C2601" s="65" t="s">
        <v>793</v>
      </c>
    </row>
    <row r="2602" spans="1:3" hidden="1">
      <c r="A2602" s="65">
        <v>9004266</v>
      </c>
      <c r="B2602" s="65" t="s">
        <v>3304</v>
      </c>
      <c r="C2602" s="65" t="s">
        <v>793</v>
      </c>
    </row>
    <row r="2603" spans="1:3" hidden="1">
      <c r="A2603" s="65">
        <v>9004269</v>
      </c>
      <c r="B2603" s="65" t="s">
        <v>3305</v>
      </c>
      <c r="C2603" s="65" t="s">
        <v>942</v>
      </c>
    </row>
    <row r="2604" spans="1:3" hidden="1">
      <c r="A2604" s="65">
        <v>9004270</v>
      </c>
      <c r="B2604" s="65" t="s">
        <v>3306</v>
      </c>
      <c r="C2604" s="65" t="s">
        <v>942</v>
      </c>
    </row>
    <row r="2605" spans="1:3" hidden="1">
      <c r="A2605" s="65">
        <v>9004271</v>
      </c>
      <c r="B2605" s="65" t="s">
        <v>3307</v>
      </c>
      <c r="C2605" s="65" t="s">
        <v>942</v>
      </c>
    </row>
    <row r="2606" spans="1:3" hidden="1">
      <c r="A2606" s="65">
        <v>9004272</v>
      </c>
      <c r="B2606" s="65" t="s">
        <v>3308</v>
      </c>
      <c r="C2606" s="65" t="s">
        <v>942</v>
      </c>
    </row>
    <row r="2607" spans="1:3" hidden="1">
      <c r="A2607" s="65">
        <v>9004273</v>
      </c>
      <c r="B2607" s="65" t="s">
        <v>3309</v>
      </c>
      <c r="C2607" s="65" t="s">
        <v>942</v>
      </c>
    </row>
    <row r="2608" spans="1:3" hidden="1">
      <c r="A2608" s="65">
        <v>9004274</v>
      </c>
      <c r="B2608" s="65" t="s">
        <v>3310</v>
      </c>
      <c r="C2608" s="65" t="s">
        <v>942</v>
      </c>
    </row>
    <row r="2609" spans="1:3" hidden="1">
      <c r="A2609" s="65">
        <v>9004275</v>
      </c>
      <c r="B2609" s="65" t="s">
        <v>3311</v>
      </c>
      <c r="C2609" s="65" t="s">
        <v>942</v>
      </c>
    </row>
    <row r="2610" spans="1:3" hidden="1">
      <c r="A2610" s="65">
        <v>9004276</v>
      </c>
      <c r="B2610" s="65" t="s">
        <v>3312</v>
      </c>
      <c r="C2610" s="65" t="s">
        <v>942</v>
      </c>
    </row>
    <row r="2611" spans="1:3" hidden="1">
      <c r="A2611" s="65">
        <v>9004277</v>
      </c>
      <c r="B2611" s="65" t="s">
        <v>3313</v>
      </c>
      <c r="C2611" s="65" t="s">
        <v>942</v>
      </c>
    </row>
    <row r="2612" spans="1:3" hidden="1">
      <c r="A2612" s="65">
        <v>9004278</v>
      </c>
      <c r="B2612" s="65" t="s">
        <v>3314</v>
      </c>
      <c r="C2612" s="65" t="s">
        <v>942</v>
      </c>
    </row>
    <row r="2613" spans="1:3" hidden="1">
      <c r="A2613" s="65">
        <v>9004279</v>
      </c>
      <c r="B2613" s="65" t="s">
        <v>3315</v>
      </c>
      <c r="C2613" s="65" t="s">
        <v>942</v>
      </c>
    </row>
    <row r="2614" spans="1:3" hidden="1">
      <c r="A2614" s="65">
        <v>9004280</v>
      </c>
      <c r="B2614" s="65" t="s">
        <v>3316</v>
      </c>
      <c r="C2614" s="65" t="s">
        <v>942</v>
      </c>
    </row>
    <row r="2615" spans="1:3" hidden="1">
      <c r="A2615" s="65">
        <v>9004281</v>
      </c>
      <c r="B2615" s="65" t="s">
        <v>3317</v>
      </c>
      <c r="C2615" s="65" t="s">
        <v>942</v>
      </c>
    </row>
    <row r="2616" spans="1:3" hidden="1">
      <c r="A2616" s="65">
        <v>9004282</v>
      </c>
      <c r="B2616" s="65" t="s">
        <v>3318</v>
      </c>
      <c r="C2616" s="65" t="s">
        <v>942</v>
      </c>
    </row>
    <row r="2617" spans="1:3" hidden="1">
      <c r="A2617" s="65">
        <v>9004283</v>
      </c>
      <c r="B2617" s="65" t="s">
        <v>3319</v>
      </c>
      <c r="C2617" s="65" t="s">
        <v>745</v>
      </c>
    </row>
    <row r="2618" spans="1:3" hidden="1">
      <c r="A2618" s="65">
        <v>9004284</v>
      </c>
      <c r="B2618" s="65" t="s">
        <v>3320</v>
      </c>
      <c r="C2618" s="65" t="s">
        <v>942</v>
      </c>
    </row>
    <row r="2619" spans="1:3" hidden="1">
      <c r="A2619" s="65">
        <v>9004285</v>
      </c>
      <c r="B2619" s="65" t="s">
        <v>3321</v>
      </c>
      <c r="C2619" s="65" t="s">
        <v>942</v>
      </c>
    </row>
    <row r="2620" spans="1:3" hidden="1">
      <c r="A2620" s="65">
        <v>9004286</v>
      </c>
      <c r="B2620" s="65" t="s">
        <v>3322</v>
      </c>
      <c r="C2620" s="65" t="s">
        <v>738</v>
      </c>
    </row>
    <row r="2621" spans="1:3" hidden="1">
      <c r="A2621" s="65">
        <v>9004287</v>
      </c>
      <c r="B2621" s="65" t="s">
        <v>3323</v>
      </c>
      <c r="C2621" s="65" t="s">
        <v>738</v>
      </c>
    </row>
    <row r="2622" spans="1:3" hidden="1">
      <c r="A2622" s="65">
        <v>9004288</v>
      </c>
      <c r="B2622" s="65" t="s">
        <v>3324</v>
      </c>
      <c r="C2622" s="65" t="s">
        <v>850</v>
      </c>
    </row>
    <row r="2623" spans="1:3" hidden="1">
      <c r="A2623" s="65">
        <v>9004289</v>
      </c>
      <c r="B2623" s="65" t="s">
        <v>3325</v>
      </c>
      <c r="C2623" s="65" t="s">
        <v>738</v>
      </c>
    </row>
    <row r="2624" spans="1:3" hidden="1">
      <c r="A2624" s="65">
        <v>9004290</v>
      </c>
      <c r="B2624" s="65" t="s">
        <v>3326</v>
      </c>
      <c r="C2624" s="65" t="s">
        <v>942</v>
      </c>
    </row>
    <row r="2625" spans="1:3" hidden="1">
      <c r="A2625" s="65">
        <v>9004291</v>
      </c>
      <c r="B2625" s="65" t="s">
        <v>3327</v>
      </c>
      <c r="C2625" s="65" t="s">
        <v>942</v>
      </c>
    </row>
    <row r="2626" spans="1:3" hidden="1">
      <c r="A2626" s="65">
        <v>9004292</v>
      </c>
      <c r="B2626" s="65" t="s">
        <v>3328</v>
      </c>
      <c r="C2626" s="65" t="s">
        <v>942</v>
      </c>
    </row>
    <row r="2627" spans="1:3" hidden="1">
      <c r="A2627" s="65">
        <v>9004293</v>
      </c>
      <c r="B2627" s="65" t="s">
        <v>3329</v>
      </c>
      <c r="C2627" s="65" t="s">
        <v>942</v>
      </c>
    </row>
    <row r="2628" spans="1:3" hidden="1">
      <c r="A2628" s="65">
        <v>9004294</v>
      </c>
      <c r="B2628" s="65" t="s">
        <v>3330</v>
      </c>
      <c r="C2628" s="65" t="s">
        <v>942</v>
      </c>
    </row>
    <row r="2629" spans="1:3" hidden="1">
      <c r="A2629" s="65">
        <v>9004295</v>
      </c>
      <c r="B2629" s="65" t="s">
        <v>3331</v>
      </c>
      <c r="C2629" s="65" t="s">
        <v>942</v>
      </c>
    </row>
    <row r="2630" spans="1:3" hidden="1">
      <c r="A2630" s="65">
        <v>9004296</v>
      </c>
      <c r="B2630" s="65" t="s">
        <v>3332</v>
      </c>
      <c r="C2630" s="65" t="s">
        <v>942</v>
      </c>
    </row>
    <row r="2631" spans="1:3" hidden="1">
      <c r="A2631" s="65">
        <v>9004297</v>
      </c>
      <c r="B2631" s="65" t="s">
        <v>3333</v>
      </c>
      <c r="C2631" s="65" t="s">
        <v>942</v>
      </c>
    </row>
    <row r="2632" spans="1:3" hidden="1">
      <c r="A2632" s="65">
        <v>9004298</v>
      </c>
      <c r="B2632" s="65" t="s">
        <v>3334</v>
      </c>
      <c r="C2632" s="65" t="s">
        <v>942</v>
      </c>
    </row>
    <row r="2633" spans="1:3" hidden="1">
      <c r="A2633" s="65">
        <v>9004299</v>
      </c>
      <c r="B2633" s="65" t="s">
        <v>3335</v>
      </c>
      <c r="C2633" s="65" t="s">
        <v>1181</v>
      </c>
    </row>
    <row r="2634" spans="1:3" hidden="1">
      <c r="A2634" s="65">
        <v>9004300</v>
      </c>
      <c r="B2634" s="65" t="s">
        <v>3336</v>
      </c>
      <c r="C2634" s="65" t="s">
        <v>1181</v>
      </c>
    </row>
    <row r="2635" spans="1:3" hidden="1">
      <c r="A2635" s="65">
        <v>9004301</v>
      </c>
      <c r="B2635" s="65" t="s">
        <v>3337</v>
      </c>
      <c r="C2635" s="65" t="s">
        <v>1181</v>
      </c>
    </row>
    <row r="2636" spans="1:3" hidden="1">
      <c r="A2636" s="65">
        <v>9004302</v>
      </c>
      <c r="B2636" s="65" t="s">
        <v>3338</v>
      </c>
      <c r="C2636" s="65" t="s">
        <v>1181</v>
      </c>
    </row>
    <row r="2637" spans="1:3" hidden="1">
      <c r="A2637" s="65">
        <v>9004303</v>
      </c>
      <c r="B2637" s="65" t="s">
        <v>3339</v>
      </c>
      <c r="C2637" s="65" t="s">
        <v>1181</v>
      </c>
    </row>
    <row r="2638" spans="1:3" hidden="1">
      <c r="A2638" s="65">
        <v>9004304</v>
      </c>
      <c r="B2638" s="65" t="s">
        <v>3340</v>
      </c>
      <c r="C2638" s="65" t="s">
        <v>1181</v>
      </c>
    </row>
    <row r="2639" spans="1:3" hidden="1">
      <c r="A2639" s="65">
        <v>9004305</v>
      </c>
      <c r="B2639" s="65" t="s">
        <v>3341</v>
      </c>
      <c r="C2639" s="65" t="s">
        <v>732</v>
      </c>
    </row>
    <row r="2640" spans="1:3" hidden="1">
      <c r="A2640" s="65">
        <v>9004306</v>
      </c>
      <c r="B2640" s="65" t="s">
        <v>3342</v>
      </c>
      <c r="C2640" s="65" t="s">
        <v>942</v>
      </c>
    </row>
    <row r="2641" spans="1:3" hidden="1">
      <c r="A2641" s="65">
        <v>9004307</v>
      </c>
      <c r="B2641" s="65" t="s">
        <v>3343</v>
      </c>
      <c r="C2641" s="65" t="s">
        <v>942</v>
      </c>
    </row>
    <row r="2642" spans="1:3" hidden="1">
      <c r="A2642" s="65">
        <v>9004308</v>
      </c>
      <c r="B2642" s="65" t="s">
        <v>3344</v>
      </c>
      <c r="C2642" s="65" t="s">
        <v>942</v>
      </c>
    </row>
    <row r="2643" spans="1:3" hidden="1">
      <c r="A2643" s="65">
        <v>9004309</v>
      </c>
      <c r="B2643" s="65" t="s">
        <v>3345</v>
      </c>
      <c r="C2643" s="65" t="s">
        <v>942</v>
      </c>
    </row>
    <row r="2644" spans="1:3" hidden="1">
      <c r="A2644" s="65">
        <v>9004310</v>
      </c>
      <c r="B2644" s="65" t="s">
        <v>3346</v>
      </c>
      <c r="C2644" s="65" t="s">
        <v>942</v>
      </c>
    </row>
    <row r="2645" spans="1:3" hidden="1">
      <c r="A2645" s="65">
        <v>9004311</v>
      </c>
      <c r="B2645" s="65" t="s">
        <v>3347</v>
      </c>
      <c r="C2645" s="65" t="s">
        <v>942</v>
      </c>
    </row>
    <row r="2646" spans="1:3" hidden="1">
      <c r="A2646" s="65">
        <v>9004312</v>
      </c>
      <c r="B2646" s="65" t="s">
        <v>3348</v>
      </c>
      <c r="C2646" s="65" t="s">
        <v>942</v>
      </c>
    </row>
    <row r="2647" spans="1:3" hidden="1">
      <c r="A2647" s="65">
        <v>9004313</v>
      </c>
      <c r="B2647" s="65" t="s">
        <v>3349</v>
      </c>
      <c r="C2647" s="65" t="s">
        <v>942</v>
      </c>
    </row>
    <row r="2648" spans="1:3" hidden="1">
      <c r="A2648" s="65">
        <v>9004314</v>
      </c>
      <c r="B2648" s="65" t="s">
        <v>3350</v>
      </c>
      <c r="C2648" s="65" t="s">
        <v>942</v>
      </c>
    </row>
    <row r="2649" spans="1:3" hidden="1">
      <c r="A2649" s="65">
        <v>9004315</v>
      </c>
      <c r="B2649" s="65" t="s">
        <v>3351</v>
      </c>
      <c r="C2649" s="65" t="s">
        <v>942</v>
      </c>
    </row>
    <row r="2650" spans="1:3" hidden="1">
      <c r="A2650" s="65">
        <v>9004316</v>
      </c>
      <c r="B2650" s="65" t="s">
        <v>3352</v>
      </c>
      <c r="C2650" s="65" t="s">
        <v>942</v>
      </c>
    </row>
    <row r="2651" spans="1:3" hidden="1">
      <c r="A2651" s="65">
        <v>9004317</v>
      </c>
      <c r="B2651" s="65" t="s">
        <v>3353</v>
      </c>
      <c r="C2651" s="65" t="s">
        <v>942</v>
      </c>
    </row>
    <row r="2652" spans="1:3" hidden="1">
      <c r="A2652" s="65">
        <v>9004318</v>
      </c>
      <c r="B2652" s="65" t="s">
        <v>3354</v>
      </c>
      <c r="C2652" s="65" t="s">
        <v>942</v>
      </c>
    </row>
    <row r="2653" spans="1:3" hidden="1">
      <c r="A2653" s="65">
        <v>9004319</v>
      </c>
      <c r="B2653" s="65" t="s">
        <v>3355</v>
      </c>
      <c r="C2653" s="65" t="s">
        <v>805</v>
      </c>
    </row>
    <row r="2654" spans="1:3" hidden="1">
      <c r="A2654" s="65">
        <v>9004320</v>
      </c>
      <c r="B2654" s="65" t="s">
        <v>3356</v>
      </c>
      <c r="C2654" s="65" t="s">
        <v>942</v>
      </c>
    </row>
    <row r="2655" spans="1:3" hidden="1">
      <c r="A2655" s="65">
        <v>9004321</v>
      </c>
      <c r="B2655" s="65" t="s">
        <v>3357</v>
      </c>
      <c r="C2655" s="65" t="s">
        <v>942</v>
      </c>
    </row>
    <row r="2656" spans="1:3" hidden="1">
      <c r="A2656" s="65">
        <v>9004322</v>
      </c>
      <c r="B2656" s="65" t="s">
        <v>3358</v>
      </c>
      <c r="C2656" s="65" t="s">
        <v>942</v>
      </c>
    </row>
    <row r="2657" spans="1:3" hidden="1">
      <c r="A2657" s="65">
        <v>9004323</v>
      </c>
      <c r="B2657" s="65" t="s">
        <v>3359</v>
      </c>
      <c r="C2657" s="65" t="s">
        <v>1181</v>
      </c>
    </row>
    <row r="2658" spans="1:3" hidden="1">
      <c r="A2658" s="65">
        <v>9004324</v>
      </c>
      <c r="B2658" s="65" t="s">
        <v>3360</v>
      </c>
      <c r="C2658" s="65" t="s">
        <v>942</v>
      </c>
    </row>
    <row r="2659" spans="1:3" hidden="1">
      <c r="A2659" s="65">
        <v>9004325</v>
      </c>
      <c r="B2659" s="65" t="s">
        <v>3361</v>
      </c>
      <c r="C2659" s="65" t="s">
        <v>942</v>
      </c>
    </row>
    <row r="2660" spans="1:3" hidden="1">
      <c r="A2660" s="65">
        <v>9004326</v>
      </c>
      <c r="B2660" s="65" t="s">
        <v>3362</v>
      </c>
      <c r="C2660" s="65" t="s">
        <v>942</v>
      </c>
    </row>
    <row r="2661" spans="1:3" hidden="1">
      <c r="A2661" s="65">
        <v>9004327</v>
      </c>
      <c r="B2661" s="65" t="s">
        <v>3363</v>
      </c>
      <c r="C2661" s="65" t="s">
        <v>942</v>
      </c>
    </row>
    <row r="2662" spans="1:3" hidden="1">
      <c r="A2662" s="65">
        <v>9004328</v>
      </c>
      <c r="B2662" s="65" t="s">
        <v>3364</v>
      </c>
      <c r="C2662" s="65" t="s">
        <v>942</v>
      </c>
    </row>
    <row r="2663" spans="1:3" hidden="1">
      <c r="A2663" s="65">
        <v>9004329</v>
      </c>
      <c r="B2663" s="65" t="s">
        <v>3365</v>
      </c>
      <c r="C2663" s="65" t="s">
        <v>942</v>
      </c>
    </row>
    <row r="2664" spans="1:3" hidden="1">
      <c r="A2664" s="65">
        <v>9004330</v>
      </c>
      <c r="B2664" s="65" t="s">
        <v>3366</v>
      </c>
      <c r="C2664" s="65" t="s">
        <v>942</v>
      </c>
    </row>
    <row r="2665" spans="1:3" hidden="1">
      <c r="A2665" s="65">
        <v>9004331</v>
      </c>
      <c r="B2665" s="65" t="s">
        <v>3367</v>
      </c>
      <c r="C2665" s="65" t="s">
        <v>942</v>
      </c>
    </row>
    <row r="2666" spans="1:3" hidden="1">
      <c r="A2666" s="65">
        <v>9004332</v>
      </c>
      <c r="B2666" s="65" t="s">
        <v>3368</v>
      </c>
      <c r="C2666" s="65" t="s">
        <v>942</v>
      </c>
    </row>
    <row r="2667" spans="1:3" hidden="1">
      <c r="A2667" s="65">
        <v>9004333</v>
      </c>
      <c r="B2667" s="65" t="s">
        <v>3369</v>
      </c>
      <c r="C2667" s="65" t="s">
        <v>1181</v>
      </c>
    </row>
    <row r="2668" spans="1:3" hidden="1">
      <c r="A2668" s="65">
        <v>9004334</v>
      </c>
      <c r="B2668" s="65" t="s">
        <v>3370</v>
      </c>
      <c r="C2668" s="65" t="s">
        <v>1181</v>
      </c>
    </row>
    <row r="2669" spans="1:3" hidden="1">
      <c r="A2669" s="65">
        <v>9004335</v>
      </c>
      <c r="B2669" s="65" t="s">
        <v>3371</v>
      </c>
      <c r="C2669" s="65" t="s">
        <v>1181</v>
      </c>
    </row>
    <row r="2670" spans="1:3" hidden="1">
      <c r="A2670" s="65">
        <v>9004336</v>
      </c>
      <c r="B2670" s="65" t="s">
        <v>3372</v>
      </c>
      <c r="C2670" s="65" t="s">
        <v>738</v>
      </c>
    </row>
    <row r="2671" spans="1:3" hidden="1">
      <c r="A2671" s="65">
        <v>9004337</v>
      </c>
      <c r="B2671" s="65" t="s">
        <v>3373</v>
      </c>
      <c r="C2671" s="65" t="s">
        <v>809</v>
      </c>
    </row>
    <row r="2672" spans="1:3" hidden="1">
      <c r="A2672" s="65">
        <v>9004338</v>
      </c>
      <c r="B2672" s="65" t="s">
        <v>3374</v>
      </c>
      <c r="C2672" s="65" t="s">
        <v>751</v>
      </c>
    </row>
    <row r="2673" spans="1:3" hidden="1">
      <c r="A2673" s="65">
        <v>9004339</v>
      </c>
      <c r="B2673" s="65" t="s">
        <v>3375</v>
      </c>
      <c r="C2673" s="65" t="s">
        <v>942</v>
      </c>
    </row>
    <row r="2674" spans="1:3" hidden="1">
      <c r="A2674" s="65">
        <v>9004340</v>
      </c>
      <c r="B2674" s="65" t="s">
        <v>3376</v>
      </c>
      <c r="C2674" s="65" t="s">
        <v>942</v>
      </c>
    </row>
    <row r="2675" spans="1:3" hidden="1">
      <c r="A2675" s="65">
        <v>9004341</v>
      </c>
      <c r="B2675" s="65" t="s">
        <v>3377</v>
      </c>
      <c r="C2675" s="65" t="s">
        <v>942</v>
      </c>
    </row>
    <row r="2676" spans="1:3" hidden="1">
      <c r="A2676" s="65">
        <v>9004342</v>
      </c>
      <c r="B2676" s="65" t="s">
        <v>3378</v>
      </c>
      <c r="C2676" s="65" t="s">
        <v>942</v>
      </c>
    </row>
    <row r="2677" spans="1:3" hidden="1">
      <c r="A2677" s="65">
        <v>9004343</v>
      </c>
      <c r="B2677" s="65" t="s">
        <v>3379</v>
      </c>
      <c r="C2677" s="65" t="s">
        <v>942</v>
      </c>
    </row>
    <row r="2678" spans="1:3" hidden="1">
      <c r="A2678" s="65">
        <v>9004344</v>
      </c>
      <c r="B2678" s="65" t="s">
        <v>3380</v>
      </c>
      <c r="C2678" s="65" t="s">
        <v>805</v>
      </c>
    </row>
    <row r="2679" spans="1:3" hidden="1">
      <c r="A2679" s="65">
        <v>9004345</v>
      </c>
      <c r="B2679" s="65" t="s">
        <v>3381</v>
      </c>
      <c r="C2679" s="65" t="s">
        <v>1181</v>
      </c>
    </row>
    <row r="2680" spans="1:3" hidden="1">
      <c r="A2680" s="65">
        <v>9004346</v>
      </c>
      <c r="B2680" s="65" t="s">
        <v>3382</v>
      </c>
      <c r="C2680" s="65" t="s">
        <v>805</v>
      </c>
    </row>
    <row r="2681" spans="1:3" hidden="1">
      <c r="A2681" s="65">
        <v>9004347</v>
      </c>
      <c r="B2681" s="65" t="s">
        <v>3383</v>
      </c>
      <c r="C2681" s="65" t="s">
        <v>942</v>
      </c>
    </row>
    <row r="2682" spans="1:3" hidden="1">
      <c r="A2682" s="65">
        <v>9004348</v>
      </c>
      <c r="B2682" s="65" t="s">
        <v>3384</v>
      </c>
      <c r="C2682" s="65" t="s">
        <v>942</v>
      </c>
    </row>
    <row r="2683" spans="1:3" hidden="1">
      <c r="A2683" s="65">
        <v>9004349</v>
      </c>
      <c r="B2683" s="65" t="s">
        <v>3385</v>
      </c>
      <c r="C2683" s="65" t="s">
        <v>942</v>
      </c>
    </row>
    <row r="2684" spans="1:3" hidden="1">
      <c r="A2684" s="65">
        <v>9004350</v>
      </c>
      <c r="B2684" s="65" t="s">
        <v>3386</v>
      </c>
      <c r="C2684" s="65" t="s">
        <v>942</v>
      </c>
    </row>
    <row r="2685" spans="1:3" hidden="1">
      <c r="A2685" s="65">
        <v>9004351</v>
      </c>
      <c r="B2685" s="65" t="s">
        <v>3387</v>
      </c>
      <c r="C2685" s="65" t="s">
        <v>942</v>
      </c>
    </row>
    <row r="2686" spans="1:3" hidden="1">
      <c r="A2686" s="65">
        <v>9004352</v>
      </c>
      <c r="B2686" s="65" t="s">
        <v>3388</v>
      </c>
      <c r="C2686" s="65" t="s">
        <v>942</v>
      </c>
    </row>
    <row r="2687" spans="1:3" hidden="1">
      <c r="A2687" s="65">
        <v>9004353</v>
      </c>
      <c r="B2687" s="65" t="s">
        <v>3389</v>
      </c>
      <c r="C2687" s="65" t="s">
        <v>942</v>
      </c>
    </row>
    <row r="2688" spans="1:3" hidden="1">
      <c r="A2688" s="65">
        <v>9004354</v>
      </c>
      <c r="B2688" s="65" t="s">
        <v>3390</v>
      </c>
      <c r="C2688" s="65" t="s">
        <v>942</v>
      </c>
    </row>
    <row r="2689" spans="1:3" hidden="1">
      <c r="A2689" s="65">
        <v>9004355</v>
      </c>
      <c r="B2689" s="65" t="s">
        <v>3391</v>
      </c>
      <c r="C2689" s="65" t="s">
        <v>942</v>
      </c>
    </row>
    <row r="2690" spans="1:3" hidden="1">
      <c r="A2690" s="65">
        <v>9004356</v>
      </c>
      <c r="B2690" s="65" t="s">
        <v>3392</v>
      </c>
      <c r="C2690" s="65" t="s">
        <v>1181</v>
      </c>
    </row>
    <row r="2691" spans="1:3" hidden="1">
      <c r="A2691" s="65">
        <v>9004357</v>
      </c>
      <c r="B2691" s="65" t="s">
        <v>3393</v>
      </c>
      <c r="C2691" s="65" t="s">
        <v>805</v>
      </c>
    </row>
    <row r="2692" spans="1:3" hidden="1">
      <c r="A2692" s="65">
        <v>9004358</v>
      </c>
      <c r="B2692" s="65" t="s">
        <v>3394</v>
      </c>
      <c r="C2692" s="65" t="s">
        <v>1181</v>
      </c>
    </row>
    <row r="2693" spans="1:3" hidden="1">
      <c r="A2693" s="65">
        <v>9004359</v>
      </c>
      <c r="B2693" s="65" t="s">
        <v>3395</v>
      </c>
      <c r="C2693" s="65" t="s">
        <v>942</v>
      </c>
    </row>
    <row r="2694" spans="1:3" hidden="1">
      <c r="A2694" s="65">
        <v>9004360</v>
      </c>
      <c r="B2694" s="65" t="s">
        <v>3396</v>
      </c>
      <c r="C2694" s="65" t="s">
        <v>942</v>
      </c>
    </row>
    <row r="2695" spans="1:3" hidden="1">
      <c r="A2695" s="65">
        <v>9004361</v>
      </c>
      <c r="B2695" s="65" t="s">
        <v>3397</v>
      </c>
      <c r="C2695" s="65" t="s">
        <v>793</v>
      </c>
    </row>
    <row r="2696" spans="1:3" hidden="1">
      <c r="A2696" s="65">
        <v>9004362</v>
      </c>
      <c r="B2696" s="65" t="s">
        <v>3398</v>
      </c>
      <c r="C2696" s="65" t="s">
        <v>942</v>
      </c>
    </row>
    <row r="2697" spans="1:3" hidden="1">
      <c r="A2697" s="65">
        <v>9004363</v>
      </c>
      <c r="B2697" s="65" t="s">
        <v>3399</v>
      </c>
      <c r="C2697" s="65" t="s">
        <v>743</v>
      </c>
    </row>
    <row r="2698" spans="1:3" hidden="1">
      <c r="A2698" s="65">
        <v>9004364</v>
      </c>
      <c r="B2698" s="65" t="s">
        <v>3400</v>
      </c>
      <c r="C2698" s="65" t="s">
        <v>1101</v>
      </c>
    </row>
    <row r="2699" spans="1:3" hidden="1">
      <c r="A2699" s="65">
        <v>9004365</v>
      </c>
      <c r="B2699" s="65" t="s">
        <v>3401</v>
      </c>
      <c r="C2699" s="65" t="s">
        <v>942</v>
      </c>
    </row>
    <row r="2700" spans="1:3" hidden="1">
      <c r="A2700" s="65">
        <v>9004366</v>
      </c>
      <c r="B2700" s="65" t="s">
        <v>3402</v>
      </c>
      <c r="C2700" s="65" t="s">
        <v>942</v>
      </c>
    </row>
    <row r="2701" spans="1:3" hidden="1">
      <c r="A2701" s="65">
        <v>9004367</v>
      </c>
      <c r="B2701" s="65" t="s">
        <v>3403</v>
      </c>
      <c r="C2701" s="65" t="s">
        <v>942</v>
      </c>
    </row>
    <row r="2702" spans="1:3" hidden="1">
      <c r="A2702" s="65">
        <v>9004368</v>
      </c>
      <c r="B2702" s="65" t="s">
        <v>3404</v>
      </c>
      <c r="C2702" s="65" t="s">
        <v>942</v>
      </c>
    </row>
    <row r="2703" spans="1:3" hidden="1">
      <c r="A2703" s="65">
        <v>9004369</v>
      </c>
      <c r="B2703" s="65" t="s">
        <v>3405</v>
      </c>
      <c r="C2703" s="65" t="s">
        <v>942</v>
      </c>
    </row>
    <row r="2704" spans="1:3" hidden="1">
      <c r="A2704" s="65">
        <v>9004370</v>
      </c>
      <c r="B2704" s="65" t="s">
        <v>3406</v>
      </c>
      <c r="C2704" s="65" t="s">
        <v>3170</v>
      </c>
    </row>
    <row r="2705" spans="1:3" hidden="1">
      <c r="A2705" s="65">
        <v>9004371</v>
      </c>
      <c r="B2705" s="65" t="s">
        <v>3407</v>
      </c>
      <c r="C2705" s="65" t="s">
        <v>942</v>
      </c>
    </row>
    <row r="2706" spans="1:3" hidden="1">
      <c r="A2706" s="65">
        <v>9004372</v>
      </c>
      <c r="B2706" s="65" t="s">
        <v>3408</v>
      </c>
      <c r="C2706" s="65" t="s">
        <v>942</v>
      </c>
    </row>
    <row r="2707" spans="1:3" hidden="1">
      <c r="A2707" s="65">
        <v>9004373</v>
      </c>
      <c r="B2707" s="65" t="s">
        <v>3409</v>
      </c>
      <c r="C2707" s="65" t="s">
        <v>942</v>
      </c>
    </row>
    <row r="2708" spans="1:3" hidden="1">
      <c r="A2708" s="65">
        <v>9004374</v>
      </c>
      <c r="B2708" s="65" t="s">
        <v>3410</v>
      </c>
      <c r="C2708" s="65" t="s">
        <v>942</v>
      </c>
    </row>
    <row r="2709" spans="1:3" hidden="1">
      <c r="A2709" s="65">
        <v>9004375</v>
      </c>
      <c r="B2709" s="65" t="s">
        <v>3411</v>
      </c>
      <c r="C2709" s="65" t="s">
        <v>3170</v>
      </c>
    </row>
    <row r="2710" spans="1:3" hidden="1">
      <c r="A2710" s="65">
        <v>9004376</v>
      </c>
      <c r="B2710" s="65" t="s">
        <v>3412</v>
      </c>
      <c r="C2710" s="65" t="s">
        <v>942</v>
      </c>
    </row>
    <row r="2711" spans="1:3" hidden="1">
      <c r="A2711" s="65">
        <v>9004377</v>
      </c>
      <c r="B2711" s="65" t="s">
        <v>3413</v>
      </c>
      <c r="C2711" s="65" t="s">
        <v>3170</v>
      </c>
    </row>
    <row r="2712" spans="1:3" hidden="1">
      <c r="A2712" s="65">
        <v>9004378</v>
      </c>
      <c r="B2712" s="65" t="s">
        <v>3414</v>
      </c>
      <c r="C2712" s="65" t="s">
        <v>942</v>
      </c>
    </row>
    <row r="2713" spans="1:3" hidden="1">
      <c r="A2713" s="65">
        <v>9004379</v>
      </c>
      <c r="B2713" s="65" t="s">
        <v>3415</v>
      </c>
      <c r="C2713" s="65" t="s">
        <v>942</v>
      </c>
    </row>
    <row r="2714" spans="1:3" hidden="1">
      <c r="A2714" s="65">
        <v>9004380</v>
      </c>
      <c r="B2714" s="65" t="s">
        <v>3416</v>
      </c>
      <c r="C2714" s="65" t="s">
        <v>805</v>
      </c>
    </row>
    <row r="2715" spans="1:3" hidden="1">
      <c r="A2715" s="65">
        <v>9004381</v>
      </c>
      <c r="B2715" s="65" t="s">
        <v>3417</v>
      </c>
      <c r="C2715" s="65" t="s">
        <v>805</v>
      </c>
    </row>
    <row r="2716" spans="1:3" hidden="1">
      <c r="A2716" s="65">
        <v>9004382</v>
      </c>
      <c r="B2716" s="65" t="s">
        <v>3418</v>
      </c>
      <c r="C2716" s="65" t="s">
        <v>1181</v>
      </c>
    </row>
    <row r="2717" spans="1:3" hidden="1">
      <c r="A2717" s="65">
        <v>9004383</v>
      </c>
      <c r="B2717" s="65" t="s">
        <v>3419</v>
      </c>
      <c r="C2717" s="65" t="s">
        <v>805</v>
      </c>
    </row>
    <row r="2718" spans="1:3" hidden="1">
      <c r="A2718" s="65">
        <v>9004384</v>
      </c>
      <c r="B2718" s="65" t="s">
        <v>3420</v>
      </c>
      <c r="C2718" s="65" t="s">
        <v>805</v>
      </c>
    </row>
    <row r="2719" spans="1:3" hidden="1">
      <c r="A2719" s="65">
        <v>9004385</v>
      </c>
      <c r="B2719" s="65" t="s">
        <v>3421</v>
      </c>
      <c r="C2719" s="65" t="s">
        <v>805</v>
      </c>
    </row>
    <row r="2720" spans="1:3" hidden="1">
      <c r="A2720" s="65">
        <v>9004386</v>
      </c>
      <c r="B2720" s="65" t="s">
        <v>3422</v>
      </c>
      <c r="C2720" s="65" t="s">
        <v>738</v>
      </c>
    </row>
    <row r="2721" spans="1:3" hidden="1">
      <c r="A2721" s="65">
        <v>9004387</v>
      </c>
      <c r="B2721" s="65" t="s">
        <v>3423</v>
      </c>
      <c r="C2721" s="65" t="s">
        <v>738</v>
      </c>
    </row>
    <row r="2722" spans="1:3" hidden="1">
      <c r="A2722" s="65">
        <v>9004388</v>
      </c>
      <c r="B2722" s="65" t="s">
        <v>3424</v>
      </c>
      <c r="C2722" s="65" t="s">
        <v>793</v>
      </c>
    </row>
    <row r="2723" spans="1:3" hidden="1">
      <c r="A2723" s="65">
        <v>9004389</v>
      </c>
      <c r="B2723" s="65" t="s">
        <v>3425</v>
      </c>
      <c r="C2723" s="65" t="s">
        <v>793</v>
      </c>
    </row>
    <row r="2724" spans="1:3" hidden="1">
      <c r="A2724" s="65">
        <v>9004390</v>
      </c>
      <c r="B2724" s="65" t="s">
        <v>3426</v>
      </c>
      <c r="C2724" s="65" t="s">
        <v>793</v>
      </c>
    </row>
    <row r="2725" spans="1:3" hidden="1">
      <c r="A2725" s="65">
        <v>9004391</v>
      </c>
      <c r="B2725" s="65" t="s">
        <v>3427</v>
      </c>
      <c r="C2725" s="65" t="s">
        <v>793</v>
      </c>
    </row>
    <row r="2726" spans="1:3" hidden="1">
      <c r="A2726" s="65">
        <v>9004392</v>
      </c>
      <c r="B2726" s="65" t="s">
        <v>3428</v>
      </c>
      <c r="C2726" s="65" t="s">
        <v>793</v>
      </c>
    </row>
    <row r="2727" spans="1:3" hidden="1">
      <c r="A2727" s="65">
        <v>9004393</v>
      </c>
      <c r="B2727" s="65" t="s">
        <v>3429</v>
      </c>
      <c r="C2727" s="65" t="s">
        <v>793</v>
      </c>
    </row>
    <row r="2728" spans="1:3" hidden="1">
      <c r="A2728" s="65">
        <v>9004394</v>
      </c>
      <c r="B2728" s="65" t="s">
        <v>3430</v>
      </c>
      <c r="C2728" s="65" t="s">
        <v>793</v>
      </c>
    </row>
    <row r="2729" spans="1:3" hidden="1">
      <c r="A2729" s="65">
        <v>9004395</v>
      </c>
      <c r="B2729" s="65" t="s">
        <v>3431</v>
      </c>
      <c r="C2729" s="65" t="s">
        <v>793</v>
      </c>
    </row>
    <row r="2730" spans="1:3" hidden="1">
      <c r="A2730" s="65">
        <v>9004396</v>
      </c>
      <c r="B2730" s="65" t="s">
        <v>3432</v>
      </c>
      <c r="C2730" s="65" t="s">
        <v>793</v>
      </c>
    </row>
    <row r="2731" spans="1:3" hidden="1">
      <c r="A2731" s="65">
        <v>9004397</v>
      </c>
      <c r="B2731" s="65" t="s">
        <v>3433</v>
      </c>
      <c r="C2731" s="65" t="s">
        <v>942</v>
      </c>
    </row>
    <row r="2732" spans="1:3" hidden="1">
      <c r="A2732" s="65">
        <v>9004398</v>
      </c>
      <c r="B2732" s="65" t="s">
        <v>3434</v>
      </c>
      <c r="C2732" s="65" t="s">
        <v>942</v>
      </c>
    </row>
    <row r="2733" spans="1:3" hidden="1">
      <c r="A2733" s="65">
        <v>9004399</v>
      </c>
      <c r="B2733" s="65" t="s">
        <v>3435</v>
      </c>
      <c r="C2733" s="65" t="s">
        <v>942</v>
      </c>
    </row>
    <row r="2734" spans="1:3" hidden="1">
      <c r="A2734" s="65">
        <v>9004400</v>
      </c>
      <c r="B2734" s="65" t="s">
        <v>3436</v>
      </c>
      <c r="C2734" s="65" t="s">
        <v>942</v>
      </c>
    </row>
    <row r="2735" spans="1:3" hidden="1">
      <c r="A2735" s="65">
        <v>9004401</v>
      </c>
      <c r="B2735" s="65" t="s">
        <v>3437</v>
      </c>
      <c r="C2735" s="65" t="s">
        <v>942</v>
      </c>
    </row>
    <row r="2736" spans="1:3" hidden="1">
      <c r="A2736" s="65">
        <v>9004402</v>
      </c>
      <c r="B2736" s="65" t="s">
        <v>3438</v>
      </c>
      <c r="C2736" s="65" t="s">
        <v>942</v>
      </c>
    </row>
    <row r="2737" spans="1:3" hidden="1">
      <c r="A2737" s="65">
        <v>9004403</v>
      </c>
      <c r="B2737" s="65" t="s">
        <v>3439</v>
      </c>
      <c r="C2737" s="65" t="s">
        <v>942</v>
      </c>
    </row>
    <row r="2738" spans="1:3" hidden="1">
      <c r="A2738" s="65">
        <v>9004404</v>
      </c>
      <c r="B2738" s="65" t="s">
        <v>3439</v>
      </c>
      <c r="C2738" s="65" t="s">
        <v>942</v>
      </c>
    </row>
    <row r="2739" spans="1:3" hidden="1">
      <c r="A2739" s="65">
        <v>9004405</v>
      </c>
      <c r="B2739" s="65" t="s">
        <v>3440</v>
      </c>
      <c r="C2739" s="65" t="s">
        <v>807</v>
      </c>
    </row>
    <row r="2740" spans="1:3" hidden="1">
      <c r="A2740" s="65">
        <v>9004406</v>
      </c>
      <c r="B2740" s="65" t="s">
        <v>3441</v>
      </c>
      <c r="C2740" s="65" t="s">
        <v>942</v>
      </c>
    </row>
    <row r="2741" spans="1:3" hidden="1">
      <c r="A2741" s="65">
        <v>9004407</v>
      </c>
      <c r="B2741" s="65" t="s">
        <v>3442</v>
      </c>
      <c r="C2741" s="65" t="s">
        <v>942</v>
      </c>
    </row>
    <row r="2742" spans="1:3" hidden="1">
      <c r="A2742" s="65">
        <v>9004408</v>
      </c>
      <c r="B2742" s="65" t="s">
        <v>3443</v>
      </c>
      <c r="C2742" s="65" t="s">
        <v>1181</v>
      </c>
    </row>
    <row r="2743" spans="1:3" hidden="1">
      <c r="A2743" s="65">
        <v>9004409</v>
      </c>
      <c r="B2743" s="65" t="s">
        <v>3444</v>
      </c>
      <c r="C2743" s="65" t="s">
        <v>942</v>
      </c>
    </row>
    <row r="2744" spans="1:3" hidden="1">
      <c r="A2744" s="65">
        <v>9004410</v>
      </c>
      <c r="B2744" s="65" t="s">
        <v>3445</v>
      </c>
      <c r="C2744" s="65" t="s">
        <v>942</v>
      </c>
    </row>
    <row r="2745" spans="1:3" hidden="1">
      <c r="A2745" s="65">
        <v>9004411</v>
      </c>
      <c r="B2745" s="65" t="s">
        <v>3446</v>
      </c>
      <c r="C2745" s="65" t="s">
        <v>942</v>
      </c>
    </row>
    <row r="2746" spans="1:3" hidden="1">
      <c r="A2746" s="65">
        <v>9004412</v>
      </c>
      <c r="B2746" s="65" t="s">
        <v>3447</v>
      </c>
      <c r="C2746" s="65" t="s">
        <v>942</v>
      </c>
    </row>
    <row r="2747" spans="1:3" hidden="1">
      <c r="A2747" s="65">
        <v>9004413</v>
      </c>
      <c r="B2747" s="65" t="s">
        <v>3448</v>
      </c>
      <c r="C2747" s="65" t="s">
        <v>3170</v>
      </c>
    </row>
    <row r="2748" spans="1:3" hidden="1">
      <c r="A2748" s="65">
        <v>9004414</v>
      </c>
      <c r="B2748" s="65" t="s">
        <v>3449</v>
      </c>
      <c r="C2748" s="65" t="s">
        <v>3170</v>
      </c>
    </row>
    <row r="2749" spans="1:3" hidden="1">
      <c r="A2749" s="65">
        <v>9004415</v>
      </c>
      <c r="B2749" s="65" t="s">
        <v>3450</v>
      </c>
      <c r="C2749" s="65" t="s">
        <v>3170</v>
      </c>
    </row>
    <row r="2750" spans="1:3" hidden="1">
      <c r="A2750" s="65">
        <v>9004416</v>
      </c>
      <c r="B2750" s="65" t="s">
        <v>3451</v>
      </c>
      <c r="C2750" s="65" t="s">
        <v>942</v>
      </c>
    </row>
    <row r="2751" spans="1:3" hidden="1">
      <c r="A2751" s="65">
        <v>9004417</v>
      </c>
      <c r="B2751" s="65" t="s">
        <v>3452</v>
      </c>
      <c r="C2751" s="65" t="s">
        <v>3170</v>
      </c>
    </row>
    <row r="2752" spans="1:3" hidden="1">
      <c r="A2752" s="65">
        <v>9004418</v>
      </c>
      <c r="B2752" s="65" t="s">
        <v>3453</v>
      </c>
      <c r="C2752" s="65" t="s">
        <v>942</v>
      </c>
    </row>
    <row r="2753" spans="1:3" hidden="1">
      <c r="A2753" s="65">
        <v>9004419</v>
      </c>
      <c r="B2753" s="65" t="s">
        <v>3454</v>
      </c>
      <c r="C2753" s="65" t="s">
        <v>942</v>
      </c>
    </row>
    <row r="2754" spans="1:3" hidden="1">
      <c r="A2754" s="65">
        <v>9004420</v>
      </c>
      <c r="B2754" s="65" t="s">
        <v>3455</v>
      </c>
      <c r="C2754" s="65" t="s">
        <v>942</v>
      </c>
    </row>
    <row r="2755" spans="1:3" hidden="1">
      <c r="A2755" s="65">
        <v>9004421</v>
      </c>
      <c r="B2755" s="65" t="s">
        <v>3456</v>
      </c>
      <c r="C2755" s="65" t="s">
        <v>942</v>
      </c>
    </row>
    <row r="2756" spans="1:3" hidden="1">
      <c r="A2756" s="65">
        <v>9004422</v>
      </c>
      <c r="B2756" s="65" t="s">
        <v>3457</v>
      </c>
      <c r="C2756" s="65" t="s">
        <v>942</v>
      </c>
    </row>
    <row r="2757" spans="1:3" hidden="1">
      <c r="A2757" s="65">
        <v>9004423</v>
      </c>
      <c r="B2757" s="65" t="s">
        <v>3458</v>
      </c>
      <c r="C2757" s="65" t="s">
        <v>942</v>
      </c>
    </row>
    <row r="2758" spans="1:3" hidden="1">
      <c r="A2758" s="65">
        <v>9004424</v>
      </c>
      <c r="B2758" s="65" t="s">
        <v>3459</v>
      </c>
      <c r="C2758" s="65" t="s">
        <v>942</v>
      </c>
    </row>
    <row r="2759" spans="1:3" hidden="1">
      <c r="A2759" s="65">
        <v>9004425</v>
      </c>
      <c r="B2759" s="65" t="s">
        <v>3460</v>
      </c>
      <c r="C2759" s="65" t="s">
        <v>942</v>
      </c>
    </row>
    <row r="2760" spans="1:3" hidden="1">
      <c r="A2760" s="65">
        <v>9004426</v>
      </c>
      <c r="B2760" s="65" t="s">
        <v>3461</v>
      </c>
      <c r="C2760" s="65" t="s">
        <v>942</v>
      </c>
    </row>
    <row r="2761" spans="1:3" hidden="1">
      <c r="A2761" s="65">
        <v>9004427</v>
      </c>
      <c r="B2761" s="65" t="s">
        <v>3462</v>
      </c>
      <c r="C2761" s="65" t="s">
        <v>942</v>
      </c>
    </row>
    <row r="2762" spans="1:3" hidden="1">
      <c r="A2762" s="65">
        <v>9004428</v>
      </c>
      <c r="B2762" s="65" t="s">
        <v>3463</v>
      </c>
      <c r="C2762" s="65" t="s">
        <v>942</v>
      </c>
    </row>
    <row r="2763" spans="1:3" hidden="1">
      <c r="A2763" s="65">
        <v>9004429</v>
      </c>
      <c r="B2763" s="65" t="s">
        <v>3464</v>
      </c>
      <c r="C2763" s="65" t="s">
        <v>942</v>
      </c>
    </row>
    <row r="2764" spans="1:3" hidden="1">
      <c r="A2764" s="65">
        <v>9004430</v>
      </c>
      <c r="B2764" s="65" t="s">
        <v>3465</v>
      </c>
      <c r="C2764" s="65" t="s">
        <v>942</v>
      </c>
    </row>
    <row r="2765" spans="1:3" hidden="1">
      <c r="A2765" s="65">
        <v>9004431</v>
      </c>
      <c r="B2765" s="65" t="s">
        <v>3466</v>
      </c>
      <c r="C2765" s="65" t="s">
        <v>942</v>
      </c>
    </row>
    <row r="2766" spans="1:3" hidden="1">
      <c r="A2766" s="65">
        <v>9004432</v>
      </c>
      <c r="B2766" s="65" t="s">
        <v>3467</v>
      </c>
      <c r="C2766" s="65" t="s">
        <v>942</v>
      </c>
    </row>
    <row r="2767" spans="1:3" hidden="1">
      <c r="A2767" s="65">
        <v>9004433</v>
      </c>
      <c r="B2767" s="65" t="s">
        <v>3468</v>
      </c>
      <c r="C2767" s="65" t="s">
        <v>942</v>
      </c>
    </row>
    <row r="2768" spans="1:3" hidden="1">
      <c r="A2768" s="65">
        <v>9004434</v>
      </c>
      <c r="B2768" s="65" t="s">
        <v>3469</v>
      </c>
      <c r="C2768" s="65" t="s">
        <v>942</v>
      </c>
    </row>
    <row r="2769" spans="1:3" hidden="1">
      <c r="A2769" s="65">
        <v>9004435</v>
      </c>
      <c r="B2769" s="65" t="s">
        <v>3470</v>
      </c>
      <c r="C2769" s="65" t="s">
        <v>942</v>
      </c>
    </row>
    <row r="2770" spans="1:3" hidden="1">
      <c r="A2770" s="65">
        <v>9004436</v>
      </c>
      <c r="B2770" s="65" t="s">
        <v>3471</v>
      </c>
      <c r="C2770" s="65" t="s">
        <v>942</v>
      </c>
    </row>
    <row r="2771" spans="1:3" hidden="1">
      <c r="A2771" s="65">
        <v>9004437</v>
      </c>
      <c r="B2771" s="65" t="s">
        <v>3472</v>
      </c>
      <c r="C2771" s="65" t="s">
        <v>942</v>
      </c>
    </row>
    <row r="2772" spans="1:3" hidden="1">
      <c r="A2772" s="65">
        <v>9004439</v>
      </c>
      <c r="B2772" s="65" t="s">
        <v>3473</v>
      </c>
      <c r="C2772" s="65" t="s">
        <v>942</v>
      </c>
    </row>
    <row r="2773" spans="1:3" hidden="1">
      <c r="A2773" s="65">
        <v>9004440</v>
      </c>
      <c r="B2773" s="65" t="s">
        <v>3474</v>
      </c>
      <c r="C2773" s="65" t="s">
        <v>942</v>
      </c>
    </row>
    <row r="2774" spans="1:3" hidden="1">
      <c r="A2774" s="65">
        <v>9004441</v>
      </c>
      <c r="B2774" s="65" t="s">
        <v>3475</v>
      </c>
      <c r="C2774" s="65" t="s">
        <v>942</v>
      </c>
    </row>
    <row r="2775" spans="1:3" hidden="1">
      <c r="A2775" s="65">
        <v>9004442</v>
      </c>
      <c r="B2775" s="65" t="s">
        <v>3476</v>
      </c>
      <c r="C2775" s="65" t="s">
        <v>942</v>
      </c>
    </row>
    <row r="2776" spans="1:3" hidden="1">
      <c r="A2776" s="65">
        <v>9004443</v>
      </c>
      <c r="B2776" s="65" t="s">
        <v>3477</v>
      </c>
      <c r="C2776" s="65" t="s">
        <v>942</v>
      </c>
    </row>
    <row r="2777" spans="1:3" hidden="1">
      <c r="A2777" s="65">
        <v>9004444</v>
      </c>
      <c r="B2777" s="65" t="s">
        <v>3478</v>
      </c>
      <c r="C2777" s="65" t="s">
        <v>942</v>
      </c>
    </row>
    <row r="2778" spans="1:3" hidden="1">
      <c r="A2778" s="65">
        <v>9004445</v>
      </c>
      <c r="B2778" s="65" t="s">
        <v>3479</v>
      </c>
      <c r="C2778" s="65" t="s">
        <v>942</v>
      </c>
    </row>
    <row r="2779" spans="1:3" hidden="1">
      <c r="A2779" s="65">
        <v>9004446</v>
      </c>
      <c r="B2779" s="65" t="s">
        <v>3480</v>
      </c>
      <c r="C2779" s="65" t="s">
        <v>942</v>
      </c>
    </row>
    <row r="2780" spans="1:3" hidden="1">
      <c r="A2780" s="65">
        <v>9004447</v>
      </c>
      <c r="B2780" s="65" t="s">
        <v>3481</v>
      </c>
      <c r="C2780" s="65" t="s">
        <v>942</v>
      </c>
    </row>
    <row r="2781" spans="1:3" hidden="1">
      <c r="A2781" s="65">
        <v>9004448</v>
      </c>
      <c r="B2781" s="65" t="s">
        <v>3482</v>
      </c>
      <c r="C2781" s="65" t="s">
        <v>942</v>
      </c>
    </row>
    <row r="2782" spans="1:3" hidden="1">
      <c r="A2782" s="65">
        <v>9004449</v>
      </c>
      <c r="B2782" s="65" t="s">
        <v>3483</v>
      </c>
      <c r="C2782" s="65" t="s">
        <v>942</v>
      </c>
    </row>
    <row r="2783" spans="1:3" hidden="1">
      <c r="A2783" s="65">
        <v>9004450</v>
      </c>
      <c r="B2783" s="65" t="s">
        <v>3484</v>
      </c>
      <c r="C2783" s="65" t="s">
        <v>942</v>
      </c>
    </row>
    <row r="2784" spans="1:3" hidden="1">
      <c r="A2784" s="65">
        <v>9004451</v>
      </c>
      <c r="B2784" s="65" t="s">
        <v>3485</v>
      </c>
      <c r="C2784" s="65" t="s">
        <v>942</v>
      </c>
    </row>
    <row r="2785" spans="1:3" hidden="1">
      <c r="A2785" s="65">
        <v>9004452</v>
      </c>
      <c r="B2785" s="65" t="s">
        <v>3486</v>
      </c>
      <c r="C2785" s="65" t="s">
        <v>942</v>
      </c>
    </row>
    <row r="2786" spans="1:3" hidden="1">
      <c r="A2786" s="65">
        <v>9004453</v>
      </c>
      <c r="B2786" s="65" t="s">
        <v>3487</v>
      </c>
      <c r="C2786" s="65" t="s">
        <v>942</v>
      </c>
    </row>
    <row r="2787" spans="1:3" hidden="1">
      <c r="A2787" s="65">
        <v>9004454</v>
      </c>
      <c r="B2787" s="65" t="s">
        <v>3488</v>
      </c>
      <c r="C2787" s="65" t="s">
        <v>942</v>
      </c>
    </row>
    <row r="2788" spans="1:3" hidden="1">
      <c r="A2788" s="65">
        <v>9004455</v>
      </c>
      <c r="B2788" s="65" t="s">
        <v>3489</v>
      </c>
      <c r="C2788" s="65" t="s">
        <v>942</v>
      </c>
    </row>
    <row r="2789" spans="1:3" hidden="1">
      <c r="A2789" s="65">
        <v>9004456</v>
      </c>
      <c r="B2789" s="65" t="s">
        <v>3490</v>
      </c>
      <c r="C2789" s="65" t="s">
        <v>942</v>
      </c>
    </row>
    <row r="2790" spans="1:3" hidden="1">
      <c r="A2790" s="65">
        <v>9004457</v>
      </c>
      <c r="B2790" s="65" t="s">
        <v>3491</v>
      </c>
      <c r="C2790" s="65" t="s">
        <v>942</v>
      </c>
    </row>
    <row r="2791" spans="1:3" hidden="1">
      <c r="A2791" s="65">
        <v>9004458</v>
      </c>
      <c r="B2791" s="65" t="s">
        <v>3492</v>
      </c>
      <c r="C2791" s="65" t="s">
        <v>942</v>
      </c>
    </row>
    <row r="2792" spans="1:3" hidden="1">
      <c r="A2792" s="65">
        <v>9004459</v>
      </c>
      <c r="B2792" s="65" t="s">
        <v>3493</v>
      </c>
      <c r="C2792" s="65" t="s">
        <v>942</v>
      </c>
    </row>
    <row r="2793" spans="1:3" hidden="1">
      <c r="A2793" s="65">
        <v>9004460</v>
      </c>
      <c r="B2793" s="65" t="s">
        <v>3494</v>
      </c>
      <c r="C2793" s="65" t="s">
        <v>942</v>
      </c>
    </row>
    <row r="2794" spans="1:3" hidden="1">
      <c r="A2794" s="65">
        <v>9004461</v>
      </c>
      <c r="B2794" s="65" t="s">
        <v>3495</v>
      </c>
      <c r="C2794" s="65" t="s">
        <v>942</v>
      </c>
    </row>
    <row r="2795" spans="1:3" hidden="1">
      <c r="A2795" s="65">
        <v>9004462</v>
      </c>
      <c r="B2795" s="65" t="s">
        <v>3496</v>
      </c>
      <c r="C2795" s="65" t="s">
        <v>942</v>
      </c>
    </row>
    <row r="2796" spans="1:3" hidden="1">
      <c r="A2796" s="65">
        <v>9004463</v>
      </c>
      <c r="B2796" s="65" t="s">
        <v>3497</v>
      </c>
      <c r="C2796" s="65" t="s">
        <v>942</v>
      </c>
    </row>
    <row r="2797" spans="1:3" hidden="1">
      <c r="A2797" s="65">
        <v>9004464</v>
      </c>
      <c r="B2797" s="65" t="s">
        <v>3498</v>
      </c>
      <c r="C2797" s="65" t="s">
        <v>942</v>
      </c>
    </row>
    <row r="2798" spans="1:3" hidden="1">
      <c r="A2798" s="65">
        <v>9004465</v>
      </c>
      <c r="B2798" s="65" t="s">
        <v>3499</v>
      </c>
      <c r="C2798" s="65" t="s">
        <v>942</v>
      </c>
    </row>
    <row r="2799" spans="1:3" hidden="1">
      <c r="A2799" s="65">
        <v>9004466</v>
      </c>
      <c r="B2799" s="65" t="s">
        <v>3499</v>
      </c>
      <c r="C2799" s="65" t="s">
        <v>942</v>
      </c>
    </row>
    <row r="2800" spans="1:3" hidden="1">
      <c r="A2800" s="65">
        <v>9004467</v>
      </c>
      <c r="B2800" s="65" t="s">
        <v>3500</v>
      </c>
      <c r="C2800" s="65" t="s">
        <v>942</v>
      </c>
    </row>
    <row r="2801" spans="1:3" hidden="1">
      <c r="A2801" s="65">
        <v>9004468</v>
      </c>
      <c r="B2801" s="65" t="s">
        <v>3501</v>
      </c>
      <c r="C2801" s="65" t="s">
        <v>942</v>
      </c>
    </row>
    <row r="2802" spans="1:3" hidden="1">
      <c r="A2802" s="65">
        <v>9004469</v>
      </c>
      <c r="B2802" s="65" t="s">
        <v>3502</v>
      </c>
      <c r="C2802" s="65" t="s">
        <v>942</v>
      </c>
    </row>
    <row r="2803" spans="1:3" hidden="1">
      <c r="A2803" s="65">
        <v>9004470</v>
      </c>
      <c r="B2803" s="65" t="s">
        <v>3503</v>
      </c>
      <c r="C2803" s="65" t="s">
        <v>942</v>
      </c>
    </row>
    <row r="2804" spans="1:3" hidden="1">
      <c r="A2804" s="65">
        <v>9004471</v>
      </c>
      <c r="B2804" s="65" t="s">
        <v>3504</v>
      </c>
      <c r="C2804" s="65" t="s">
        <v>942</v>
      </c>
    </row>
    <row r="2805" spans="1:3" hidden="1">
      <c r="A2805" s="65">
        <v>9004472</v>
      </c>
      <c r="B2805" s="65" t="s">
        <v>3505</v>
      </c>
      <c r="C2805" s="65" t="s">
        <v>942</v>
      </c>
    </row>
    <row r="2806" spans="1:3" hidden="1">
      <c r="A2806" s="65">
        <v>9004473</v>
      </c>
      <c r="B2806" s="65" t="s">
        <v>3506</v>
      </c>
      <c r="C2806" s="65" t="s">
        <v>942</v>
      </c>
    </row>
    <row r="2807" spans="1:3" hidden="1">
      <c r="A2807" s="65">
        <v>9004474</v>
      </c>
      <c r="B2807" s="65" t="s">
        <v>3507</v>
      </c>
      <c r="C2807" s="65" t="s">
        <v>942</v>
      </c>
    </row>
    <row r="2808" spans="1:3" hidden="1">
      <c r="A2808" s="65">
        <v>9004475</v>
      </c>
      <c r="B2808" s="65" t="s">
        <v>3508</v>
      </c>
      <c r="C2808" s="65" t="s">
        <v>942</v>
      </c>
    </row>
    <row r="2809" spans="1:3" hidden="1">
      <c r="A2809" s="65">
        <v>9004476</v>
      </c>
      <c r="B2809" s="65" t="s">
        <v>3509</v>
      </c>
      <c r="C2809" s="65" t="s">
        <v>942</v>
      </c>
    </row>
    <row r="2810" spans="1:3" hidden="1">
      <c r="A2810" s="65">
        <v>9004477</v>
      </c>
      <c r="B2810" s="65" t="s">
        <v>3510</v>
      </c>
      <c r="C2810" s="65" t="s">
        <v>942</v>
      </c>
    </row>
    <row r="2811" spans="1:3" hidden="1">
      <c r="A2811" s="65">
        <v>9004478</v>
      </c>
      <c r="B2811" s="65" t="s">
        <v>3511</v>
      </c>
      <c r="C2811" s="65" t="s">
        <v>942</v>
      </c>
    </row>
    <row r="2812" spans="1:3" hidden="1">
      <c r="A2812" s="65">
        <v>9004479</v>
      </c>
      <c r="B2812" s="65" t="s">
        <v>3512</v>
      </c>
      <c r="C2812" s="65" t="s">
        <v>942</v>
      </c>
    </row>
    <row r="2813" spans="1:3" hidden="1">
      <c r="A2813" s="65">
        <v>9004480</v>
      </c>
      <c r="B2813" s="65" t="s">
        <v>3513</v>
      </c>
      <c r="C2813" s="65" t="s">
        <v>942</v>
      </c>
    </row>
    <row r="2814" spans="1:3" hidden="1">
      <c r="A2814" s="65">
        <v>9004481</v>
      </c>
      <c r="B2814" s="65" t="s">
        <v>3514</v>
      </c>
      <c r="C2814" s="65" t="s">
        <v>942</v>
      </c>
    </row>
    <row r="2815" spans="1:3" hidden="1">
      <c r="A2815" s="65">
        <v>9004482</v>
      </c>
      <c r="B2815" s="65" t="s">
        <v>3515</v>
      </c>
      <c r="C2815" s="65" t="s">
        <v>942</v>
      </c>
    </row>
    <row r="2816" spans="1:3" hidden="1">
      <c r="A2816" s="65">
        <v>9004483</v>
      </c>
      <c r="B2816" s="65" t="s">
        <v>3516</v>
      </c>
      <c r="C2816" s="65" t="s">
        <v>942</v>
      </c>
    </row>
    <row r="2817" spans="1:3" hidden="1">
      <c r="A2817" s="65">
        <v>9004484</v>
      </c>
      <c r="B2817" s="65" t="s">
        <v>3517</v>
      </c>
      <c r="C2817" s="65" t="s">
        <v>942</v>
      </c>
    </row>
    <row r="2818" spans="1:3" hidden="1">
      <c r="A2818" s="65">
        <v>9004485</v>
      </c>
      <c r="B2818" s="65" t="s">
        <v>3518</v>
      </c>
      <c r="C2818" s="65" t="s">
        <v>942</v>
      </c>
    </row>
    <row r="2819" spans="1:3" hidden="1">
      <c r="A2819" s="65">
        <v>9004486</v>
      </c>
      <c r="B2819" s="65" t="s">
        <v>3519</v>
      </c>
      <c r="C2819" s="65" t="s">
        <v>942</v>
      </c>
    </row>
    <row r="2820" spans="1:3" hidden="1">
      <c r="A2820" s="65">
        <v>9004487</v>
      </c>
      <c r="B2820" s="65" t="s">
        <v>3520</v>
      </c>
      <c r="C2820" s="65" t="s">
        <v>805</v>
      </c>
    </row>
    <row r="2821" spans="1:3" hidden="1">
      <c r="A2821" s="65">
        <v>9004488</v>
      </c>
      <c r="B2821" s="65" t="s">
        <v>3521</v>
      </c>
      <c r="C2821" s="65" t="s">
        <v>942</v>
      </c>
    </row>
    <row r="2822" spans="1:3" hidden="1">
      <c r="A2822" s="65">
        <v>9004489</v>
      </c>
      <c r="B2822" s="65" t="s">
        <v>3522</v>
      </c>
      <c r="C2822" s="65" t="s">
        <v>942</v>
      </c>
    </row>
    <row r="2823" spans="1:3" hidden="1">
      <c r="A2823" s="65">
        <v>9004490</v>
      </c>
      <c r="B2823" s="65" t="s">
        <v>3523</v>
      </c>
      <c r="C2823" s="65" t="s">
        <v>942</v>
      </c>
    </row>
    <row r="2824" spans="1:3" hidden="1">
      <c r="A2824" s="65">
        <v>9004491</v>
      </c>
      <c r="B2824" s="65" t="s">
        <v>3524</v>
      </c>
      <c r="C2824" s="65" t="s">
        <v>942</v>
      </c>
    </row>
    <row r="2825" spans="1:3" hidden="1">
      <c r="A2825" s="65">
        <v>9004492</v>
      </c>
      <c r="B2825" s="65" t="s">
        <v>3525</v>
      </c>
      <c r="C2825" s="65" t="s">
        <v>942</v>
      </c>
    </row>
    <row r="2826" spans="1:3" hidden="1">
      <c r="A2826" s="65">
        <v>9004493</v>
      </c>
      <c r="B2826" s="65" t="s">
        <v>3526</v>
      </c>
      <c r="C2826" s="65" t="s">
        <v>942</v>
      </c>
    </row>
    <row r="2827" spans="1:3" hidden="1">
      <c r="A2827" s="65">
        <v>9004494</v>
      </c>
      <c r="B2827" s="65" t="s">
        <v>3527</v>
      </c>
      <c r="C2827" s="65" t="s">
        <v>942</v>
      </c>
    </row>
    <row r="2828" spans="1:3" hidden="1">
      <c r="A2828" s="65">
        <v>9004495</v>
      </c>
      <c r="B2828" s="65" t="s">
        <v>3528</v>
      </c>
      <c r="C2828" s="65" t="s">
        <v>942</v>
      </c>
    </row>
    <row r="2829" spans="1:3" hidden="1">
      <c r="A2829" s="65">
        <v>9004496</v>
      </c>
      <c r="B2829" s="65" t="s">
        <v>3529</v>
      </c>
      <c r="C2829" s="65" t="s">
        <v>942</v>
      </c>
    </row>
    <row r="2830" spans="1:3" hidden="1">
      <c r="A2830" s="65">
        <v>9004497</v>
      </c>
      <c r="B2830" s="65" t="s">
        <v>3500</v>
      </c>
      <c r="C2830" s="65" t="s">
        <v>942</v>
      </c>
    </row>
    <row r="2831" spans="1:3" hidden="1">
      <c r="A2831" s="65">
        <v>9004498</v>
      </c>
      <c r="B2831" s="65" t="s">
        <v>3530</v>
      </c>
      <c r="C2831" s="65" t="s">
        <v>942</v>
      </c>
    </row>
    <row r="2832" spans="1:3" hidden="1">
      <c r="A2832" s="65">
        <v>9004499</v>
      </c>
      <c r="B2832" s="65" t="s">
        <v>3531</v>
      </c>
      <c r="C2832" s="65" t="s">
        <v>942</v>
      </c>
    </row>
    <row r="2833" spans="1:3" hidden="1">
      <c r="A2833" s="65">
        <v>9004500</v>
      </c>
      <c r="B2833" s="65" t="s">
        <v>3532</v>
      </c>
      <c r="C2833" s="65" t="s">
        <v>942</v>
      </c>
    </row>
    <row r="2834" spans="1:3" hidden="1">
      <c r="A2834" s="65">
        <v>9004501</v>
      </c>
      <c r="B2834" s="65" t="s">
        <v>3533</v>
      </c>
      <c r="C2834" s="65" t="s">
        <v>942</v>
      </c>
    </row>
    <row r="2835" spans="1:3" hidden="1">
      <c r="A2835" s="65">
        <v>9004502</v>
      </c>
      <c r="B2835" s="65" t="s">
        <v>3534</v>
      </c>
      <c r="C2835" s="65" t="s">
        <v>942</v>
      </c>
    </row>
    <row r="2836" spans="1:3" hidden="1">
      <c r="A2836" s="65">
        <v>9004503</v>
      </c>
      <c r="B2836" s="65" t="s">
        <v>3535</v>
      </c>
      <c r="C2836" s="65" t="s">
        <v>942</v>
      </c>
    </row>
    <row r="2837" spans="1:3" hidden="1">
      <c r="A2837" s="65">
        <v>9004504</v>
      </c>
      <c r="B2837" s="65" t="s">
        <v>3536</v>
      </c>
      <c r="C2837" s="65" t="s">
        <v>942</v>
      </c>
    </row>
    <row r="2838" spans="1:3" hidden="1">
      <c r="A2838" s="65">
        <v>9004505</v>
      </c>
      <c r="B2838" s="65" t="s">
        <v>3537</v>
      </c>
      <c r="C2838" s="65" t="s">
        <v>942</v>
      </c>
    </row>
    <row r="2839" spans="1:3" hidden="1">
      <c r="A2839" s="65">
        <v>9004506</v>
      </c>
      <c r="B2839" s="65" t="s">
        <v>3538</v>
      </c>
      <c r="C2839" s="65" t="s">
        <v>942</v>
      </c>
    </row>
    <row r="2840" spans="1:3" hidden="1">
      <c r="A2840" s="65">
        <v>9004507</v>
      </c>
      <c r="B2840" s="65" t="s">
        <v>3539</v>
      </c>
      <c r="C2840" s="65" t="s">
        <v>942</v>
      </c>
    </row>
    <row r="2841" spans="1:3" hidden="1">
      <c r="A2841" s="65">
        <v>9004508</v>
      </c>
      <c r="B2841" s="65" t="s">
        <v>3540</v>
      </c>
      <c r="C2841" s="65" t="s">
        <v>942</v>
      </c>
    </row>
    <row r="2842" spans="1:3" hidden="1">
      <c r="A2842" s="65">
        <v>9004509</v>
      </c>
      <c r="B2842" s="65" t="s">
        <v>3541</v>
      </c>
      <c r="C2842" s="65" t="s">
        <v>942</v>
      </c>
    </row>
    <row r="2843" spans="1:3" hidden="1">
      <c r="A2843" s="65">
        <v>9004510</v>
      </c>
      <c r="B2843" s="65" t="s">
        <v>3542</v>
      </c>
      <c r="C2843" s="65" t="s">
        <v>942</v>
      </c>
    </row>
    <row r="2844" spans="1:3" hidden="1">
      <c r="A2844" s="65">
        <v>9004511</v>
      </c>
      <c r="B2844" s="65" t="s">
        <v>3543</v>
      </c>
      <c r="C2844" s="65" t="s">
        <v>942</v>
      </c>
    </row>
    <row r="2845" spans="1:3" hidden="1">
      <c r="A2845" s="65">
        <v>9004512</v>
      </c>
      <c r="B2845" s="65" t="s">
        <v>3544</v>
      </c>
      <c r="C2845" s="65" t="s">
        <v>942</v>
      </c>
    </row>
    <row r="2846" spans="1:3" hidden="1">
      <c r="A2846" s="65">
        <v>9004513</v>
      </c>
      <c r="B2846" s="65" t="s">
        <v>3545</v>
      </c>
      <c r="C2846" s="65" t="s">
        <v>942</v>
      </c>
    </row>
    <row r="2847" spans="1:3" hidden="1">
      <c r="A2847" s="65">
        <v>9004514</v>
      </c>
      <c r="B2847" s="65" t="s">
        <v>3546</v>
      </c>
      <c r="C2847" s="65" t="s">
        <v>942</v>
      </c>
    </row>
    <row r="2848" spans="1:3" hidden="1">
      <c r="A2848" s="65">
        <v>9004515</v>
      </c>
      <c r="B2848" s="65" t="s">
        <v>3547</v>
      </c>
      <c r="C2848" s="65" t="s">
        <v>942</v>
      </c>
    </row>
    <row r="2849" spans="1:3" hidden="1">
      <c r="A2849" s="65">
        <v>9004516</v>
      </c>
      <c r="B2849" s="65" t="s">
        <v>3548</v>
      </c>
      <c r="C2849" s="65" t="s">
        <v>942</v>
      </c>
    </row>
    <row r="2850" spans="1:3" hidden="1">
      <c r="A2850" s="65">
        <v>9004517</v>
      </c>
      <c r="B2850" s="65" t="s">
        <v>3549</v>
      </c>
      <c r="C2850" s="65" t="s">
        <v>942</v>
      </c>
    </row>
    <row r="2851" spans="1:3" hidden="1">
      <c r="A2851" s="65">
        <v>9004518</v>
      </c>
      <c r="B2851" s="65" t="s">
        <v>3550</v>
      </c>
      <c r="C2851" s="65" t="s">
        <v>942</v>
      </c>
    </row>
    <row r="2852" spans="1:3" hidden="1">
      <c r="A2852" s="65">
        <v>9004519</v>
      </c>
      <c r="B2852" s="65" t="s">
        <v>3551</v>
      </c>
      <c r="C2852" s="65" t="s">
        <v>942</v>
      </c>
    </row>
    <row r="2853" spans="1:3" hidden="1">
      <c r="A2853" s="65">
        <v>9004520</v>
      </c>
      <c r="B2853" s="65" t="s">
        <v>3552</v>
      </c>
      <c r="C2853" s="65" t="s">
        <v>942</v>
      </c>
    </row>
    <row r="2854" spans="1:3" hidden="1">
      <c r="A2854" s="65">
        <v>9004521</v>
      </c>
      <c r="B2854" s="65" t="s">
        <v>3553</v>
      </c>
      <c r="C2854" s="65" t="s">
        <v>942</v>
      </c>
    </row>
    <row r="2855" spans="1:3" hidden="1">
      <c r="A2855" s="65">
        <v>9004522</v>
      </c>
      <c r="B2855" s="65" t="s">
        <v>3554</v>
      </c>
      <c r="C2855" s="65" t="s">
        <v>942</v>
      </c>
    </row>
    <row r="2856" spans="1:3" hidden="1">
      <c r="A2856" s="65">
        <v>9004523</v>
      </c>
      <c r="B2856" s="65" t="s">
        <v>3555</v>
      </c>
      <c r="C2856" s="65" t="s">
        <v>942</v>
      </c>
    </row>
    <row r="2857" spans="1:3" hidden="1">
      <c r="A2857" s="65">
        <v>9004524</v>
      </c>
      <c r="B2857" s="65" t="s">
        <v>3556</v>
      </c>
      <c r="C2857" s="65" t="s">
        <v>942</v>
      </c>
    </row>
    <row r="2858" spans="1:3" hidden="1">
      <c r="A2858" s="65">
        <v>9004525</v>
      </c>
      <c r="B2858" s="65" t="s">
        <v>3557</v>
      </c>
      <c r="C2858" s="65" t="s">
        <v>942</v>
      </c>
    </row>
    <row r="2859" spans="1:3" hidden="1">
      <c r="A2859" s="65">
        <v>9004526</v>
      </c>
      <c r="B2859" s="65" t="s">
        <v>3558</v>
      </c>
      <c r="C2859" s="65" t="s">
        <v>942</v>
      </c>
    </row>
    <row r="2860" spans="1:3" hidden="1">
      <c r="A2860" s="65">
        <v>9004527</v>
      </c>
      <c r="B2860" s="65" t="s">
        <v>3559</v>
      </c>
      <c r="C2860" s="65" t="s">
        <v>942</v>
      </c>
    </row>
    <row r="2861" spans="1:3" hidden="1">
      <c r="A2861" s="65">
        <v>9004528</v>
      </c>
      <c r="B2861" s="65" t="s">
        <v>3560</v>
      </c>
      <c r="C2861" s="65" t="s">
        <v>942</v>
      </c>
    </row>
    <row r="2862" spans="1:3" hidden="1">
      <c r="A2862" s="65">
        <v>9004529</v>
      </c>
      <c r="B2862" s="65" t="s">
        <v>3561</v>
      </c>
      <c r="C2862" s="65" t="s">
        <v>942</v>
      </c>
    </row>
    <row r="2863" spans="1:3" hidden="1">
      <c r="A2863" s="65">
        <v>9004530</v>
      </c>
      <c r="B2863" s="65" t="s">
        <v>3562</v>
      </c>
      <c r="C2863" s="65" t="s">
        <v>942</v>
      </c>
    </row>
    <row r="2864" spans="1:3" hidden="1">
      <c r="A2864" s="65">
        <v>9004531</v>
      </c>
      <c r="B2864" s="65" t="s">
        <v>3563</v>
      </c>
      <c r="C2864" s="65" t="s">
        <v>942</v>
      </c>
    </row>
    <row r="2865" spans="1:3" hidden="1">
      <c r="A2865" s="65">
        <v>9004532</v>
      </c>
      <c r="B2865" s="65" t="s">
        <v>3564</v>
      </c>
      <c r="C2865" s="65" t="s">
        <v>942</v>
      </c>
    </row>
    <row r="2866" spans="1:3" hidden="1">
      <c r="A2866" s="65">
        <v>9004533</v>
      </c>
      <c r="B2866" s="65" t="s">
        <v>3565</v>
      </c>
      <c r="C2866" s="65" t="s">
        <v>942</v>
      </c>
    </row>
    <row r="2867" spans="1:3" hidden="1">
      <c r="A2867" s="65">
        <v>9004534</v>
      </c>
      <c r="B2867" s="65" t="s">
        <v>3566</v>
      </c>
      <c r="C2867" s="65" t="s">
        <v>942</v>
      </c>
    </row>
    <row r="2868" spans="1:3" hidden="1">
      <c r="A2868" s="65">
        <v>9004535</v>
      </c>
      <c r="B2868" s="65" t="s">
        <v>3567</v>
      </c>
      <c r="C2868" s="65" t="s">
        <v>942</v>
      </c>
    </row>
    <row r="2869" spans="1:3" hidden="1">
      <c r="A2869" s="65">
        <v>9004536</v>
      </c>
      <c r="B2869" s="65" t="s">
        <v>3568</v>
      </c>
      <c r="C2869" s="65" t="s">
        <v>942</v>
      </c>
    </row>
    <row r="2870" spans="1:3" hidden="1">
      <c r="A2870" s="65">
        <v>9004537</v>
      </c>
      <c r="B2870" s="65" t="s">
        <v>3569</v>
      </c>
      <c r="C2870" s="65" t="s">
        <v>942</v>
      </c>
    </row>
    <row r="2871" spans="1:3" hidden="1">
      <c r="A2871" s="65">
        <v>9004538</v>
      </c>
      <c r="B2871" s="65" t="s">
        <v>3570</v>
      </c>
      <c r="C2871" s="65" t="s">
        <v>942</v>
      </c>
    </row>
    <row r="2872" spans="1:3" hidden="1">
      <c r="A2872" s="65">
        <v>9004539</v>
      </c>
      <c r="B2872" s="65" t="s">
        <v>3571</v>
      </c>
      <c r="C2872" s="65" t="s">
        <v>942</v>
      </c>
    </row>
    <row r="2873" spans="1:3" hidden="1">
      <c r="A2873" s="65">
        <v>9004540</v>
      </c>
      <c r="B2873" s="65" t="s">
        <v>3572</v>
      </c>
      <c r="C2873" s="65" t="s">
        <v>942</v>
      </c>
    </row>
    <row r="2874" spans="1:3" hidden="1">
      <c r="A2874" s="65">
        <v>9004541</v>
      </c>
      <c r="B2874" s="65" t="s">
        <v>3573</v>
      </c>
      <c r="C2874" s="65" t="s">
        <v>942</v>
      </c>
    </row>
    <row r="2875" spans="1:3" hidden="1">
      <c r="A2875" s="65">
        <v>9004542</v>
      </c>
      <c r="B2875" s="65" t="s">
        <v>3574</v>
      </c>
      <c r="C2875" s="65" t="s">
        <v>942</v>
      </c>
    </row>
    <row r="2876" spans="1:3" hidden="1">
      <c r="A2876" s="65">
        <v>9004543</v>
      </c>
      <c r="B2876" s="65" t="s">
        <v>3575</v>
      </c>
      <c r="C2876" s="65" t="s">
        <v>942</v>
      </c>
    </row>
    <row r="2877" spans="1:3" hidden="1">
      <c r="A2877" s="65">
        <v>9004544</v>
      </c>
      <c r="B2877" s="65" t="s">
        <v>3576</v>
      </c>
      <c r="C2877" s="65" t="s">
        <v>942</v>
      </c>
    </row>
    <row r="2878" spans="1:3" hidden="1">
      <c r="A2878" s="65">
        <v>9004545</v>
      </c>
      <c r="B2878" s="65" t="s">
        <v>3577</v>
      </c>
      <c r="C2878" s="65" t="s">
        <v>942</v>
      </c>
    </row>
    <row r="2879" spans="1:3" hidden="1">
      <c r="A2879" s="65">
        <v>9004546</v>
      </c>
      <c r="B2879" s="65" t="s">
        <v>3578</v>
      </c>
      <c r="C2879" s="65" t="s">
        <v>942</v>
      </c>
    </row>
    <row r="2880" spans="1:3" hidden="1">
      <c r="A2880" s="65">
        <v>9004547</v>
      </c>
      <c r="B2880" s="65" t="s">
        <v>3579</v>
      </c>
      <c r="C2880" s="65" t="s">
        <v>942</v>
      </c>
    </row>
    <row r="2881" spans="1:3" hidden="1">
      <c r="A2881" s="65">
        <v>9004548</v>
      </c>
      <c r="B2881" s="65" t="s">
        <v>3580</v>
      </c>
      <c r="C2881" s="65" t="s">
        <v>942</v>
      </c>
    </row>
    <row r="2882" spans="1:3" hidden="1">
      <c r="A2882" s="65">
        <v>9004549</v>
      </c>
      <c r="B2882" s="65" t="s">
        <v>3581</v>
      </c>
      <c r="C2882" s="65" t="s">
        <v>942</v>
      </c>
    </row>
    <row r="2883" spans="1:3" hidden="1">
      <c r="A2883" s="65">
        <v>9004550</v>
      </c>
      <c r="B2883" s="65" t="s">
        <v>3582</v>
      </c>
      <c r="C2883" s="65" t="s">
        <v>942</v>
      </c>
    </row>
    <row r="2884" spans="1:3" hidden="1">
      <c r="A2884" s="65">
        <v>9004551</v>
      </c>
      <c r="B2884" s="65" t="s">
        <v>3583</v>
      </c>
      <c r="C2884" s="65" t="s">
        <v>942</v>
      </c>
    </row>
    <row r="2885" spans="1:3" hidden="1">
      <c r="A2885" s="65">
        <v>9004552</v>
      </c>
      <c r="B2885" s="65" t="s">
        <v>3584</v>
      </c>
      <c r="C2885" s="65" t="s">
        <v>942</v>
      </c>
    </row>
    <row r="2886" spans="1:3" hidden="1">
      <c r="A2886" s="65">
        <v>9004553</v>
      </c>
      <c r="B2886" s="65" t="s">
        <v>3585</v>
      </c>
      <c r="C2886" s="65" t="s">
        <v>942</v>
      </c>
    </row>
    <row r="2887" spans="1:3" hidden="1">
      <c r="A2887" s="65">
        <v>9004554</v>
      </c>
      <c r="B2887" s="65" t="s">
        <v>3586</v>
      </c>
      <c r="C2887" s="65" t="s">
        <v>942</v>
      </c>
    </row>
    <row r="2888" spans="1:3" hidden="1">
      <c r="A2888" s="65">
        <v>9004555</v>
      </c>
      <c r="B2888" s="65" t="s">
        <v>3587</v>
      </c>
      <c r="C2888" s="65" t="s">
        <v>942</v>
      </c>
    </row>
    <row r="2889" spans="1:3" hidden="1">
      <c r="A2889" s="65">
        <v>9004556</v>
      </c>
      <c r="B2889" s="65" t="s">
        <v>3588</v>
      </c>
      <c r="C2889" s="65" t="s">
        <v>942</v>
      </c>
    </row>
    <row r="2890" spans="1:3" hidden="1">
      <c r="A2890" s="65">
        <v>9004557</v>
      </c>
      <c r="B2890" s="65" t="s">
        <v>3589</v>
      </c>
      <c r="C2890" s="65" t="s">
        <v>942</v>
      </c>
    </row>
    <row r="2891" spans="1:3" hidden="1">
      <c r="A2891" s="65">
        <v>9004558</v>
      </c>
      <c r="B2891" s="65" t="s">
        <v>3590</v>
      </c>
      <c r="C2891" s="65" t="s">
        <v>942</v>
      </c>
    </row>
    <row r="2892" spans="1:3" hidden="1">
      <c r="A2892" s="65">
        <v>9004559</v>
      </c>
      <c r="B2892" s="65" t="s">
        <v>3591</v>
      </c>
      <c r="C2892" s="65" t="s">
        <v>942</v>
      </c>
    </row>
    <row r="2893" spans="1:3" hidden="1">
      <c r="A2893" s="65">
        <v>9004560</v>
      </c>
      <c r="B2893" s="65" t="s">
        <v>3592</v>
      </c>
      <c r="C2893" s="65" t="s">
        <v>942</v>
      </c>
    </row>
    <row r="2894" spans="1:3" hidden="1">
      <c r="A2894" s="65">
        <v>9004561</v>
      </c>
      <c r="B2894" s="65" t="s">
        <v>3593</v>
      </c>
      <c r="C2894" s="65" t="s">
        <v>942</v>
      </c>
    </row>
    <row r="2895" spans="1:3" hidden="1">
      <c r="A2895" s="65">
        <v>9004562</v>
      </c>
      <c r="B2895" s="65" t="s">
        <v>3594</v>
      </c>
      <c r="C2895" s="65" t="s">
        <v>942</v>
      </c>
    </row>
    <row r="2896" spans="1:3" hidden="1">
      <c r="A2896" s="65">
        <v>9004563</v>
      </c>
      <c r="B2896" s="65" t="s">
        <v>3595</v>
      </c>
      <c r="C2896" s="65" t="s">
        <v>942</v>
      </c>
    </row>
    <row r="2897" spans="1:3" hidden="1">
      <c r="A2897" s="65">
        <v>9004564</v>
      </c>
      <c r="B2897" s="65" t="s">
        <v>3596</v>
      </c>
      <c r="C2897" s="65" t="s">
        <v>942</v>
      </c>
    </row>
    <row r="2898" spans="1:3" hidden="1">
      <c r="A2898" s="65">
        <v>9004565</v>
      </c>
      <c r="B2898" s="65" t="s">
        <v>3597</v>
      </c>
      <c r="C2898" s="65" t="s">
        <v>942</v>
      </c>
    </row>
    <row r="2899" spans="1:3" hidden="1">
      <c r="A2899" s="65">
        <v>9004566</v>
      </c>
      <c r="B2899" s="65" t="s">
        <v>3598</v>
      </c>
      <c r="C2899" s="65" t="s">
        <v>942</v>
      </c>
    </row>
    <row r="2900" spans="1:3" hidden="1">
      <c r="A2900" s="65">
        <v>9004567</v>
      </c>
      <c r="B2900" s="65" t="s">
        <v>3599</v>
      </c>
      <c r="C2900" s="65" t="s">
        <v>942</v>
      </c>
    </row>
    <row r="2901" spans="1:3" hidden="1">
      <c r="A2901" s="65">
        <v>9004568</v>
      </c>
      <c r="B2901" s="65" t="s">
        <v>3600</v>
      </c>
      <c r="C2901" s="65" t="s">
        <v>942</v>
      </c>
    </row>
    <row r="2902" spans="1:3" hidden="1">
      <c r="A2902" s="65">
        <v>9004569</v>
      </c>
      <c r="B2902" s="65" t="s">
        <v>3601</v>
      </c>
      <c r="C2902" s="65" t="s">
        <v>942</v>
      </c>
    </row>
    <row r="2903" spans="1:3" hidden="1">
      <c r="A2903" s="65">
        <v>9004570</v>
      </c>
      <c r="B2903" s="65" t="s">
        <v>3602</v>
      </c>
      <c r="C2903" s="65" t="s">
        <v>942</v>
      </c>
    </row>
    <row r="2904" spans="1:3" hidden="1">
      <c r="A2904" s="65">
        <v>9004571</v>
      </c>
      <c r="B2904" s="65" t="s">
        <v>3603</v>
      </c>
      <c r="C2904" s="65" t="s">
        <v>942</v>
      </c>
    </row>
    <row r="2905" spans="1:3" hidden="1">
      <c r="A2905" s="65">
        <v>9004572</v>
      </c>
      <c r="B2905" s="65" t="s">
        <v>3604</v>
      </c>
      <c r="C2905" s="65" t="s">
        <v>942</v>
      </c>
    </row>
    <row r="2906" spans="1:3" hidden="1">
      <c r="A2906" s="65">
        <v>9004573</v>
      </c>
      <c r="B2906" s="65" t="s">
        <v>3605</v>
      </c>
      <c r="C2906" s="65" t="s">
        <v>942</v>
      </c>
    </row>
    <row r="2907" spans="1:3" hidden="1">
      <c r="A2907" s="65">
        <v>9004574</v>
      </c>
      <c r="B2907" s="65" t="s">
        <v>3606</v>
      </c>
      <c r="C2907" s="65" t="s">
        <v>942</v>
      </c>
    </row>
    <row r="2908" spans="1:3" hidden="1">
      <c r="A2908" s="65">
        <v>9004575</v>
      </c>
      <c r="B2908" s="65" t="s">
        <v>3607</v>
      </c>
      <c r="C2908" s="65" t="s">
        <v>942</v>
      </c>
    </row>
    <row r="2909" spans="1:3" hidden="1">
      <c r="A2909" s="65">
        <v>9004576</v>
      </c>
      <c r="B2909" s="65" t="s">
        <v>3608</v>
      </c>
      <c r="C2909" s="65" t="s">
        <v>942</v>
      </c>
    </row>
    <row r="2910" spans="1:3" hidden="1">
      <c r="A2910" s="65">
        <v>9004577</v>
      </c>
      <c r="B2910" s="65" t="s">
        <v>3609</v>
      </c>
      <c r="C2910" s="65" t="s">
        <v>942</v>
      </c>
    </row>
    <row r="2911" spans="1:3" hidden="1">
      <c r="A2911" s="65">
        <v>9004578</v>
      </c>
      <c r="B2911" s="65" t="s">
        <v>3610</v>
      </c>
      <c r="C2911" s="65" t="s">
        <v>942</v>
      </c>
    </row>
    <row r="2912" spans="1:3" hidden="1">
      <c r="A2912" s="65">
        <v>9004579</v>
      </c>
      <c r="B2912" s="65" t="s">
        <v>3611</v>
      </c>
      <c r="C2912" s="65" t="s">
        <v>942</v>
      </c>
    </row>
    <row r="2913" spans="1:3" hidden="1">
      <c r="A2913" s="65">
        <v>9004580</v>
      </c>
      <c r="B2913" s="65" t="s">
        <v>3612</v>
      </c>
      <c r="C2913" s="65" t="s">
        <v>942</v>
      </c>
    </row>
    <row r="2914" spans="1:3" hidden="1">
      <c r="A2914" s="65">
        <v>9004581</v>
      </c>
      <c r="B2914" s="65" t="s">
        <v>3613</v>
      </c>
      <c r="C2914" s="65" t="s">
        <v>942</v>
      </c>
    </row>
    <row r="2915" spans="1:3" hidden="1">
      <c r="A2915" s="65">
        <v>9004582</v>
      </c>
      <c r="B2915" s="65" t="s">
        <v>3614</v>
      </c>
      <c r="C2915" s="65" t="s">
        <v>942</v>
      </c>
    </row>
    <row r="2916" spans="1:3" hidden="1">
      <c r="A2916" s="65">
        <v>9004583</v>
      </c>
      <c r="B2916" s="65" t="s">
        <v>3615</v>
      </c>
      <c r="C2916" s="65" t="s">
        <v>942</v>
      </c>
    </row>
    <row r="2917" spans="1:3" hidden="1">
      <c r="A2917" s="65">
        <v>9004584</v>
      </c>
      <c r="B2917" s="65" t="s">
        <v>3616</v>
      </c>
      <c r="C2917" s="65" t="s">
        <v>942</v>
      </c>
    </row>
    <row r="2918" spans="1:3" hidden="1">
      <c r="A2918" s="65">
        <v>9004585</v>
      </c>
      <c r="B2918" s="65" t="s">
        <v>3617</v>
      </c>
      <c r="C2918" s="65" t="s">
        <v>942</v>
      </c>
    </row>
    <row r="2919" spans="1:3" hidden="1">
      <c r="A2919" s="65">
        <v>9004586</v>
      </c>
      <c r="B2919" s="65" t="s">
        <v>3618</v>
      </c>
      <c r="C2919" s="65" t="s">
        <v>942</v>
      </c>
    </row>
    <row r="2920" spans="1:3" hidden="1">
      <c r="A2920" s="65">
        <v>9004587</v>
      </c>
      <c r="B2920" s="65" t="s">
        <v>3619</v>
      </c>
      <c r="C2920" s="65" t="s">
        <v>942</v>
      </c>
    </row>
    <row r="2921" spans="1:3" hidden="1">
      <c r="A2921" s="65">
        <v>9004588</v>
      </c>
      <c r="B2921" s="65" t="s">
        <v>3620</v>
      </c>
      <c r="C2921" s="65" t="s">
        <v>942</v>
      </c>
    </row>
    <row r="2922" spans="1:3" hidden="1">
      <c r="A2922" s="65">
        <v>9004589</v>
      </c>
      <c r="B2922" s="65" t="s">
        <v>3621</v>
      </c>
      <c r="C2922" s="65" t="s">
        <v>942</v>
      </c>
    </row>
    <row r="2923" spans="1:3" hidden="1">
      <c r="A2923" s="65">
        <v>9004590</v>
      </c>
      <c r="B2923" s="65" t="s">
        <v>3622</v>
      </c>
      <c r="C2923" s="65" t="s">
        <v>942</v>
      </c>
    </row>
    <row r="2924" spans="1:3" hidden="1">
      <c r="A2924" s="65">
        <v>9004591</v>
      </c>
      <c r="B2924" s="65" t="s">
        <v>3623</v>
      </c>
      <c r="C2924" s="65" t="s">
        <v>942</v>
      </c>
    </row>
    <row r="2925" spans="1:3" hidden="1">
      <c r="A2925" s="65">
        <v>9004592</v>
      </c>
      <c r="B2925" s="65" t="s">
        <v>3624</v>
      </c>
      <c r="C2925" s="65" t="s">
        <v>942</v>
      </c>
    </row>
    <row r="2926" spans="1:3" hidden="1">
      <c r="A2926" s="65">
        <v>9004593</v>
      </c>
      <c r="B2926" s="65" t="s">
        <v>3625</v>
      </c>
      <c r="C2926" s="65" t="s">
        <v>942</v>
      </c>
    </row>
    <row r="2927" spans="1:3" hidden="1">
      <c r="A2927" s="65">
        <v>9004594</v>
      </c>
      <c r="B2927" s="65" t="s">
        <v>3626</v>
      </c>
      <c r="C2927" s="65" t="s">
        <v>942</v>
      </c>
    </row>
    <row r="2928" spans="1:3" hidden="1">
      <c r="A2928" s="65">
        <v>9004595</v>
      </c>
      <c r="B2928" s="65" t="s">
        <v>3627</v>
      </c>
      <c r="C2928" s="65" t="s">
        <v>942</v>
      </c>
    </row>
    <row r="2929" spans="1:3" hidden="1">
      <c r="A2929" s="65">
        <v>9004596</v>
      </c>
      <c r="B2929" s="65" t="s">
        <v>3628</v>
      </c>
      <c r="C2929" s="65" t="s">
        <v>942</v>
      </c>
    </row>
    <row r="2930" spans="1:3" hidden="1">
      <c r="A2930" s="65">
        <v>9004597</v>
      </c>
      <c r="B2930" s="65" t="s">
        <v>3629</v>
      </c>
      <c r="C2930" s="65" t="s">
        <v>942</v>
      </c>
    </row>
    <row r="2931" spans="1:3" hidden="1">
      <c r="A2931" s="65">
        <v>9004598</v>
      </c>
      <c r="B2931" s="65" t="s">
        <v>3630</v>
      </c>
      <c r="C2931" s="65" t="s">
        <v>942</v>
      </c>
    </row>
    <row r="2932" spans="1:3" hidden="1">
      <c r="A2932" s="65">
        <v>9004599</v>
      </c>
      <c r="B2932" s="65" t="s">
        <v>3631</v>
      </c>
      <c r="C2932" s="65" t="s">
        <v>942</v>
      </c>
    </row>
    <row r="2933" spans="1:3" hidden="1">
      <c r="A2933" s="65">
        <v>9004600</v>
      </c>
      <c r="B2933" s="65" t="s">
        <v>3632</v>
      </c>
      <c r="C2933" s="65" t="s">
        <v>942</v>
      </c>
    </row>
    <row r="2934" spans="1:3" hidden="1">
      <c r="A2934" s="65">
        <v>9004601</v>
      </c>
      <c r="B2934" s="65" t="s">
        <v>3632</v>
      </c>
      <c r="C2934" s="65" t="s">
        <v>942</v>
      </c>
    </row>
    <row r="2935" spans="1:3" hidden="1">
      <c r="A2935" s="65">
        <v>9004602</v>
      </c>
      <c r="B2935" s="65" t="s">
        <v>3632</v>
      </c>
      <c r="C2935" s="65" t="s">
        <v>942</v>
      </c>
    </row>
    <row r="2936" spans="1:3" hidden="1">
      <c r="A2936" s="65">
        <v>9004603</v>
      </c>
      <c r="B2936" s="65" t="s">
        <v>3632</v>
      </c>
      <c r="C2936" s="65" t="s">
        <v>942</v>
      </c>
    </row>
    <row r="2937" spans="1:3" hidden="1">
      <c r="A2937" s="65">
        <v>9004604</v>
      </c>
      <c r="B2937" s="65" t="s">
        <v>3632</v>
      </c>
      <c r="C2937" s="65" t="s">
        <v>942</v>
      </c>
    </row>
    <row r="2938" spans="1:3" hidden="1">
      <c r="A2938" s="65">
        <v>9004605</v>
      </c>
      <c r="B2938" s="65" t="s">
        <v>3632</v>
      </c>
      <c r="C2938" s="65" t="s">
        <v>942</v>
      </c>
    </row>
    <row r="2939" spans="1:3" hidden="1">
      <c r="A2939" s="65">
        <v>9004606</v>
      </c>
      <c r="B2939" s="65" t="s">
        <v>3632</v>
      </c>
      <c r="C2939" s="65" t="s">
        <v>942</v>
      </c>
    </row>
    <row r="2940" spans="1:3" hidden="1">
      <c r="A2940" s="65">
        <v>9004607</v>
      </c>
      <c r="B2940" s="65" t="s">
        <v>3632</v>
      </c>
      <c r="C2940" s="65" t="s">
        <v>942</v>
      </c>
    </row>
    <row r="2941" spans="1:3" hidden="1">
      <c r="A2941" s="65">
        <v>9004608</v>
      </c>
      <c r="B2941" s="65" t="s">
        <v>3632</v>
      </c>
      <c r="C2941" s="65" t="s">
        <v>942</v>
      </c>
    </row>
    <row r="2942" spans="1:3" hidden="1">
      <c r="A2942" s="65">
        <v>9004609</v>
      </c>
      <c r="B2942" s="65" t="s">
        <v>3632</v>
      </c>
      <c r="C2942" s="65" t="s">
        <v>942</v>
      </c>
    </row>
    <row r="2943" spans="1:3" hidden="1">
      <c r="A2943" s="65">
        <v>9004610</v>
      </c>
      <c r="B2943" s="65" t="s">
        <v>3632</v>
      </c>
      <c r="C2943" s="65" t="s">
        <v>942</v>
      </c>
    </row>
    <row r="2944" spans="1:3" hidden="1">
      <c r="A2944" s="65">
        <v>9004611</v>
      </c>
      <c r="B2944" s="65" t="s">
        <v>3633</v>
      </c>
      <c r="C2944" s="65" t="s">
        <v>942</v>
      </c>
    </row>
    <row r="2945" spans="1:3" hidden="1">
      <c r="A2945" s="65">
        <v>9004612</v>
      </c>
      <c r="B2945" s="65" t="s">
        <v>3633</v>
      </c>
      <c r="C2945" s="65" t="s">
        <v>942</v>
      </c>
    </row>
    <row r="2946" spans="1:3" hidden="1">
      <c r="A2946" s="65">
        <v>9004613</v>
      </c>
      <c r="B2946" s="65" t="s">
        <v>3633</v>
      </c>
      <c r="C2946" s="65" t="s">
        <v>942</v>
      </c>
    </row>
    <row r="2947" spans="1:3" hidden="1">
      <c r="A2947" s="65">
        <v>9004614</v>
      </c>
      <c r="B2947" s="65" t="s">
        <v>3633</v>
      </c>
      <c r="C2947" s="65" t="s">
        <v>942</v>
      </c>
    </row>
    <row r="2948" spans="1:3" hidden="1">
      <c r="A2948" s="65">
        <v>9004615</v>
      </c>
      <c r="B2948" s="65" t="s">
        <v>3633</v>
      </c>
      <c r="C2948" s="65" t="s">
        <v>942</v>
      </c>
    </row>
    <row r="2949" spans="1:3" hidden="1">
      <c r="A2949" s="65">
        <v>9004616</v>
      </c>
      <c r="B2949" s="65" t="s">
        <v>3633</v>
      </c>
      <c r="C2949" s="65" t="s">
        <v>942</v>
      </c>
    </row>
    <row r="2950" spans="1:3" hidden="1">
      <c r="A2950" s="65">
        <v>9004617</v>
      </c>
      <c r="B2950" s="65" t="s">
        <v>3633</v>
      </c>
      <c r="C2950" s="65" t="s">
        <v>942</v>
      </c>
    </row>
    <row r="2951" spans="1:3" hidden="1">
      <c r="A2951" s="65">
        <v>9004618</v>
      </c>
      <c r="B2951" s="65" t="s">
        <v>3633</v>
      </c>
      <c r="C2951" s="65" t="s">
        <v>942</v>
      </c>
    </row>
    <row r="2952" spans="1:3" hidden="1">
      <c r="A2952" s="65">
        <v>9004619</v>
      </c>
      <c r="B2952" s="65" t="s">
        <v>3634</v>
      </c>
      <c r="C2952" s="65" t="s">
        <v>942</v>
      </c>
    </row>
    <row r="2953" spans="1:3" hidden="1">
      <c r="A2953" s="65">
        <v>9004620</v>
      </c>
      <c r="B2953" s="65" t="s">
        <v>3634</v>
      </c>
      <c r="C2953" s="65" t="s">
        <v>942</v>
      </c>
    </row>
    <row r="2954" spans="1:3" hidden="1">
      <c r="A2954" s="65">
        <v>9004621</v>
      </c>
      <c r="B2954" s="65" t="s">
        <v>3634</v>
      </c>
      <c r="C2954" s="65" t="s">
        <v>942</v>
      </c>
    </row>
    <row r="2955" spans="1:3" hidden="1">
      <c r="A2955" s="65">
        <v>9004622</v>
      </c>
      <c r="B2955" s="65" t="s">
        <v>3634</v>
      </c>
      <c r="C2955" s="65" t="s">
        <v>942</v>
      </c>
    </row>
    <row r="2956" spans="1:3" hidden="1">
      <c r="A2956" s="65">
        <v>9004623</v>
      </c>
      <c r="B2956" s="65" t="s">
        <v>3635</v>
      </c>
      <c r="C2956" s="65" t="s">
        <v>942</v>
      </c>
    </row>
    <row r="2957" spans="1:3" hidden="1">
      <c r="A2957" s="65">
        <v>9004624</v>
      </c>
      <c r="B2957" s="65" t="s">
        <v>3635</v>
      </c>
      <c r="C2957" s="65" t="s">
        <v>942</v>
      </c>
    </row>
    <row r="2958" spans="1:3" hidden="1">
      <c r="A2958" s="65">
        <v>9004625</v>
      </c>
      <c r="B2958" s="65" t="s">
        <v>3635</v>
      </c>
      <c r="C2958" s="65" t="s">
        <v>942</v>
      </c>
    </row>
    <row r="2959" spans="1:3" hidden="1">
      <c r="A2959" s="65">
        <v>9004626</v>
      </c>
      <c r="B2959" s="65" t="s">
        <v>3635</v>
      </c>
      <c r="C2959" s="65" t="s">
        <v>942</v>
      </c>
    </row>
    <row r="2960" spans="1:3" hidden="1">
      <c r="A2960" s="65">
        <v>9004627</v>
      </c>
      <c r="B2960" s="65" t="s">
        <v>3636</v>
      </c>
      <c r="C2960" s="65" t="s">
        <v>942</v>
      </c>
    </row>
    <row r="2961" spans="1:3" hidden="1">
      <c r="A2961" s="65">
        <v>9004628</v>
      </c>
      <c r="B2961" s="65" t="s">
        <v>3637</v>
      </c>
      <c r="C2961" s="65" t="s">
        <v>942</v>
      </c>
    </row>
    <row r="2962" spans="1:3" hidden="1">
      <c r="A2962" s="65">
        <v>9004629</v>
      </c>
      <c r="B2962" s="65" t="s">
        <v>3638</v>
      </c>
      <c r="C2962" s="65" t="s">
        <v>942</v>
      </c>
    </row>
    <row r="2963" spans="1:3" hidden="1">
      <c r="A2963" s="65">
        <v>9004630</v>
      </c>
      <c r="B2963" s="65" t="s">
        <v>3639</v>
      </c>
      <c r="C2963" s="65" t="s">
        <v>942</v>
      </c>
    </row>
    <row r="2964" spans="1:3" hidden="1">
      <c r="A2964" s="65">
        <v>9004631</v>
      </c>
      <c r="B2964" s="65" t="s">
        <v>3640</v>
      </c>
      <c r="C2964" s="65" t="s">
        <v>942</v>
      </c>
    </row>
    <row r="2965" spans="1:3" hidden="1">
      <c r="A2965" s="65">
        <v>9004632</v>
      </c>
      <c r="B2965" s="65" t="s">
        <v>3641</v>
      </c>
      <c r="C2965" s="65" t="s">
        <v>942</v>
      </c>
    </row>
    <row r="2966" spans="1:3" hidden="1">
      <c r="A2966" s="65">
        <v>9004633</v>
      </c>
      <c r="B2966" s="65" t="s">
        <v>3642</v>
      </c>
      <c r="C2966" s="65" t="s">
        <v>942</v>
      </c>
    </row>
    <row r="2967" spans="1:3" hidden="1">
      <c r="A2967" s="65">
        <v>9004634</v>
      </c>
      <c r="B2967" s="65" t="s">
        <v>3643</v>
      </c>
      <c r="C2967" s="65" t="s">
        <v>942</v>
      </c>
    </row>
    <row r="2968" spans="1:3" hidden="1">
      <c r="A2968" s="65">
        <v>9004635</v>
      </c>
      <c r="B2968" s="65" t="s">
        <v>3644</v>
      </c>
      <c r="C2968" s="65" t="s">
        <v>942</v>
      </c>
    </row>
    <row r="2969" spans="1:3" hidden="1">
      <c r="A2969" s="65">
        <v>9004636</v>
      </c>
      <c r="B2969" s="65" t="s">
        <v>3645</v>
      </c>
      <c r="C2969" s="65" t="s">
        <v>942</v>
      </c>
    </row>
    <row r="2970" spans="1:3" hidden="1">
      <c r="A2970" s="65">
        <v>9004637</v>
      </c>
      <c r="B2970" s="65" t="s">
        <v>3646</v>
      </c>
      <c r="C2970" s="65" t="s">
        <v>942</v>
      </c>
    </row>
    <row r="2971" spans="1:3" hidden="1">
      <c r="A2971" s="65">
        <v>9004638</v>
      </c>
      <c r="B2971" s="65" t="s">
        <v>3647</v>
      </c>
      <c r="C2971" s="65" t="s">
        <v>942</v>
      </c>
    </row>
    <row r="2972" spans="1:3" hidden="1">
      <c r="A2972" s="65">
        <v>9004639</v>
      </c>
      <c r="B2972" s="65" t="s">
        <v>3648</v>
      </c>
      <c r="C2972" s="65" t="s">
        <v>942</v>
      </c>
    </row>
    <row r="2973" spans="1:3" hidden="1">
      <c r="A2973" s="65">
        <v>9004640</v>
      </c>
      <c r="B2973" s="65" t="s">
        <v>3649</v>
      </c>
      <c r="C2973" s="65" t="s">
        <v>942</v>
      </c>
    </row>
    <row r="2974" spans="1:3" hidden="1">
      <c r="A2974" s="65">
        <v>9004641</v>
      </c>
      <c r="B2974" s="65" t="s">
        <v>3650</v>
      </c>
      <c r="C2974" s="65" t="s">
        <v>942</v>
      </c>
    </row>
    <row r="2975" spans="1:3" hidden="1">
      <c r="A2975" s="65">
        <v>9004642</v>
      </c>
      <c r="B2975" s="65" t="s">
        <v>3651</v>
      </c>
      <c r="C2975" s="65" t="s">
        <v>942</v>
      </c>
    </row>
    <row r="2976" spans="1:3" hidden="1">
      <c r="A2976" s="65">
        <v>9004643</v>
      </c>
      <c r="B2976" s="65" t="s">
        <v>3652</v>
      </c>
      <c r="C2976" s="65" t="s">
        <v>942</v>
      </c>
    </row>
    <row r="2977" spans="1:3" hidden="1">
      <c r="A2977" s="65">
        <v>9004644</v>
      </c>
      <c r="B2977" s="65" t="s">
        <v>3653</v>
      </c>
      <c r="C2977" s="65" t="s">
        <v>942</v>
      </c>
    </row>
    <row r="2978" spans="1:3" hidden="1">
      <c r="A2978" s="65">
        <v>9004645</v>
      </c>
      <c r="B2978" s="65" t="s">
        <v>3654</v>
      </c>
      <c r="C2978" s="65" t="s">
        <v>942</v>
      </c>
    </row>
    <row r="2979" spans="1:3" hidden="1">
      <c r="A2979" s="65">
        <v>9004646</v>
      </c>
      <c r="B2979" s="65" t="s">
        <v>3655</v>
      </c>
      <c r="C2979" s="65" t="s">
        <v>942</v>
      </c>
    </row>
    <row r="2980" spans="1:3" hidden="1">
      <c r="A2980" s="65">
        <v>9004647</v>
      </c>
      <c r="B2980" s="65" t="s">
        <v>3632</v>
      </c>
      <c r="C2980" s="65" t="s">
        <v>942</v>
      </c>
    </row>
    <row r="2981" spans="1:3" hidden="1">
      <c r="A2981" s="65">
        <v>9004648</v>
      </c>
      <c r="B2981" s="65" t="s">
        <v>3632</v>
      </c>
      <c r="C2981" s="65" t="s">
        <v>942</v>
      </c>
    </row>
    <row r="2982" spans="1:3" hidden="1">
      <c r="A2982" s="65">
        <v>9004649</v>
      </c>
      <c r="B2982" s="65" t="s">
        <v>3632</v>
      </c>
      <c r="C2982" s="65" t="s">
        <v>942</v>
      </c>
    </row>
    <row r="2983" spans="1:3" hidden="1">
      <c r="A2983" s="65">
        <v>9004650</v>
      </c>
      <c r="B2983" s="65" t="s">
        <v>3632</v>
      </c>
      <c r="C2983" s="65" t="s">
        <v>942</v>
      </c>
    </row>
    <row r="2984" spans="1:3" hidden="1">
      <c r="A2984" s="65">
        <v>9004651</v>
      </c>
      <c r="B2984" s="65" t="s">
        <v>3656</v>
      </c>
      <c r="C2984" s="65" t="s">
        <v>942</v>
      </c>
    </row>
    <row r="2985" spans="1:3" hidden="1">
      <c r="A2985" s="65">
        <v>9004652</v>
      </c>
      <c r="B2985" s="65" t="s">
        <v>3657</v>
      </c>
      <c r="C2985" s="65" t="s">
        <v>942</v>
      </c>
    </row>
    <row r="2986" spans="1:3" hidden="1">
      <c r="A2986" s="65">
        <v>9004653</v>
      </c>
      <c r="B2986" s="65" t="s">
        <v>3658</v>
      </c>
      <c r="C2986" s="65" t="s">
        <v>942</v>
      </c>
    </row>
    <row r="2987" spans="1:3" hidden="1">
      <c r="A2987" s="65">
        <v>9004654</v>
      </c>
      <c r="B2987" s="65" t="s">
        <v>3659</v>
      </c>
      <c r="C2987" s="65" t="s">
        <v>942</v>
      </c>
    </row>
    <row r="2988" spans="1:3" hidden="1">
      <c r="A2988" s="65">
        <v>9004655</v>
      </c>
      <c r="B2988" s="65" t="s">
        <v>3660</v>
      </c>
      <c r="C2988" s="65" t="s">
        <v>942</v>
      </c>
    </row>
    <row r="2989" spans="1:3" hidden="1">
      <c r="A2989" s="65">
        <v>9004656</v>
      </c>
      <c r="B2989" s="65" t="s">
        <v>3661</v>
      </c>
      <c r="C2989" s="65" t="s">
        <v>942</v>
      </c>
    </row>
    <row r="2990" spans="1:3" hidden="1">
      <c r="A2990" s="65">
        <v>9004657</v>
      </c>
      <c r="B2990" s="65" t="s">
        <v>3662</v>
      </c>
      <c r="C2990" s="65" t="s">
        <v>942</v>
      </c>
    </row>
    <row r="2991" spans="1:3" hidden="1">
      <c r="A2991" s="65">
        <v>9004658</v>
      </c>
      <c r="B2991" s="65" t="s">
        <v>3663</v>
      </c>
      <c r="C2991" s="65" t="s">
        <v>942</v>
      </c>
    </row>
    <row r="2992" spans="1:3" hidden="1">
      <c r="A2992" s="65">
        <v>9004659</v>
      </c>
      <c r="B2992" s="65" t="s">
        <v>3664</v>
      </c>
      <c r="C2992" s="65" t="s">
        <v>942</v>
      </c>
    </row>
    <row r="2993" spans="1:3" hidden="1">
      <c r="A2993" s="65">
        <v>9004660</v>
      </c>
      <c r="B2993" s="65" t="s">
        <v>3665</v>
      </c>
      <c r="C2993" s="65" t="s">
        <v>942</v>
      </c>
    </row>
    <row r="2994" spans="1:3" hidden="1">
      <c r="A2994" s="65">
        <v>9004661</v>
      </c>
      <c r="B2994" s="65" t="s">
        <v>3666</v>
      </c>
      <c r="C2994" s="65" t="s">
        <v>942</v>
      </c>
    </row>
    <row r="2995" spans="1:3" hidden="1">
      <c r="A2995" s="65">
        <v>9004662</v>
      </c>
      <c r="B2995" s="65" t="s">
        <v>3667</v>
      </c>
      <c r="C2995" s="65" t="s">
        <v>942</v>
      </c>
    </row>
    <row r="2996" spans="1:3" hidden="1">
      <c r="A2996" s="65">
        <v>9004663</v>
      </c>
      <c r="B2996" s="65" t="s">
        <v>3668</v>
      </c>
      <c r="C2996" s="65" t="s">
        <v>942</v>
      </c>
    </row>
    <row r="2997" spans="1:3" hidden="1">
      <c r="A2997" s="65">
        <v>9004664</v>
      </c>
      <c r="B2997" s="65" t="s">
        <v>3669</v>
      </c>
      <c r="C2997" s="65" t="s">
        <v>942</v>
      </c>
    </row>
    <row r="2998" spans="1:3" hidden="1">
      <c r="A2998" s="65">
        <v>9004665</v>
      </c>
      <c r="B2998" s="65" t="s">
        <v>3670</v>
      </c>
      <c r="C2998" s="65" t="s">
        <v>942</v>
      </c>
    </row>
    <row r="2999" spans="1:3" hidden="1">
      <c r="A2999" s="65">
        <v>9004666</v>
      </c>
      <c r="B2999" s="65" t="s">
        <v>3671</v>
      </c>
      <c r="C2999" s="65" t="s">
        <v>942</v>
      </c>
    </row>
    <row r="3000" spans="1:3" hidden="1">
      <c r="A3000" s="65">
        <v>9004667</v>
      </c>
      <c r="B3000" s="65" t="s">
        <v>3672</v>
      </c>
      <c r="C3000" s="65" t="s">
        <v>942</v>
      </c>
    </row>
    <row r="3001" spans="1:3" hidden="1">
      <c r="A3001" s="65">
        <v>9004668</v>
      </c>
      <c r="B3001" s="65" t="s">
        <v>3673</v>
      </c>
      <c r="C3001" s="65" t="s">
        <v>942</v>
      </c>
    </row>
    <row r="3002" spans="1:3" hidden="1">
      <c r="A3002" s="65">
        <v>9004669</v>
      </c>
      <c r="B3002" s="65" t="s">
        <v>3673</v>
      </c>
      <c r="C3002" s="65" t="s">
        <v>942</v>
      </c>
    </row>
    <row r="3003" spans="1:3" hidden="1">
      <c r="A3003" s="65">
        <v>9004670</v>
      </c>
      <c r="B3003" s="65" t="s">
        <v>3674</v>
      </c>
      <c r="C3003" s="65" t="s">
        <v>942</v>
      </c>
    </row>
    <row r="3004" spans="1:3" hidden="1">
      <c r="A3004" s="65">
        <v>9004671</v>
      </c>
      <c r="B3004" s="65" t="s">
        <v>3675</v>
      </c>
      <c r="C3004" s="65" t="s">
        <v>942</v>
      </c>
    </row>
    <row r="3005" spans="1:3" hidden="1">
      <c r="A3005" s="65">
        <v>9004672</v>
      </c>
      <c r="B3005" s="65" t="s">
        <v>3676</v>
      </c>
      <c r="C3005" s="65" t="s">
        <v>942</v>
      </c>
    </row>
    <row r="3006" spans="1:3" hidden="1">
      <c r="A3006" s="65">
        <v>9004673</v>
      </c>
      <c r="B3006" s="65" t="s">
        <v>3677</v>
      </c>
      <c r="C3006" s="65" t="s">
        <v>942</v>
      </c>
    </row>
    <row r="3007" spans="1:3" hidden="1">
      <c r="A3007" s="65">
        <v>9004674</v>
      </c>
      <c r="B3007" s="65" t="s">
        <v>3678</v>
      </c>
      <c r="C3007" s="65" t="s">
        <v>942</v>
      </c>
    </row>
    <row r="3008" spans="1:3" hidden="1">
      <c r="A3008" s="65">
        <v>9004675</v>
      </c>
      <c r="B3008" s="65" t="s">
        <v>3679</v>
      </c>
      <c r="C3008" s="65" t="s">
        <v>3170</v>
      </c>
    </row>
    <row r="3009" spans="1:3" hidden="1">
      <c r="A3009" s="65">
        <v>9004676</v>
      </c>
      <c r="B3009" s="65" t="s">
        <v>3680</v>
      </c>
      <c r="C3009" s="65" t="s">
        <v>3170</v>
      </c>
    </row>
    <row r="3010" spans="1:3" hidden="1">
      <c r="A3010" s="65">
        <v>9004677</v>
      </c>
      <c r="B3010" s="65" t="s">
        <v>3681</v>
      </c>
      <c r="C3010" s="65" t="s">
        <v>3170</v>
      </c>
    </row>
    <row r="3011" spans="1:3" hidden="1">
      <c r="A3011" s="65">
        <v>9004678</v>
      </c>
      <c r="B3011" s="65" t="s">
        <v>3682</v>
      </c>
      <c r="C3011" s="65" t="s">
        <v>3170</v>
      </c>
    </row>
    <row r="3012" spans="1:3" hidden="1">
      <c r="A3012" s="65">
        <v>9004679</v>
      </c>
      <c r="B3012" s="65" t="s">
        <v>3683</v>
      </c>
      <c r="C3012" s="65" t="s">
        <v>942</v>
      </c>
    </row>
    <row r="3013" spans="1:3" hidden="1">
      <c r="A3013" s="65">
        <v>9004680</v>
      </c>
      <c r="B3013" s="65" t="s">
        <v>3683</v>
      </c>
      <c r="C3013" s="65" t="s">
        <v>3170</v>
      </c>
    </row>
    <row r="3014" spans="1:3" hidden="1">
      <c r="A3014" s="65">
        <v>9004681</v>
      </c>
      <c r="B3014" s="65" t="s">
        <v>3684</v>
      </c>
      <c r="C3014" s="65" t="s">
        <v>942</v>
      </c>
    </row>
    <row r="3015" spans="1:3" hidden="1">
      <c r="A3015" s="65">
        <v>9004682</v>
      </c>
      <c r="B3015" s="65" t="s">
        <v>3685</v>
      </c>
      <c r="C3015" s="65" t="s">
        <v>942</v>
      </c>
    </row>
    <row r="3016" spans="1:3" hidden="1">
      <c r="A3016" s="65">
        <v>9004683</v>
      </c>
      <c r="B3016" s="65" t="s">
        <v>3686</v>
      </c>
      <c r="C3016" s="65" t="s">
        <v>942</v>
      </c>
    </row>
    <row r="3017" spans="1:3" hidden="1">
      <c r="A3017" s="65">
        <v>9004684</v>
      </c>
      <c r="B3017" s="65" t="s">
        <v>3687</v>
      </c>
      <c r="C3017" s="65" t="s">
        <v>942</v>
      </c>
    </row>
    <row r="3018" spans="1:3" hidden="1">
      <c r="A3018" s="65">
        <v>9004685</v>
      </c>
      <c r="B3018" s="65" t="s">
        <v>3688</v>
      </c>
      <c r="C3018" s="65" t="s">
        <v>942</v>
      </c>
    </row>
    <row r="3019" spans="1:3" hidden="1">
      <c r="A3019" s="65">
        <v>9004686</v>
      </c>
      <c r="B3019" s="65" t="s">
        <v>3689</v>
      </c>
      <c r="C3019" s="65" t="s">
        <v>942</v>
      </c>
    </row>
    <row r="3020" spans="1:3" hidden="1">
      <c r="A3020" s="65">
        <v>9004687</v>
      </c>
      <c r="B3020" s="65" t="s">
        <v>3690</v>
      </c>
      <c r="C3020" s="65" t="s">
        <v>942</v>
      </c>
    </row>
    <row r="3021" spans="1:3" hidden="1">
      <c r="A3021" s="65">
        <v>9004688</v>
      </c>
      <c r="B3021" s="65" t="s">
        <v>3691</v>
      </c>
      <c r="C3021" s="65" t="s">
        <v>942</v>
      </c>
    </row>
    <row r="3022" spans="1:3" hidden="1">
      <c r="A3022" s="65">
        <v>9004689</v>
      </c>
      <c r="B3022" s="65" t="s">
        <v>3692</v>
      </c>
      <c r="C3022" s="65" t="s">
        <v>942</v>
      </c>
    </row>
    <row r="3023" spans="1:3" hidden="1">
      <c r="A3023" s="65">
        <v>9004690</v>
      </c>
      <c r="B3023" s="65" t="s">
        <v>3693</v>
      </c>
      <c r="C3023" s="65" t="s">
        <v>942</v>
      </c>
    </row>
    <row r="3024" spans="1:3" hidden="1">
      <c r="A3024" s="65">
        <v>9004691</v>
      </c>
      <c r="B3024" s="65" t="s">
        <v>3694</v>
      </c>
      <c r="C3024" s="65" t="s">
        <v>942</v>
      </c>
    </row>
    <row r="3025" spans="1:3" hidden="1">
      <c r="A3025" s="65">
        <v>9004692</v>
      </c>
      <c r="B3025" s="65" t="s">
        <v>3695</v>
      </c>
      <c r="C3025" s="65" t="s">
        <v>942</v>
      </c>
    </row>
    <row r="3026" spans="1:3" hidden="1">
      <c r="A3026" s="65">
        <v>9004693</v>
      </c>
      <c r="B3026" s="65" t="s">
        <v>3696</v>
      </c>
      <c r="C3026" s="65" t="s">
        <v>942</v>
      </c>
    </row>
    <row r="3027" spans="1:3" hidden="1">
      <c r="A3027" s="65">
        <v>9004694</v>
      </c>
      <c r="B3027" s="65" t="s">
        <v>3697</v>
      </c>
      <c r="C3027" s="65" t="s">
        <v>942</v>
      </c>
    </row>
    <row r="3028" spans="1:3" hidden="1">
      <c r="A3028" s="65">
        <v>9004695</v>
      </c>
      <c r="B3028" s="65" t="s">
        <v>3698</v>
      </c>
      <c r="C3028" s="65" t="s">
        <v>942</v>
      </c>
    </row>
    <row r="3029" spans="1:3" hidden="1">
      <c r="A3029" s="65">
        <v>9004696</v>
      </c>
      <c r="B3029" s="65" t="s">
        <v>3699</v>
      </c>
      <c r="C3029" s="65" t="s">
        <v>942</v>
      </c>
    </row>
    <row r="3030" spans="1:3" hidden="1">
      <c r="A3030" s="65">
        <v>9004697</v>
      </c>
      <c r="B3030" s="65" t="s">
        <v>3700</v>
      </c>
      <c r="C3030" s="65" t="s">
        <v>942</v>
      </c>
    </row>
    <row r="3031" spans="1:3" hidden="1">
      <c r="A3031" s="65">
        <v>9004698</v>
      </c>
      <c r="B3031" s="65" t="s">
        <v>3701</v>
      </c>
      <c r="C3031" s="65" t="s">
        <v>942</v>
      </c>
    </row>
    <row r="3032" spans="1:3" hidden="1">
      <c r="A3032" s="65">
        <v>9004699</v>
      </c>
      <c r="B3032" s="65" t="s">
        <v>3702</v>
      </c>
      <c r="C3032" s="65" t="s">
        <v>942</v>
      </c>
    </row>
    <row r="3033" spans="1:3" hidden="1">
      <c r="A3033" s="65">
        <v>9004700</v>
      </c>
      <c r="B3033" s="65" t="s">
        <v>3703</v>
      </c>
      <c r="C3033" s="65" t="s">
        <v>942</v>
      </c>
    </row>
    <row r="3034" spans="1:3" hidden="1">
      <c r="A3034" s="65">
        <v>9004701</v>
      </c>
      <c r="B3034" s="65" t="s">
        <v>3704</v>
      </c>
      <c r="C3034" s="65" t="s">
        <v>942</v>
      </c>
    </row>
    <row r="3035" spans="1:3" hidden="1">
      <c r="A3035" s="65">
        <v>9004702</v>
      </c>
      <c r="B3035" s="65" t="s">
        <v>3705</v>
      </c>
      <c r="C3035" s="65" t="s">
        <v>942</v>
      </c>
    </row>
    <row r="3036" spans="1:3" hidden="1">
      <c r="A3036" s="65">
        <v>9004703</v>
      </c>
      <c r="B3036" s="65" t="s">
        <v>3706</v>
      </c>
      <c r="C3036" s="65" t="s">
        <v>942</v>
      </c>
    </row>
    <row r="3037" spans="1:3" hidden="1">
      <c r="A3037" s="65">
        <v>9004704</v>
      </c>
      <c r="B3037" s="65" t="s">
        <v>3707</v>
      </c>
      <c r="C3037" s="65" t="s">
        <v>942</v>
      </c>
    </row>
    <row r="3038" spans="1:3" hidden="1">
      <c r="A3038" s="65">
        <v>9004705</v>
      </c>
      <c r="B3038" s="65" t="s">
        <v>3708</v>
      </c>
      <c r="C3038" s="65" t="s">
        <v>942</v>
      </c>
    </row>
    <row r="3039" spans="1:3" hidden="1">
      <c r="A3039" s="65">
        <v>9004706</v>
      </c>
      <c r="B3039" s="65" t="s">
        <v>3709</v>
      </c>
      <c r="C3039" s="65" t="s">
        <v>942</v>
      </c>
    </row>
    <row r="3040" spans="1:3" hidden="1">
      <c r="A3040" s="65">
        <v>9004707</v>
      </c>
      <c r="B3040" s="65" t="s">
        <v>3710</v>
      </c>
      <c r="C3040" s="65" t="s">
        <v>942</v>
      </c>
    </row>
    <row r="3041" spans="1:3" hidden="1">
      <c r="A3041" s="65">
        <v>9004708</v>
      </c>
      <c r="B3041" s="65" t="s">
        <v>3711</v>
      </c>
      <c r="C3041" s="65" t="s">
        <v>942</v>
      </c>
    </row>
    <row r="3042" spans="1:3" hidden="1">
      <c r="A3042" s="65">
        <v>9004709</v>
      </c>
      <c r="B3042" s="65" t="s">
        <v>3712</v>
      </c>
      <c r="C3042" s="65" t="s">
        <v>942</v>
      </c>
    </row>
    <row r="3043" spans="1:3" hidden="1">
      <c r="A3043" s="65">
        <v>9004710</v>
      </c>
      <c r="B3043" s="65" t="s">
        <v>3713</v>
      </c>
      <c r="C3043" s="65" t="s">
        <v>942</v>
      </c>
    </row>
    <row r="3044" spans="1:3" hidden="1">
      <c r="A3044" s="65">
        <v>9004711</v>
      </c>
      <c r="B3044" s="65" t="s">
        <v>3714</v>
      </c>
      <c r="C3044" s="65" t="s">
        <v>942</v>
      </c>
    </row>
    <row r="3045" spans="1:3" hidden="1">
      <c r="A3045" s="65">
        <v>9004712</v>
      </c>
      <c r="B3045" s="65" t="s">
        <v>3715</v>
      </c>
      <c r="C3045" s="65" t="s">
        <v>942</v>
      </c>
    </row>
    <row r="3046" spans="1:3" hidden="1">
      <c r="A3046" s="65">
        <v>9004713</v>
      </c>
      <c r="B3046" s="65" t="s">
        <v>3716</v>
      </c>
      <c r="C3046" s="65" t="s">
        <v>942</v>
      </c>
    </row>
    <row r="3047" spans="1:3" hidden="1">
      <c r="A3047" s="65">
        <v>9004714</v>
      </c>
      <c r="B3047" s="65" t="s">
        <v>3717</v>
      </c>
      <c r="C3047" s="65" t="s">
        <v>942</v>
      </c>
    </row>
    <row r="3048" spans="1:3" hidden="1">
      <c r="A3048" s="65">
        <v>9004715</v>
      </c>
      <c r="B3048" s="65" t="s">
        <v>3718</v>
      </c>
      <c r="C3048" s="65" t="s">
        <v>942</v>
      </c>
    </row>
    <row r="3049" spans="1:3" hidden="1">
      <c r="A3049" s="65">
        <v>9004716</v>
      </c>
      <c r="B3049" s="65" t="s">
        <v>3719</v>
      </c>
      <c r="C3049" s="65" t="s">
        <v>942</v>
      </c>
    </row>
    <row r="3050" spans="1:3" hidden="1">
      <c r="A3050" s="65">
        <v>9004717</v>
      </c>
      <c r="B3050" s="65" t="s">
        <v>3720</v>
      </c>
      <c r="C3050" s="65" t="s">
        <v>942</v>
      </c>
    </row>
    <row r="3051" spans="1:3" hidden="1">
      <c r="A3051" s="65">
        <v>9004718</v>
      </c>
      <c r="B3051" s="65" t="s">
        <v>3721</v>
      </c>
      <c r="C3051" s="65" t="s">
        <v>942</v>
      </c>
    </row>
    <row r="3052" spans="1:3" hidden="1">
      <c r="A3052" s="65">
        <v>9004719</v>
      </c>
      <c r="B3052" s="65" t="s">
        <v>3722</v>
      </c>
      <c r="C3052" s="65" t="s">
        <v>942</v>
      </c>
    </row>
    <row r="3053" spans="1:3" hidden="1">
      <c r="A3053" s="65">
        <v>9004720</v>
      </c>
      <c r="B3053" s="65" t="s">
        <v>3723</v>
      </c>
      <c r="C3053" s="65" t="s">
        <v>942</v>
      </c>
    </row>
    <row r="3054" spans="1:3" hidden="1">
      <c r="A3054" s="65">
        <v>9004721</v>
      </c>
      <c r="B3054" s="65" t="s">
        <v>3724</v>
      </c>
      <c r="C3054" s="65" t="s">
        <v>942</v>
      </c>
    </row>
    <row r="3055" spans="1:3" hidden="1">
      <c r="A3055" s="65">
        <v>9004722</v>
      </c>
      <c r="B3055" s="65" t="s">
        <v>3725</v>
      </c>
      <c r="C3055" s="65" t="s">
        <v>942</v>
      </c>
    </row>
    <row r="3056" spans="1:3" hidden="1">
      <c r="A3056" s="65">
        <v>9004723</v>
      </c>
      <c r="B3056" s="65" t="s">
        <v>3726</v>
      </c>
      <c r="C3056" s="65" t="s">
        <v>942</v>
      </c>
    </row>
    <row r="3057" spans="1:3" hidden="1">
      <c r="A3057" s="65">
        <v>9004724</v>
      </c>
      <c r="B3057" s="65" t="s">
        <v>3727</v>
      </c>
      <c r="C3057" s="65" t="s">
        <v>942</v>
      </c>
    </row>
    <row r="3058" spans="1:3" hidden="1">
      <c r="A3058" s="65">
        <v>9004725</v>
      </c>
      <c r="B3058" s="65" t="s">
        <v>3728</v>
      </c>
      <c r="C3058" s="65" t="s">
        <v>942</v>
      </c>
    </row>
    <row r="3059" spans="1:3" hidden="1">
      <c r="A3059" s="65">
        <v>9004726</v>
      </c>
      <c r="B3059" s="65" t="s">
        <v>3729</v>
      </c>
      <c r="C3059" s="65" t="s">
        <v>942</v>
      </c>
    </row>
    <row r="3060" spans="1:3" hidden="1">
      <c r="A3060" s="65">
        <v>9004727</v>
      </c>
      <c r="B3060" s="65" t="s">
        <v>3730</v>
      </c>
      <c r="C3060" s="65" t="s">
        <v>942</v>
      </c>
    </row>
    <row r="3061" spans="1:3" hidden="1">
      <c r="A3061" s="65">
        <v>9004728</v>
      </c>
      <c r="B3061" s="65" t="s">
        <v>3731</v>
      </c>
      <c r="C3061" s="65" t="s">
        <v>942</v>
      </c>
    </row>
    <row r="3062" spans="1:3" hidden="1">
      <c r="A3062" s="65">
        <v>9004729</v>
      </c>
      <c r="B3062" s="65" t="s">
        <v>3732</v>
      </c>
      <c r="C3062" s="65" t="s">
        <v>942</v>
      </c>
    </row>
    <row r="3063" spans="1:3" hidden="1">
      <c r="A3063" s="65">
        <v>9004730</v>
      </c>
      <c r="B3063" s="65" t="s">
        <v>3733</v>
      </c>
      <c r="C3063" s="65" t="s">
        <v>942</v>
      </c>
    </row>
    <row r="3064" spans="1:3" hidden="1">
      <c r="A3064" s="65">
        <v>9004731</v>
      </c>
      <c r="B3064" s="65" t="s">
        <v>3734</v>
      </c>
      <c r="C3064" s="65" t="s">
        <v>942</v>
      </c>
    </row>
    <row r="3065" spans="1:3" hidden="1">
      <c r="A3065" s="65">
        <v>9004732</v>
      </c>
      <c r="B3065" s="65" t="s">
        <v>3735</v>
      </c>
      <c r="C3065" s="65" t="s">
        <v>942</v>
      </c>
    </row>
    <row r="3066" spans="1:3" hidden="1">
      <c r="A3066" s="65">
        <v>9004733</v>
      </c>
      <c r="B3066" s="65" t="s">
        <v>3736</v>
      </c>
      <c r="C3066" s="65" t="s">
        <v>942</v>
      </c>
    </row>
    <row r="3067" spans="1:3" hidden="1">
      <c r="A3067" s="65">
        <v>9004734</v>
      </c>
      <c r="B3067" s="65" t="s">
        <v>3737</v>
      </c>
      <c r="C3067" s="65" t="s">
        <v>942</v>
      </c>
    </row>
    <row r="3068" spans="1:3" hidden="1">
      <c r="A3068" s="65">
        <v>9004735</v>
      </c>
      <c r="B3068" s="65" t="s">
        <v>3738</v>
      </c>
      <c r="C3068" s="65" t="s">
        <v>942</v>
      </c>
    </row>
    <row r="3069" spans="1:3" hidden="1">
      <c r="A3069" s="65">
        <v>9004736</v>
      </c>
      <c r="B3069" s="65" t="s">
        <v>3739</v>
      </c>
      <c r="C3069" s="65" t="s">
        <v>942</v>
      </c>
    </row>
    <row r="3070" spans="1:3" hidden="1">
      <c r="A3070" s="65">
        <v>9004737</v>
      </c>
      <c r="B3070" s="65" t="s">
        <v>3740</v>
      </c>
      <c r="C3070" s="65" t="s">
        <v>942</v>
      </c>
    </row>
    <row r="3071" spans="1:3" hidden="1">
      <c r="A3071" s="65">
        <v>9004738</v>
      </c>
      <c r="B3071" s="65" t="s">
        <v>3741</v>
      </c>
      <c r="C3071" s="65" t="s">
        <v>942</v>
      </c>
    </row>
    <row r="3072" spans="1:3" hidden="1">
      <c r="A3072" s="65">
        <v>9004739</v>
      </c>
      <c r="B3072" s="65" t="s">
        <v>3742</v>
      </c>
      <c r="C3072" s="65" t="s">
        <v>942</v>
      </c>
    </row>
    <row r="3073" spans="1:3" hidden="1">
      <c r="A3073" s="65">
        <v>9004740</v>
      </c>
      <c r="B3073" s="65" t="s">
        <v>3743</v>
      </c>
      <c r="C3073" s="65" t="s">
        <v>942</v>
      </c>
    </row>
    <row r="3074" spans="1:3" hidden="1">
      <c r="A3074" s="65">
        <v>9004741</v>
      </c>
      <c r="B3074" s="65" t="s">
        <v>3744</v>
      </c>
      <c r="C3074" s="65" t="s">
        <v>942</v>
      </c>
    </row>
    <row r="3075" spans="1:3" hidden="1">
      <c r="A3075" s="65">
        <v>9004742</v>
      </c>
      <c r="B3075" s="65" t="s">
        <v>3745</v>
      </c>
      <c r="C3075" s="65" t="s">
        <v>942</v>
      </c>
    </row>
    <row r="3076" spans="1:3" hidden="1">
      <c r="A3076" s="65">
        <v>9004743</v>
      </c>
      <c r="B3076" s="65" t="s">
        <v>3746</v>
      </c>
      <c r="C3076" s="65" t="s">
        <v>942</v>
      </c>
    </row>
    <row r="3077" spans="1:3" hidden="1">
      <c r="A3077" s="65">
        <v>9004744</v>
      </c>
      <c r="B3077" s="65" t="s">
        <v>3747</v>
      </c>
      <c r="C3077" s="65" t="s">
        <v>942</v>
      </c>
    </row>
    <row r="3078" spans="1:3" hidden="1">
      <c r="A3078" s="65">
        <v>9004745</v>
      </c>
      <c r="B3078" s="65" t="s">
        <v>3748</v>
      </c>
      <c r="C3078" s="65" t="s">
        <v>942</v>
      </c>
    </row>
    <row r="3079" spans="1:3" hidden="1">
      <c r="A3079" s="65">
        <v>9004746</v>
      </c>
      <c r="B3079" s="65" t="s">
        <v>3749</v>
      </c>
      <c r="C3079" s="65" t="s">
        <v>942</v>
      </c>
    </row>
    <row r="3080" spans="1:3" hidden="1">
      <c r="A3080" s="65">
        <v>9004747</v>
      </c>
      <c r="B3080" s="65" t="s">
        <v>3750</v>
      </c>
      <c r="C3080" s="65" t="s">
        <v>942</v>
      </c>
    </row>
    <row r="3081" spans="1:3" hidden="1">
      <c r="A3081" s="65">
        <v>9004748</v>
      </c>
      <c r="B3081" s="65" t="s">
        <v>3751</v>
      </c>
      <c r="C3081" s="65" t="s">
        <v>942</v>
      </c>
    </row>
    <row r="3082" spans="1:3" hidden="1">
      <c r="A3082" s="65">
        <v>9004749</v>
      </c>
      <c r="B3082" s="65" t="s">
        <v>3752</v>
      </c>
      <c r="C3082" s="65" t="s">
        <v>942</v>
      </c>
    </row>
    <row r="3083" spans="1:3" hidden="1">
      <c r="A3083" s="65">
        <v>9004750</v>
      </c>
      <c r="B3083" s="65" t="s">
        <v>3753</v>
      </c>
      <c r="C3083" s="65" t="s">
        <v>942</v>
      </c>
    </row>
    <row r="3084" spans="1:3" hidden="1">
      <c r="A3084" s="65">
        <v>9004751</v>
      </c>
      <c r="B3084" s="65" t="s">
        <v>3754</v>
      </c>
      <c r="C3084" s="65" t="s">
        <v>942</v>
      </c>
    </row>
    <row r="3085" spans="1:3" hidden="1">
      <c r="A3085" s="65">
        <v>9004752</v>
      </c>
      <c r="B3085" s="65" t="s">
        <v>3755</v>
      </c>
      <c r="C3085" s="65" t="s">
        <v>942</v>
      </c>
    </row>
    <row r="3086" spans="1:3" hidden="1">
      <c r="A3086" s="65">
        <v>9004753</v>
      </c>
      <c r="B3086" s="65" t="s">
        <v>3756</v>
      </c>
      <c r="C3086" s="65" t="s">
        <v>942</v>
      </c>
    </row>
    <row r="3087" spans="1:3" hidden="1">
      <c r="A3087" s="65">
        <v>9004754</v>
      </c>
      <c r="B3087" s="65" t="s">
        <v>3757</v>
      </c>
      <c r="C3087" s="65" t="s">
        <v>942</v>
      </c>
    </row>
    <row r="3088" spans="1:3" hidden="1">
      <c r="A3088" s="65">
        <v>9004755</v>
      </c>
      <c r="B3088" s="65" t="s">
        <v>3758</v>
      </c>
      <c r="C3088" s="65" t="s">
        <v>942</v>
      </c>
    </row>
    <row r="3089" spans="1:3" hidden="1">
      <c r="A3089" s="65">
        <v>9004756</v>
      </c>
      <c r="B3089" s="65" t="s">
        <v>3759</v>
      </c>
      <c r="C3089" s="65" t="s">
        <v>942</v>
      </c>
    </row>
    <row r="3090" spans="1:3" hidden="1">
      <c r="A3090" s="65">
        <v>9004757</v>
      </c>
      <c r="B3090" s="65" t="s">
        <v>3705</v>
      </c>
      <c r="C3090" s="65" t="s">
        <v>942</v>
      </c>
    </row>
    <row r="3091" spans="1:3" hidden="1">
      <c r="A3091" s="65">
        <v>9004758</v>
      </c>
      <c r="B3091" s="65" t="s">
        <v>3760</v>
      </c>
      <c r="C3091" s="65" t="s">
        <v>942</v>
      </c>
    </row>
    <row r="3092" spans="1:3" hidden="1">
      <c r="A3092" s="65">
        <v>9004759</v>
      </c>
      <c r="B3092" s="65" t="s">
        <v>3761</v>
      </c>
      <c r="C3092" s="65" t="s">
        <v>942</v>
      </c>
    </row>
    <row r="3093" spans="1:3" hidden="1">
      <c r="A3093" s="65">
        <v>9004760</v>
      </c>
      <c r="B3093" s="65" t="s">
        <v>3762</v>
      </c>
      <c r="C3093" s="65" t="s">
        <v>942</v>
      </c>
    </row>
    <row r="3094" spans="1:3" hidden="1">
      <c r="A3094" s="65">
        <v>9004761</v>
      </c>
      <c r="B3094" s="65" t="s">
        <v>3763</v>
      </c>
      <c r="C3094" s="65" t="s">
        <v>942</v>
      </c>
    </row>
    <row r="3095" spans="1:3" hidden="1">
      <c r="A3095" s="65">
        <v>9004762</v>
      </c>
      <c r="B3095" s="65" t="s">
        <v>3764</v>
      </c>
      <c r="C3095" s="65" t="s">
        <v>942</v>
      </c>
    </row>
    <row r="3096" spans="1:3" hidden="1">
      <c r="A3096" s="65">
        <v>9004763</v>
      </c>
      <c r="B3096" s="65" t="s">
        <v>3765</v>
      </c>
      <c r="C3096" s="65" t="s">
        <v>942</v>
      </c>
    </row>
    <row r="3097" spans="1:3" hidden="1">
      <c r="A3097" s="65">
        <v>9004764</v>
      </c>
      <c r="B3097" s="65" t="s">
        <v>3766</v>
      </c>
      <c r="C3097" s="65" t="s">
        <v>942</v>
      </c>
    </row>
    <row r="3098" spans="1:3" hidden="1">
      <c r="A3098" s="65">
        <v>9004765</v>
      </c>
      <c r="B3098" s="65" t="s">
        <v>3767</v>
      </c>
      <c r="C3098" s="65" t="s">
        <v>942</v>
      </c>
    </row>
    <row r="3099" spans="1:3" hidden="1">
      <c r="A3099" s="65">
        <v>9004766</v>
      </c>
      <c r="B3099" s="65" t="s">
        <v>3768</v>
      </c>
      <c r="C3099" s="65" t="s">
        <v>942</v>
      </c>
    </row>
    <row r="3100" spans="1:3">
      <c r="A3100" s="65">
        <v>9004767</v>
      </c>
      <c r="B3100" s="65" t="s">
        <v>3769</v>
      </c>
      <c r="C3100" s="65" t="s">
        <v>942</v>
      </c>
    </row>
    <row r="3101" spans="1:3" hidden="1">
      <c r="A3101" s="65">
        <v>9004768</v>
      </c>
      <c r="B3101" s="65" t="s">
        <v>3770</v>
      </c>
      <c r="C3101" s="65" t="s">
        <v>942</v>
      </c>
    </row>
    <row r="3102" spans="1:3" hidden="1">
      <c r="A3102" s="65">
        <v>9004769</v>
      </c>
      <c r="B3102" s="65" t="s">
        <v>3771</v>
      </c>
      <c r="C3102" s="65" t="s">
        <v>942</v>
      </c>
    </row>
    <row r="3103" spans="1:3" hidden="1">
      <c r="A3103" s="65">
        <v>9004770</v>
      </c>
      <c r="B3103" s="65" t="s">
        <v>3772</v>
      </c>
      <c r="C3103" s="65" t="s">
        <v>942</v>
      </c>
    </row>
    <row r="3104" spans="1:3" hidden="1">
      <c r="A3104" s="65">
        <v>9004771</v>
      </c>
      <c r="B3104" s="65" t="s">
        <v>3773</v>
      </c>
      <c r="C3104" s="65" t="s">
        <v>942</v>
      </c>
    </row>
    <row r="3105" spans="1:3" hidden="1">
      <c r="A3105" s="65">
        <v>9004772</v>
      </c>
      <c r="B3105" s="65" t="s">
        <v>3774</v>
      </c>
      <c r="C3105" s="65" t="s">
        <v>942</v>
      </c>
    </row>
    <row r="3106" spans="1:3" hidden="1">
      <c r="A3106" s="65">
        <v>9004773</v>
      </c>
      <c r="B3106" s="65" t="s">
        <v>3775</v>
      </c>
      <c r="C3106" s="65" t="s">
        <v>942</v>
      </c>
    </row>
    <row r="3107" spans="1:3" hidden="1">
      <c r="A3107" s="65">
        <v>9004774</v>
      </c>
      <c r="B3107" s="65" t="s">
        <v>3776</v>
      </c>
      <c r="C3107" s="65" t="s">
        <v>942</v>
      </c>
    </row>
    <row r="3108" spans="1:3" hidden="1">
      <c r="A3108" s="65">
        <v>9004775</v>
      </c>
      <c r="B3108" s="65" t="s">
        <v>3777</v>
      </c>
      <c r="C3108" s="65" t="s">
        <v>942</v>
      </c>
    </row>
    <row r="3109" spans="1:3" hidden="1">
      <c r="A3109" s="65">
        <v>9004776</v>
      </c>
      <c r="B3109" s="65" t="s">
        <v>3778</v>
      </c>
      <c r="C3109" s="65" t="s">
        <v>942</v>
      </c>
    </row>
    <row r="3110" spans="1:3" hidden="1">
      <c r="A3110" s="65">
        <v>9004777</v>
      </c>
      <c r="B3110" s="65" t="s">
        <v>3779</v>
      </c>
      <c r="C3110" s="65" t="s">
        <v>942</v>
      </c>
    </row>
    <row r="3111" spans="1:3" hidden="1">
      <c r="A3111" s="65">
        <v>9004778</v>
      </c>
      <c r="B3111" s="65" t="s">
        <v>3780</v>
      </c>
      <c r="C3111" s="65" t="s">
        <v>942</v>
      </c>
    </row>
    <row r="3112" spans="1:3" hidden="1">
      <c r="A3112" s="65">
        <v>9004779</v>
      </c>
      <c r="B3112" s="65" t="s">
        <v>3781</v>
      </c>
      <c r="C3112" s="65" t="s">
        <v>942</v>
      </c>
    </row>
    <row r="3113" spans="1:3" hidden="1">
      <c r="A3113" s="65">
        <v>9004780</v>
      </c>
      <c r="B3113" s="65" t="s">
        <v>3782</v>
      </c>
      <c r="C3113" s="65" t="s">
        <v>942</v>
      </c>
    </row>
    <row r="3114" spans="1:3" hidden="1">
      <c r="A3114" s="65">
        <v>9004781</v>
      </c>
      <c r="B3114" s="65" t="s">
        <v>3783</v>
      </c>
      <c r="C3114" s="65" t="s">
        <v>942</v>
      </c>
    </row>
    <row r="3115" spans="1:3" hidden="1">
      <c r="A3115" s="65">
        <v>9004782</v>
      </c>
      <c r="B3115" s="65" t="s">
        <v>3784</v>
      </c>
      <c r="C3115" s="65" t="s">
        <v>942</v>
      </c>
    </row>
    <row r="3116" spans="1:3" hidden="1">
      <c r="A3116" s="65">
        <v>9004783</v>
      </c>
      <c r="B3116" s="65" t="s">
        <v>3785</v>
      </c>
      <c r="C3116" s="65" t="s">
        <v>1181</v>
      </c>
    </row>
    <row r="3117" spans="1:3" hidden="1">
      <c r="A3117" s="65">
        <v>9004784</v>
      </c>
      <c r="B3117" s="65" t="s">
        <v>3786</v>
      </c>
      <c r="C3117" s="65" t="s">
        <v>1181</v>
      </c>
    </row>
    <row r="3118" spans="1:3" hidden="1">
      <c r="A3118" s="65">
        <v>9004785</v>
      </c>
      <c r="B3118" s="65" t="s">
        <v>3648</v>
      </c>
      <c r="C3118" s="65" t="s">
        <v>942</v>
      </c>
    </row>
    <row r="3119" spans="1:3" hidden="1">
      <c r="A3119" s="65">
        <v>9004786</v>
      </c>
      <c r="B3119" s="65" t="s">
        <v>3787</v>
      </c>
      <c r="C3119" s="65" t="s">
        <v>942</v>
      </c>
    </row>
    <row r="3120" spans="1:3" hidden="1">
      <c r="A3120" s="65">
        <v>9004787</v>
      </c>
      <c r="B3120" s="65" t="s">
        <v>3788</v>
      </c>
      <c r="C3120" s="65" t="s">
        <v>942</v>
      </c>
    </row>
    <row r="3121" spans="1:3" hidden="1">
      <c r="A3121" s="65">
        <v>9004788</v>
      </c>
      <c r="B3121" s="65" t="s">
        <v>3789</v>
      </c>
      <c r="C3121" s="65" t="s">
        <v>793</v>
      </c>
    </row>
    <row r="3122" spans="1:3" hidden="1">
      <c r="A3122" s="65">
        <v>9004789</v>
      </c>
      <c r="B3122" s="65" t="s">
        <v>3790</v>
      </c>
      <c r="C3122" s="65" t="s">
        <v>805</v>
      </c>
    </row>
    <row r="3123" spans="1:3" hidden="1">
      <c r="A3123" s="65">
        <v>9004790</v>
      </c>
      <c r="B3123" s="65" t="s">
        <v>3791</v>
      </c>
      <c r="C3123" s="65" t="s">
        <v>805</v>
      </c>
    </row>
    <row r="3124" spans="1:3" hidden="1">
      <c r="A3124" s="65">
        <v>9004791</v>
      </c>
      <c r="B3124" s="65" t="s">
        <v>3792</v>
      </c>
      <c r="C3124" s="65" t="s">
        <v>805</v>
      </c>
    </row>
    <row r="3125" spans="1:3" hidden="1">
      <c r="A3125" s="65">
        <v>9004792</v>
      </c>
      <c r="B3125" s="65" t="s">
        <v>3793</v>
      </c>
      <c r="C3125" s="65" t="s">
        <v>805</v>
      </c>
    </row>
    <row r="3126" spans="1:3" hidden="1">
      <c r="A3126" s="65">
        <v>9004793</v>
      </c>
      <c r="B3126" s="65" t="s">
        <v>3794</v>
      </c>
      <c r="C3126" s="65" t="s">
        <v>805</v>
      </c>
    </row>
    <row r="3127" spans="1:3" hidden="1">
      <c r="A3127" s="65">
        <v>9004794</v>
      </c>
      <c r="B3127" s="65" t="s">
        <v>3795</v>
      </c>
      <c r="C3127" s="65" t="s">
        <v>805</v>
      </c>
    </row>
    <row r="3128" spans="1:3" hidden="1">
      <c r="A3128" s="65">
        <v>9004795</v>
      </c>
      <c r="B3128" s="65" t="s">
        <v>3796</v>
      </c>
      <c r="C3128" s="65" t="s">
        <v>805</v>
      </c>
    </row>
    <row r="3129" spans="1:3" hidden="1">
      <c r="A3129" s="65">
        <v>9004796</v>
      </c>
      <c r="B3129" s="65" t="s">
        <v>3797</v>
      </c>
      <c r="C3129" s="65" t="s">
        <v>805</v>
      </c>
    </row>
    <row r="3130" spans="1:3" hidden="1">
      <c r="A3130" s="65">
        <v>9004797</v>
      </c>
      <c r="B3130" s="65" t="s">
        <v>3798</v>
      </c>
      <c r="C3130" s="65" t="s">
        <v>805</v>
      </c>
    </row>
    <row r="3131" spans="1:3" hidden="1">
      <c r="A3131" s="65">
        <v>9004798</v>
      </c>
      <c r="B3131" s="65" t="s">
        <v>3799</v>
      </c>
      <c r="C3131" s="65" t="s">
        <v>805</v>
      </c>
    </row>
    <row r="3132" spans="1:3" hidden="1">
      <c r="A3132" s="65">
        <v>9004799</v>
      </c>
      <c r="B3132" s="65" t="s">
        <v>3800</v>
      </c>
      <c r="C3132" s="65" t="s">
        <v>805</v>
      </c>
    </row>
    <row r="3133" spans="1:3" hidden="1">
      <c r="A3133" s="65">
        <v>9004800</v>
      </c>
      <c r="B3133" s="65" t="s">
        <v>3801</v>
      </c>
      <c r="C3133" s="65" t="s">
        <v>805</v>
      </c>
    </row>
    <row r="3134" spans="1:3" hidden="1">
      <c r="A3134" s="65">
        <v>9004801</v>
      </c>
      <c r="B3134" s="65" t="s">
        <v>3802</v>
      </c>
      <c r="C3134" s="65" t="s">
        <v>805</v>
      </c>
    </row>
    <row r="3135" spans="1:3" hidden="1">
      <c r="A3135" s="65">
        <v>9004802</v>
      </c>
      <c r="B3135" s="65" t="s">
        <v>3803</v>
      </c>
      <c r="C3135" s="65" t="s">
        <v>805</v>
      </c>
    </row>
    <row r="3136" spans="1:3" hidden="1">
      <c r="A3136" s="65">
        <v>9004803</v>
      </c>
      <c r="B3136" s="65" t="s">
        <v>3804</v>
      </c>
      <c r="C3136" s="65" t="s">
        <v>805</v>
      </c>
    </row>
    <row r="3137" spans="1:3" hidden="1">
      <c r="A3137" s="65">
        <v>9004804</v>
      </c>
      <c r="B3137" s="65" t="s">
        <v>3805</v>
      </c>
      <c r="C3137" s="65" t="s">
        <v>805</v>
      </c>
    </row>
    <row r="3138" spans="1:3" hidden="1">
      <c r="A3138" s="65">
        <v>9004805</v>
      </c>
      <c r="B3138" s="65" t="s">
        <v>3806</v>
      </c>
      <c r="C3138" s="65" t="s">
        <v>805</v>
      </c>
    </row>
    <row r="3139" spans="1:3" hidden="1">
      <c r="A3139" s="65">
        <v>9004806</v>
      </c>
      <c r="B3139" s="65" t="s">
        <v>3807</v>
      </c>
      <c r="C3139" s="65" t="s">
        <v>805</v>
      </c>
    </row>
    <row r="3140" spans="1:3" hidden="1">
      <c r="A3140" s="65">
        <v>9004807</v>
      </c>
      <c r="B3140" s="65" t="s">
        <v>3808</v>
      </c>
      <c r="C3140" s="65" t="s">
        <v>805</v>
      </c>
    </row>
    <row r="3141" spans="1:3" hidden="1">
      <c r="A3141" s="65">
        <v>9004808</v>
      </c>
      <c r="B3141" s="65" t="s">
        <v>3809</v>
      </c>
      <c r="C3141" s="65" t="s">
        <v>805</v>
      </c>
    </row>
    <row r="3142" spans="1:3" hidden="1">
      <c r="A3142" s="65">
        <v>9004809</v>
      </c>
      <c r="B3142" s="65" t="s">
        <v>3810</v>
      </c>
      <c r="C3142" s="65" t="s">
        <v>805</v>
      </c>
    </row>
    <row r="3143" spans="1:3" hidden="1">
      <c r="A3143" s="65">
        <v>9004810</v>
      </c>
      <c r="B3143" s="65" t="s">
        <v>3811</v>
      </c>
      <c r="C3143" s="65" t="s">
        <v>805</v>
      </c>
    </row>
    <row r="3144" spans="1:3" hidden="1">
      <c r="A3144" s="65">
        <v>9004811</v>
      </c>
      <c r="B3144" s="65" t="s">
        <v>3812</v>
      </c>
      <c r="C3144" s="65" t="s">
        <v>683</v>
      </c>
    </row>
    <row r="3145" spans="1:3" hidden="1">
      <c r="A3145" s="65">
        <v>9004812</v>
      </c>
      <c r="B3145" s="65" t="s">
        <v>3813</v>
      </c>
      <c r="C3145" s="65" t="s">
        <v>683</v>
      </c>
    </row>
    <row r="3146" spans="1:3" hidden="1">
      <c r="A3146" s="65">
        <v>9004813</v>
      </c>
      <c r="B3146" s="65" t="s">
        <v>3814</v>
      </c>
      <c r="C3146" s="65" t="s">
        <v>805</v>
      </c>
    </row>
    <row r="3147" spans="1:3" hidden="1">
      <c r="A3147" s="65">
        <v>9004814</v>
      </c>
      <c r="B3147" s="65" t="s">
        <v>3815</v>
      </c>
      <c r="C3147" s="65" t="s">
        <v>805</v>
      </c>
    </row>
    <row r="3148" spans="1:3" hidden="1">
      <c r="A3148" s="65">
        <v>9004815</v>
      </c>
      <c r="B3148" s="65" t="s">
        <v>3816</v>
      </c>
      <c r="C3148" s="65" t="s">
        <v>805</v>
      </c>
    </row>
    <row r="3149" spans="1:3" hidden="1">
      <c r="A3149" s="65">
        <v>9004816</v>
      </c>
      <c r="B3149" s="65" t="s">
        <v>3817</v>
      </c>
      <c r="C3149" s="65" t="s">
        <v>805</v>
      </c>
    </row>
    <row r="3150" spans="1:3" hidden="1">
      <c r="A3150" s="65">
        <v>9004817</v>
      </c>
      <c r="B3150" s="65" t="s">
        <v>3818</v>
      </c>
      <c r="C3150" s="65" t="s">
        <v>805</v>
      </c>
    </row>
    <row r="3151" spans="1:3" hidden="1">
      <c r="A3151" s="65">
        <v>9004818</v>
      </c>
      <c r="B3151" s="65" t="s">
        <v>3819</v>
      </c>
      <c r="C3151" s="65" t="s">
        <v>793</v>
      </c>
    </row>
    <row r="3152" spans="1:3" hidden="1">
      <c r="A3152" s="65">
        <v>9004819</v>
      </c>
      <c r="B3152" s="65" t="s">
        <v>3820</v>
      </c>
      <c r="C3152" s="65" t="s">
        <v>793</v>
      </c>
    </row>
    <row r="3153" spans="1:3" hidden="1">
      <c r="A3153" s="65">
        <v>9004820</v>
      </c>
      <c r="B3153" s="65" t="s">
        <v>3821</v>
      </c>
      <c r="C3153" s="65" t="s">
        <v>793</v>
      </c>
    </row>
    <row r="3154" spans="1:3" hidden="1">
      <c r="A3154" s="65">
        <v>9004821</v>
      </c>
      <c r="B3154" s="65" t="s">
        <v>3822</v>
      </c>
      <c r="C3154" s="65" t="s">
        <v>793</v>
      </c>
    </row>
    <row r="3155" spans="1:3" hidden="1">
      <c r="A3155" s="65">
        <v>9004822</v>
      </c>
      <c r="B3155" s="65" t="s">
        <v>3823</v>
      </c>
      <c r="C3155" s="65" t="s">
        <v>805</v>
      </c>
    </row>
    <row r="3156" spans="1:3" hidden="1">
      <c r="A3156" s="65">
        <v>9004823</v>
      </c>
      <c r="B3156" s="65" t="s">
        <v>3824</v>
      </c>
      <c r="C3156" s="65" t="s">
        <v>805</v>
      </c>
    </row>
    <row r="3157" spans="1:3" hidden="1">
      <c r="A3157" s="65">
        <v>9004824</v>
      </c>
      <c r="B3157" s="65" t="s">
        <v>3825</v>
      </c>
      <c r="C3157" s="65" t="s">
        <v>805</v>
      </c>
    </row>
    <row r="3158" spans="1:3" hidden="1">
      <c r="A3158" s="65">
        <v>9004825</v>
      </c>
      <c r="B3158" s="65" t="s">
        <v>3826</v>
      </c>
      <c r="C3158" s="65" t="s">
        <v>805</v>
      </c>
    </row>
    <row r="3159" spans="1:3" hidden="1">
      <c r="A3159" s="65">
        <v>9004826</v>
      </c>
      <c r="B3159" s="65" t="s">
        <v>3827</v>
      </c>
      <c r="C3159" s="65" t="s">
        <v>942</v>
      </c>
    </row>
    <row r="3160" spans="1:3" hidden="1">
      <c r="A3160" s="65">
        <v>9004827</v>
      </c>
      <c r="B3160" s="65" t="s">
        <v>3828</v>
      </c>
      <c r="C3160" s="65" t="s">
        <v>942</v>
      </c>
    </row>
    <row r="3161" spans="1:3" hidden="1">
      <c r="A3161" s="65">
        <v>9004828</v>
      </c>
      <c r="B3161" s="65" t="s">
        <v>3829</v>
      </c>
      <c r="C3161" s="65" t="s">
        <v>942</v>
      </c>
    </row>
    <row r="3162" spans="1:3" hidden="1">
      <c r="A3162" s="65">
        <v>9004829</v>
      </c>
      <c r="B3162" s="65" t="s">
        <v>3830</v>
      </c>
      <c r="C3162" s="65" t="s">
        <v>942</v>
      </c>
    </row>
    <row r="3163" spans="1:3" hidden="1">
      <c r="A3163" s="65">
        <v>9004830</v>
      </c>
      <c r="B3163" s="65" t="s">
        <v>3831</v>
      </c>
      <c r="C3163" s="65" t="s">
        <v>942</v>
      </c>
    </row>
    <row r="3164" spans="1:3" hidden="1">
      <c r="A3164" s="65">
        <v>9004831</v>
      </c>
      <c r="B3164" s="65" t="s">
        <v>3832</v>
      </c>
      <c r="C3164" s="65" t="s">
        <v>942</v>
      </c>
    </row>
    <row r="3165" spans="1:3" hidden="1">
      <c r="A3165" s="65">
        <v>9004832</v>
      </c>
      <c r="B3165" s="65" t="s">
        <v>3833</v>
      </c>
      <c r="C3165" s="65" t="s">
        <v>942</v>
      </c>
    </row>
    <row r="3166" spans="1:3" hidden="1">
      <c r="A3166" s="65">
        <v>9004833</v>
      </c>
      <c r="B3166" s="65" t="s">
        <v>3834</v>
      </c>
      <c r="C3166" s="65" t="s">
        <v>942</v>
      </c>
    </row>
    <row r="3167" spans="1:3" hidden="1">
      <c r="A3167" s="65">
        <v>9004834</v>
      </c>
      <c r="B3167" s="65" t="s">
        <v>3835</v>
      </c>
      <c r="C3167" s="65" t="s">
        <v>942</v>
      </c>
    </row>
    <row r="3168" spans="1:3" hidden="1">
      <c r="A3168" s="65">
        <v>9004835</v>
      </c>
      <c r="B3168" s="65" t="s">
        <v>3836</v>
      </c>
      <c r="C3168" s="65" t="s">
        <v>942</v>
      </c>
    </row>
    <row r="3169" spans="1:3" hidden="1">
      <c r="A3169" s="65">
        <v>9004836</v>
      </c>
      <c r="B3169" s="65" t="s">
        <v>3837</v>
      </c>
      <c r="C3169" s="65" t="s">
        <v>942</v>
      </c>
    </row>
    <row r="3170" spans="1:3" hidden="1">
      <c r="A3170" s="65">
        <v>9004837</v>
      </c>
      <c r="B3170" s="65" t="s">
        <v>3838</v>
      </c>
      <c r="C3170" s="65" t="s">
        <v>942</v>
      </c>
    </row>
    <row r="3171" spans="1:3" hidden="1">
      <c r="A3171" s="65">
        <v>9004838</v>
      </c>
      <c r="B3171" s="65" t="s">
        <v>3839</v>
      </c>
      <c r="C3171" s="65" t="s">
        <v>942</v>
      </c>
    </row>
    <row r="3172" spans="1:3" hidden="1">
      <c r="A3172" s="65">
        <v>9004839</v>
      </c>
      <c r="B3172" s="65" t="s">
        <v>3840</v>
      </c>
      <c r="C3172" s="65" t="s">
        <v>942</v>
      </c>
    </row>
    <row r="3173" spans="1:3" hidden="1">
      <c r="A3173" s="65">
        <v>9004840</v>
      </c>
      <c r="B3173" s="65" t="s">
        <v>3841</v>
      </c>
      <c r="C3173" s="65" t="s">
        <v>942</v>
      </c>
    </row>
    <row r="3174" spans="1:3" hidden="1">
      <c r="A3174" s="65">
        <v>9004841</v>
      </c>
      <c r="B3174" s="65" t="s">
        <v>3842</v>
      </c>
      <c r="C3174" s="65" t="s">
        <v>942</v>
      </c>
    </row>
    <row r="3175" spans="1:3" hidden="1">
      <c r="A3175" s="65">
        <v>9004842</v>
      </c>
      <c r="B3175" s="65" t="s">
        <v>3843</v>
      </c>
      <c r="C3175" s="65" t="s">
        <v>942</v>
      </c>
    </row>
    <row r="3176" spans="1:3" hidden="1">
      <c r="A3176" s="65">
        <v>9004843</v>
      </c>
      <c r="B3176" s="65" t="s">
        <v>3844</v>
      </c>
      <c r="C3176" s="65" t="s">
        <v>942</v>
      </c>
    </row>
    <row r="3177" spans="1:3" hidden="1">
      <c r="A3177" s="65">
        <v>9004844</v>
      </c>
      <c r="B3177" s="65" t="s">
        <v>3845</v>
      </c>
      <c r="C3177" s="65" t="s">
        <v>942</v>
      </c>
    </row>
    <row r="3178" spans="1:3" hidden="1">
      <c r="A3178" s="65">
        <v>9004845</v>
      </c>
      <c r="B3178" s="65" t="s">
        <v>3846</v>
      </c>
      <c r="C3178" s="65" t="s">
        <v>942</v>
      </c>
    </row>
    <row r="3179" spans="1:3" hidden="1">
      <c r="A3179" s="65">
        <v>9004846</v>
      </c>
      <c r="B3179" s="65" t="s">
        <v>3847</v>
      </c>
      <c r="C3179" s="65" t="s">
        <v>942</v>
      </c>
    </row>
    <row r="3180" spans="1:3" hidden="1">
      <c r="A3180" s="65">
        <v>9004847</v>
      </c>
      <c r="B3180" s="65" t="s">
        <v>3848</v>
      </c>
      <c r="C3180" s="65" t="s">
        <v>942</v>
      </c>
    </row>
    <row r="3181" spans="1:3" hidden="1">
      <c r="A3181" s="65">
        <v>9004848</v>
      </c>
      <c r="B3181" s="65" t="s">
        <v>3849</v>
      </c>
      <c r="C3181" s="65" t="s">
        <v>942</v>
      </c>
    </row>
    <row r="3182" spans="1:3" hidden="1">
      <c r="A3182" s="65">
        <v>9004849</v>
      </c>
      <c r="B3182" s="65" t="s">
        <v>3850</v>
      </c>
      <c r="C3182" s="65" t="s">
        <v>942</v>
      </c>
    </row>
    <row r="3183" spans="1:3" hidden="1">
      <c r="A3183" s="65">
        <v>9004850</v>
      </c>
      <c r="B3183" s="65" t="s">
        <v>3851</v>
      </c>
      <c r="C3183" s="65" t="s">
        <v>942</v>
      </c>
    </row>
    <row r="3184" spans="1:3" hidden="1">
      <c r="A3184" s="65">
        <v>9004851</v>
      </c>
      <c r="B3184" s="65" t="s">
        <v>3852</v>
      </c>
      <c r="C3184" s="65" t="s">
        <v>942</v>
      </c>
    </row>
    <row r="3185" spans="1:3" hidden="1">
      <c r="A3185" s="65">
        <v>9004852</v>
      </c>
      <c r="B3185" s="65" t="s">
        <v>3853</v>
      </c>
      <c r="C3185" s="65" t="s">
        <v>942</v>
      </c>
    </row>
    <row r="3186" spans="1:3" hidden="1">
      <c r="A3186" s="65">
        <v>9004853</v>
      </c>
      <c r="B3186" s="65" t="s">
        <v>3854</v>
      </c>
      <c r="C3186" s="65" t="s">
        <v>942</v>
      </c>
    </row>
    <row r="3187" spans="1:3" hidden="1">
      <c r="A3187" s="65">
        <v>9004854</v>
      </c>
      <c r="B3187" s="65" t="s">
        <v>3855</v>
      </c>
      <c r="C3187" s="65" t="s">
        <v>942</v>
      </c>
    </row>
    <row r="3188" spans="1:3" hidden="1">
      <c r="A3188" s="65">
        <v>9004855</v>
      </c>
      <c r="B3188" s="65" t="s">
        <v>3856</v>
      </c>
      <c r="C3188" s="65" t="s">
        <v>942</v>
      </c>
    </row>
    <row r="3189" spans="1:3" hidden="1">
      <c r="A3189" s="65">
        <v>9004856</v>
      </c>
      <c r="B3189" s="65" t="s">
        <v>3857</v>
      </c>
      <c r="C3189" s="65" t="s">
        <v>942</v>
      </c>
    </row>
    <row r="3190" spans="1:3" hidden="1">
      <c r="A3190" s="65">
        <v>9004857</v>
      </c>
      <c r="B3190" s="65" t="s">
        <v>3858</v>
      </c>
      <c r="C3190" s="65" t="s">
        <v>942</v>
      </c>
    </row>
    <row r="3191" spans="1:3" hidden="1">
      <c r="A3191" s="65">
        <v>9004858</v>
      </c>
      <c r="B3191" s="65" t="s">
        <v>3859</v>
      </c>
      <c r="C3191" s="65" t="s">
        <v>942</v>
      </c>
    </row>
    <row r="3192" spans="1:3" hidden="1">
      <c r="A3192" s="65">
        <v>9004859</v>
      </c>
      <c r="B3192" s="65" t="s">
        <v>3860</v>
      </c>
      <c r="C3192" s="65" t="s">
        <v>942</v>
      </c>
    </row>
    <row r="3193" spans="1:3" hidden="1">
      <c r="A3193" s="65">
        <v>9004860</v>
      </c>
      <c r="B3193" s="65" t="s">
        <v>3861</v>
      </c>
      <c r="C3193" s="65" t="s">
        <v>942</v>
      </c>
    </row>
    <row r="3194" spans="1:3" hidden="1">
      <c r="A3194" s="65">
        <v>9004861</v>
      </c>
      <c r="B3194" s="65" t="s">
        <v>3862</v>
      </c>
      <c r="C3194" s="65" t="s">
        <v>942</v>
      </c>
    </row>
    <row r="3195" spans="1:3" hidden="1">
      <c r="A3195" s="65">
        <v>9004862</v>
      </c>
      <c r="B3195" s="65" t="s">
        <v>3863</v>
      </c>
      <c r="C3195" s="65" t="s">
        <v>942</v>
      </c>
    </row>
    <row r="3196" spans="1:3" hidden="1">
      <c r="A3196" s="65">
        <v>9004863</v>
      </c>
      <c r="B3196" s="65" t="s">
        <v>3864</v>
      </c>
      <c r="C3196" s="65" t="s">
        <v>942</v>
      </c>
    </row>
    <row r="3197" spans="1:3" hidden="1">
      <c r="A3197" s="65">
        <v>9004864</v>
      </c>
      <c r="B3197" s="65" t="s">
        <v>3865</v>
      </c>
      <c r="C3197" s="65" t="s">
        <v>942</v>
      </c>
    </row>
    <row r="3198" spans="1:3" hidden="1">
      <c r="A3198" s="65">
        <v>9004865</v>
      </c>
      <c r="B3198" s="65" t="s">
        <v>3866</v>
      </c>
      <c r="C3198" s="65" t="s">
        <v>942</v>
      </c>
    </row>
    <row r="3199" spans="1:3" hidden="1">
      <c r="A3199" s="65">
        <v>9004866</v>
      </c>
      <c r="B3199" s="65" t="s">
        <v>3867</v>
      </c>
      <c r="C3199" s="65" t="s">
        <v>942</v>
      </c>
    </row>
    <row r="3200" spans="1:3" hidden="1">
      <c r="A3200" s="65">
        <v>9004867</v>
      </c>
      <c r="B3200" s="65" t="s">
        <v>3868</v>
      </c>
      <c r="C3200" s="65" t="s">
        <v>942</v>
      </c>
    </row>
    <row r="3201" spans="1:3" hidden="1">
      <c r="A3201" s="65">
        <v>9004868</v>
      </c>
      <c r="B3201" s="65" t="s">
        <v>3869</v>
      </c>
      <c r="C3201" s="65" t="s">
        <v>942</v>
      </c>
    </row>
    <row r="3202" spans="1:3" hidden="1">
      <c r="A3202" s="65">
        <v>9004869</v>
      </c>
      <c r="B3202" s="65" t="s">
        <v>3870</v>
      </c>
      <c r="C3202" s="65" t="s">
        <v>942</v>
      </c>
    </row>
    <row r="3203" spans="1:3" hidden="1">
      <c r="A3203" s="65">
        <v>9004870</v>
      </c>
      <c r="B3203" s="65" t="s">
        <v>3871</v>
      </c>
      <c r="C3203" s="65" t="s">
        <v>942</v>
      </c>
    </row>
    <row r="3204" spans="1:3" hidden="1">
      <c r="A3204" s="65">
        <v>9004871</v>
      </c>
      <c r="B3204" s="65" t="s">
        <v>3872</v>
      </c>
      <c r="C3204" s="65" t="s">
        <v>942</v>
      </c>
    </row>
    <row r="3205" spans="1:3" hidden="1">
      <c r="A3205" s="65">
        <v>9004872</v>
      </c>
      <c r="B3205" s="65" t="s">
        <v>3873</v>
      </c>
      <c r="C3205" s="65" t="s">
        <v>942</v>
      </c>
    </row>
    <row r="3206" spans="1:3" hidden="1">
      <c r="A3206" s="65">
        <v>9004873</v>
      </c>
      <c r="B3206" s="65" t="s">
        <v>3874</v>
      </c>
      <c r="C3206" s="65" t="s">
        <v>942</v>
      </c>
    </row>
    <row r="3207" spans="1:3" hidden="1">
      <c r="A3207" s="65">
        <v>9004874</v>
      </c>
      <c r="B3207" s="65" t="s">
        <v>3875</v>
      </c>
      <c r="C3207" s="65" t="s">
        <v>942</v>
      </c>
    </row>
    <row r="3208" spans="1:3" hidden="1">
      <c r="A3208" s="65">
        <v>9004875</v>
      </c>
      <c r="B3208" s="65" t="s">
        <v>3876</v>
      </c>
      <c r="C3208" s="65" t="s">
        <v>942</v>
      </c>
    </row>
    <row r="3209" spans="1:3" hidden="1">
      <c r="A3209" s="65">
        <v>9004876</v>
      </c>
      <c r="B3209" s="65" t="s">
        <v>3877</v>
      </c>
      <c r="C3209" s="65" t="s">
        <v>942</v>
      </c>
    </row>
    <row r="3210" spans="1:3" hidden="1">
      <c r="A3210" s="65">
        <v>9004877</v>
      </c>
      <c r="B3210" s="65" t="s">
        <v>3878</v>
      </c>
      <c r="C3210" s="65" t="s">
        <v>942</v>
      </c>
    </row>
    <row r="3211" spans="1:3" hidden="1">
      <c r="A3211" s="65">
        <v>9004878</v>
      </c>
      <c r="B3211" s="65" t="s">
        <v>3879</v>
      </c>
      <c r="C3211" s="65" t="s">
        <v>942</v>
      </c>
    </row>
    <row r="3212" spans="1:3" hidden="1">
      <c r="A3212" s="65">
        <v>9004879</v>
      </c>
      <c r="B3212" s="65" t="s">
        <v>3880</v>
      </c>
      <c r="C3212" s="65" t="s">
        <v>942</v>
      </c>
    </row>
    <row r="3213" spans="1:3" hidden="1">
      <c r="A3213" s="65">
        <v>9004880</v>
      </c>
      <c r="B3213" s="65" t="s">
        <v>3881</v>
      </c>
      <c r="C3213" s="65" t="s">
        <v>942</v>
      </c>
    </row>
    <row r="3214" spans="1:3" hidden="1">
      <c r="A3214" s="65">
        <v>9004881</v>
      </c>
      <c r="B3214" s="65" t="s">
        <v>3882</v>
      </c>
      <c r="C3214" s="65" t="s">
        <v>942</v>
      </c>
    </row>
    <row r="3215" spans="1:3" hidden="1">
      <c r="A3215" s="65">
        <v>9004882</v>
      </c>
      <c r="B3215" s="65" t="s">
        <v>3883</v>
      </c>
      <c r="C3215" s="65" t="s">
        <v>942</v>
      </c>
    </row>
    <row r="3216" spans="1:3" hidden="1">
      <c r="A3216" s="65">
        <v>9004883</v>
      </c>
      <c r="B3216" s="65" t="s">
        <v>3884</v>
      </c>
      <c r="C3216" s="65" t="s">
        <v>942</v>
      </c>
    </row>
    <row r="3217" spans="1:3" hidden="1">
      <c r="A3217" s="65">
        <v>9004884</v>
      </c>
      <c r="B3217" s="65" t="s">
        <v>3885</v>
      </c>
      <c r="C3217" s="65" t="s">
        <v>942</v>
      </c>
    </row>
    <row r="3218" spans="1:3" hidden="1">
      <c r="A3218" s="65">
        <v>9004885</v>
      </c>
      <c r="B3218" s="65" t="s">
        <v>3886</v>
      </c>
      <c r="C3218" s="65" t="s">
        <v>942</v>
      </c>
    </row>
    <row r="3219" spans="1:3" hidden="1">
      <c r="A3219" s="65">
        <v>9004886</v>
      </c>
      <c r="B3219" s="65" t="s">
        <v>3887</v>
      </c>
      <c r="C3219" s="65" t="s">
        <v>942</v>
      </c>
    </row>
    <row r="3220" spans="1:3" hidden="1">
      <c r="A3220" s="65">
        <v>9004887</v>
      </c>
      <c r="B3220" s="65" t="s">
        <v>3888</v>
      </c>
      <c r="C3220" s="65" t="s">
        <v>942</v>
      </c>
    </row>
    <row r="3221" spans="1:3" hidden="1">
      <c r="A3221" s="65">
        <v>9004888</v>
      </c>
      <c r="B3221" s="65" t="s">
        <v>3889</v>
      </c>
      <c r="C3221" s="65" t="s">
        <v>942</v>
      </c>
    </row>
    <row r="3222" spans="1:3" hidden="1">
      <c r="A3222" s="65">
        <v>9004889</v>
      </c>
      <c r="B3222" s="65" t="s">
        <v>3890</v>
      </c>
      <c r="C3222" s="65" t="s">
        <v>942</v>
      </c>
    </row>
    <row r="3223" spans="1:3" hidden="1">
      <c r="A3223" s="65">
        <v>9004890</v>
      </c>
      <c r="B3223" s="65" t="s">
        <v>3891</v>
      </c>
      <c r="C3223" s="65" t="s">
        <v>942</v>
      </c>
    </row>
    <row r="3224" spans="1:3" hidden="1">
      <c r="A3224" s="65">
        <v>9004891</v>
      </c>
      <c r="B3224" s="65" t="s">
        <v>3892</v>
      </c>
      <c r="C3224" s="65" t="s">
        <v>942</v>
      </c>
    </row>
    <row r="3225" spans="1:3" hidden="1">
      <c r="A3225" s="65">
        <v>9004892</v>
      </c>
      <c r="B3225" s="65" t="s">
        <v>3893</v>
      </c>
      <c r="C3225" s="65" t="s">
        <v>942</v>
      </c>
    </row>
    <row r="3226" spans="1:3" hidden="1">
      <c r="A3226" s="65">
        <v>9004893</v>
      </c>
      <c r="B3226" s="65" t="s">
        <v>3894</v>
      </c>
      <c r="C3226" s="65" t="s">
        <v>942</v>
      </c>
    </row>
    <row r="3227" spans="1:3" hidden="1">
      <c r="A3227" s="65">
        <v>9004894</v>
      </c>
      <c r="B3227" s="65" t="s">
        <v>3895</v>
      </c>
      <c r="C3227" s="65" t="s">
        <v>942</v>
      </c>
    </row>
    <row r="3228" spans="1:3" hidden="1">
      <c r="A3228" s="65">
        <v>9004895</v>
      </c>
      <c r="B3228" s="65" t="s">
        <v>3896</v>
      </c>
      <c r="C3228" s="65" t="s">
        <v>942</v>
      </c>
    </row>
    <row r="3229" spans="1:3" hidden="1">
      <c r="A3229" s="65">
        <v>9004896</v>
      </c>
      <c r="B3229" s="65" t="s">
        <v>3897</v>
      </c>
      <c r="C3229" s="65" t="s">
        <v>942</v>
      </c>
    </row>
    <row r="3230" spans="1:3" hidden="1">
      <c r="A3230" s="65">
        <v>9004897</v>
      </c>
      <c r="B3230" s="65" t="s">
        <v>3898</v>
      </c>
      <c r="C3230" s="65" t="s">
        <v>942</v>
      </c>
    </row>
    <row r="3231" spans="1:3" hidden="1">
      <c r="A3231" s="65">
        <v>9004898</v>
      </c>
      <c r="B3231" s="65" t="s">
        <v>3899</v>
      </c>
      <c r="C3231" s="65" t="s">
        <v>942</v>
      </c>
    </row>
    <row r="3232" spans="1:3" hidden="1">
      <c r="A3232" s="65">
        <v>9004899</v>
      </c>
      <c r="B3232" s="65" t="s">
        <v>3868</v>
      </c>
      <c r="C3232" s="65" t="s">
        <v>942</v>
      </c>
    </row>
    <row r="3233" spans="1:3" hidden="1">
      <c r="A3233" s="65">
        <v>9004900</v>
      </c>
      <c r="B3233" s="65" t="s">
        <v>3877</v>
      </c>
      <c r="C3233" s="65" t="s">
        <v>942</v>
      </c>
    </row>
    <row r="3234" spans="1:3" hidden="1">
      <c r="A3234" s="65">
        <v>9004901</v>
      </c>
      <c r="B3234" s="65" t="s">
        <v>3878</v>
      </c>
      <c r="C3234" s="65" t="s">
        <v>942</v>
      </c>
    </row>
    <row r="3235" spans="1:3" hidden="1">
      <c r="A3235" s="65">
        <v>9004902</v>
      </c>
      <c r="B3235" s="65" t="s">
        <v>3900</v>
      </c>
      <c r="C3235" s="65" t="s">
        <v>942</v>
      </c>
    </row>
    <row r="3236" spans="1:3" hidden="1">
      <c r="A3236" s="65">
        <v>9004903</v>
      </c>
      <c r="B3236" s="65" t="s">
        <v>3869</v>
      </c>
      <c r="C3236" s="65" t="s">
        <v>942</v>
      </c>
    </row>
    <row r="3237" spans="1:3" hidden="1">
      <c r="A3237" s="65">
        <v>9004904</v>
      </c>
      <c r="B3237" s="65" t="s">
        <v>3901</v>
      </c>
      <c r="C3237" s="65" t="s">
        <v>942</v>
      </c>
    </row>
    <row r="3238" spans="1:3" hidden="1">
      <c r="A3238" s="65">
        <v>9004905</v>
      </c>
      <c r="B3238" s="65" t="s">
        <v>3902</v>
      </c>
      <c r="C3238" s="65" t="s">
        <v>942</v>
      </c>
    </row>
    <row r="3239" spans="1:3" hidden="1">
      <c r="A3239" s="65">
        <v>9004906</v>
      </c>
      <c r="B3239" s="65" t="s">
        <v>3870</v>
      </c>
      <c r="C3239" s="65" t="s">
        <v>942</v>
      </c>
    </row>
    <row r="3240" spans="1:3" hidden="1">
      <c r="A3240" s="65">
        <v>9004907</v>
      </c>
      <c r="B3240" s="65" t="s">
        <v>3903</v>
      </c>
      <c r="C3240" s="65" t="s">
        <v>942</v>
      </c>
    </row>
    <row r="3241" spans="1:3" hidden="1">
      <c r="A3241" s="65">
        <v>9004908</v>
      </c>
      <c r="B3241" s="65" t="s">
        <v>3637</v>
      </c>
      <c r="C3241" s="65" t="s">
        <v>942</v>
      </c>
    </row>
    <row r="3242" spans="1:3" hidden="1">
      <c r="A3242" s="65">
        <v>9004909</v>
      </c>
      <c r="B3242" s="65" t="s">
        <v>3871</v>
      </c>
      <c r="C3242" s="65" t="s">
        <v>942</v>
      </c>
    </row>
    <row r="3243" spans="1:3" hidden="1">
      <c r="A3243" s="65">
        <v>9004910</v>
      </c>
      <c r="B3243" s="65" t="s">
        <v>3872</v>
      </c>
      <c r="C3243" s="65" t="s">
        <v>942</v>
      </c>
    </row>
    <row r="3244" spans="1:3" hidden="1">
      <c r="A3244" s="65">
        <v>9004911</v>
      </c>
      <c r="B3244" s="65" t="s">
        <v>3873</v>
      </c>
      <c r="C3244" s="65" t="s">
        <v>942</v>
      </c>
    </row>
    <row r="3245" spans="1:3" hidden="1">
      <c r="A3245" s="65">
        <v>9004912</v>
      </c>
      <c r="B3245" s="65" t="s">
        <v>3884</v>
      </c>
      <c r="C3245" s="65" t="s">
        <v>942</v>
      </c>
    </row>
    <row r="3246" spans="1:3" hidden="1">
      <c r="A3246" s="65">
        <v>9004913</v>
      </c>
      <c r="B3246" s="65" t="s">
        <v>3874</v>
      </c>
      <c r="C3246" s="65" t="s">
        <v>942</v>
      </c>
    </row>
    <row r="3247" spans="1:3" hidden="1">
      <c r="A3247" s="65">
        <v>9004914</v>
      </c>
      <c r="B3247" s="65" t="s">
        <v>3883</v>
      </c>
      <c r="C3247" s="65" t="s">
        <v>942</v>
      </c>
    </row>
    <row r="3248" spans="1:3" hidden="1">
      <c r="A3248" s="65">
        <v>9004915</v>
      </c>
      <c r="B3248" s="65" t="s">
        <v>3849</v>
      </c>
      <c r="C3248" s="65" t="s">
        <v>942</v>
      </c>
    </row>
    <row r="3249" spans="1:3" hidden="1">
      <c r="A3249" s="65">
        <v>9004916</v>
      </c>
      <c r="B3249" s="65" t="s">
        <v>3904</v>
      </c>
      <c r="C3249" s="65" t="s">
        <v>942</v>
      </c>
    </row>
    <row r="3250" spans="1:3" hidden="1">
      <c r="A3250" s="65">
        <v>9004917</v>
      </c>
      <c r="B3250" s="65" t="s">
        <v>3905</v>
      </c>
      <c r="C3250" s="65" t="s">
        <v>793</v>
      </c>
    </row>
    <row r="3251" spans="1:3" hidden="1">
      <c r="A3251" s="65">
        <v>9004918</v>
      </c>
      <c r="B3251" s="65" t="s">
        <v>3906</v>
      </c>
      <c r="C3251" s="65" t="s">
        <v>805</v>
      </c>
    </row>
    <row r="3252" spans="1:3" hidden="1">
      <c r="A3252" s="65">
        <v>9004919</v>
      </c>
      <c r="B3252" s="65" t="s">
        <v>3907</v>
      </c>
      <c r="C3252" s="65" t="s">
        <v>751</v>
      </c>
    </row>
    <row r="3253" spans="1:3" hidden="1">
      <c r="A3253" s="65">
        <v>9004920</v>
      </c>
      <c r="B3253" s="65" t="s">
        <v>3908</v>
      </c>
      <c r="C3253" s="65" t="s">
        <v>751</v>
      </c>
    </row>
    <row r="3254" spans="1:3" hidden="1">
      <c r="A3254" s="65">
        <v>9004921</v>
      </c>
      <c r="B3254" s="65" t="s">
        <v>3909</v>
      </c>
      <c r="C3254" s="65" t="s">
        <v>751</v>
      </c>
    </row>
    <row r="3255" spans="1:3" hidden="1">
      <c r="A3255" s="65">
        <v>9004922</v>
      </c>
      <c r="B3255" s="65" t="s">
        <v>3910</v>
      </c>
      <c r="C3255" s="65" t="s">
        <v>751</v>
      </c>
    </row>
    <row r="3256" spans="1:3" hidden="1">
      <c r="A3256" s="65">
        <v>9004923</v>
      </c>
      <c r="B3256" s="65" t="s">
        <v>3911</v>
      </c>
      <c r="C3256" s="65" t="s">
        <v>751</v>
      </c>
    </row>
    <row r="3257" spans="1:3" hidden="1">
      <c r="A3257" s="65">
        <v>9004924</v>
      </c>
      <c r="B3257" s="65" t="s">
        <v>3912</v>
      </c>
      <c r="C3257" s="65" t="s">
        <v>751</v>
      </c>
    </row>
    <row r="3258" spans="1:3" hidden="1">
      <c r="A3258" s="65">
        <v>9004925</v>
      </c>
      <c r="B3258" s="65" t="s">
        <v>3913</v>
      </c>
      <c r="C3258" s="65" t="s">
        <v>751</v>
      </c>
    </row>
    <row r="3259" spans="1:3" hidden="1">
      <c r="A3259" s="65">
        <v>9004926</v>
      </c>
      <c r="B3259" s="65" t="s">
        <v>3914</v>
      </c>
      <c r="C3259" s="65" t="s">
        <v>1181</v>
      </c>
    </row>
    <row r="3260" spans="1:3" hidden="1">
      <c r="A3260" s="65">
        <v>9004927</v>
      </c>
      <c r="B3260" s="65" t="s">
        <v>3915</v>
      </c>
      <c r="C3260" s="65" t="s">
        <v>1181</v>
      </c>
    </row>
    <row r="3261" spans="1:3" hidden="1">
      <c r="A3261" s="65">
        <v>9004928</v>
      </c>
      <c r="B3261" s="65" t="s">
        <v>3916</v>
      </c>
      <c r="C3261" s="65" t="s">
        <v>1181</v>
      </c>
    </row>
    <row r="3262" spans="1:3" hidden="1">
      <c r="A3262" s="65">
        <v>9004929</v>
      </c>
      <c r="B3262" s="65" t="s">
        <v>3917</v>
      </c>
      <c r="C3262" s="65" t="s">
        <v>1181</v>
      </c>
    </row>
    <row r="3263" spans="1:3" hidden="1">
      <c r="A3263" s="65">
        <v>9004930</v>
      </c>
      <c r="B3263" s="65" t="s">
        <v>3918</v>
      </c>
      <c r="C3263" s="65" t="s">
        <v>809</v>
      </c>
    </row>
    <row r="3264" spans="1:3" hidden="1">
      <c r="A3264" s="65">
        <v>9004931</v>
      </c>
      <c r="B3264" s="65" t="s">
        <v>3919</v>
      </c>
      <c r="C3264" s="65" t="s">
        <v>1181</v>
      </c>
    </row>
    <row r="3265" spans="1:3" hidden="1">
      <c r="A3265" s="65">
        <v>9004932</v>
      </c>
      <c r="B3265" s="65" t="s">
        <v>3920</v>
      </c>
      <c r="C3265" s="65" t="s">
        <v>942</v>
      </c>
    </row>
    <row r="3266" spans="1:3" hidden="1">
      <c r="A3266" s="65">
        <v>9004933</v>
      </c>
      <c r="B3266" s="65" t="s">
        <v>3921</v>
      </c>
      <c r="C3266" s="65" t="s">
        <v>942</v>
      </c>
    </row>
    <row r="3267" spans="1:3" hidden="1">
      <c r="A3267" s="65">
        <v>9004934</v>
      </c>
      <c r="B3267" s="65" t="s">
        <v>3922</v>
      </c>
      <c r="C3267" s="65" t="s">
        <v>942</v>
      </c>
    </row>
    <row r="3268" spans="1:3" hidden="1">
      <c r="A3268" s="65">
        <v>9004935</v>
      </c>
      <c r="B3268" s="65" t="s">
        <v>3923</v>
      </c>
      <c r="C3268" s="65" t="s">
        <v>942</v>
      </c>
    </row>
    <row r="3269" spans="1:3" hidden="1">
      <c r="A3269" s="65">
        <v>9004936</v>
      </c>
      <c r="B3269" s="65" t="s">
        <v>3924</v>
      </c>
      <c r="C3269" s="65" t="s">
        <v>942</v>
      </c>
    </row>
    <row r="3270" spans="1:3" hidden="1">
      <c r="A3270" s="65">
        <v>9004937</v>
      </c>
      <c r="B3270" s="65" t="s">
        <v>3920</v>
      </c>
      <c r="C3270" s="65" t="s">
        <v>942</v>
      </c>
    </row>
    <row r="3271" spans="1:3" hidden="1">
      <c r="A3271" s="65">
        <v>9004938</v>
      </c>
      <c r="B3271" s="65" t="s">
        <v>3921</v>
      </c>
      <c r="C3271" s="65" t="s">
        <v>942</v>
      </c>
    </row>
    <row r="3272" spans="1:3" hidden="1">
      <c r="A3272" s="65">
        <v>9004939</v>
      </c>
      <c r="B3272" s="65" t="s">
        <v>3925</v>
      </c>
      <c r="C3272" s="65" t="s">
        <v>850</v>
      </c>
    </row>
    <row r="3273" spans="1:3" hidden="1">
      <c r="A3273" s="65">
        <v>9004940</v>
      </c>
      <c r="B3273" s="65" t="s">
        <v>3926</v>
      </c>
      <c r="C3273" s="65" t="s">
        <v>850</v>
      </c>
    </row>
    <row r="3274" spans="1:3" hidden="1">
      <c r="A3274" s="65">
        <v>9004941</v>
      </c>
      <c r="B3274" s="65" t="s">
        <v>3927</v>
      </c>
      <c r="C3274" s="65" t="s">
        <v>942</v>
      </c>
    </row>
    <row r="3275" spans="1:3" hidden="1">
      <c r="A3275" s="65">
        <v>9004942</v>
      </c>
      <c r="B3275" s="65" t="s">
        <v>3928</v>
      </c>
      <c r="C3275" s="65" t="s">
        <v>807</v>
      </c>
    </row>
    <row r="3276" spans="1:3" hidden="1">
      <c r="A3276" s="65">
        <v>9004943</v>
      </c>
      <c r="B3276" s="65" t="s">
        <v>3929</v>
      </c>
      <c r="C3276" s="65" t="s">
        <v>807</v>
      </c>
    </row>
    <row r="3277" spans="1:3" hidden="1">
      <c r="A3277" s="65">
        <v>9004944</v>
      </c>
      <c r="B3277" s="65" t="s">
        <v>3930</v>
      </c>
      <c r="C3277" s="65" t="s">
        <v>738</v>
      </c>
    </row>
    <row r="3278" spans="1:3" hidden="1">
      <c r="A3278" s="65">
        <v>9004945</v>
      </c>
      <c r="B3278" s="65" t="s">
        <v>3931</v>
      </c>
      <c r="C3278" s="65" t="s">
        <v>807</v>
      </c>
    </row>
    <row r="3279" spans="1:3" hidden="1">
      <c r="A3279" s="65">
        <v>9004946</v>
      </c>
      <c r="B3279" s="65" t="s">
        <v>3932</v>
      </c>
      <c r="C3279" s="65" t="s">
        <v>738</v>
      </c>
    </row>
    <row r="3280" spans="1:3" hidden="1">
      <c r="A3280" s="65">
        <v>9004947</v>
      </c>
      <c r="B3280" s="65" t="s">
        <v>3933</v>
      </c>
      <c r="C3280" s="65" t="s">
        <v>807</v>
      </c>
    </row>
    <row r="3281" spans="1:3" hidden="1">
      <c r="A3281" s="65">
        <v>9004948</v>
      </c>
      <c r="B3281" s="65" t="s">
        <v>3934</v>
      </c>
      <c r="C3281" s="65" t="s">
        <v>807</v>
      </c>
    </row>
    <row r="3282" spans="1:3" hidden="1">
      <c r="A3282" s="65">
        <v>9004949</v>
      </c>
      <c r="B3282" s="65" t="s">
        <v>3935</v>
      </c>
      <c r="C3282" s="65" t="s">
        <v>942</v>
      </c>
    </row>
    <row r="3283" spans="1:3" hidden="1">
      <c r="A3283" s="65">
        <v>9004950</v>
      </c>
      <c r="B3283" s="65" t="s">
        <v>3936</v>
      </c>
      <c r="C3283" s="65" t="s">
        <v>942</v>
      </c>
    </row>
    <row r="3284" spans="1:3" hidden="1">
      <c r="A3284" s="65">
        <v>9004951</v>
      </c>
      <c r="B3284" s="65" t="s">
        <v>3937</v>
      </c>
      <c r="C3284" s="65" t="s">
        <v>942</v>
      </c>
    </row>
    <row r="3285" spans="1:3" hidden="1">
      <c r="A3285" s="65">
        <v>9004952</v>
      </c>
      <c r="B3285" s="65" t="s">
        <v>3938</v>
      </c>
      <c r="C3285" s="65" t="s">
        <v>942</v>
      </c>
    </row>
    <row r="3286" spans="1:3" hidden="1">
      <c r="A3286" s="65">
        <v>9004953</v>
      </c>
      <c r="B3286" s="65" t="s">
        <v>3939</v>
      </c>
      <c r="C3286" s="65" t="s">
        <v>942</v>
      </c>
    </row>
    <row r="3287" spans="1:3" hidden="1">
      <c r="A3287" s="65">
        <v>9004954</v>
      </c>
      <c r="B3287" s="65" t="s">
        <v>3940</v>
      </c>
      <c r="C3287" s="65" t="s">
        <v>942</v>
      </c>
    </row>
    <row r="3288" spans="1:3" hidden="1">
      <c r="A3288" s="65">
        <v>9004955</v>
      </c>
      <c r="B3288" s="65" t="s">
        <v>3941</v>
      </c>
      <c r="C3288" s="65" t="s">
        <v>942</v>
      </c>
    </row>
    <row r="3289" spans="1:3" hidden="1">
      <c r="A3289" s="65">
        <v>9004956</v>
      </c>
      <c r="B3289" s="65" t="s">
        <v>3942</v>
      </c>
      <c r="C3289" s="65" t="s">
        <v>942</v>
      </c>
    </row>
    <row r="3290" spans="1:3" hidden="1">
      <c r="A3290" s="65">
        <v>9004957</v>
      </c>
      <c r="B3290" s="65" t="s">
        <v>3943</v>
      </c>
      <c r="C3290" s="65" t="s">
        <v>942</v>
      </c>
    </row>
    <row r="3291" spans="1:3" hidden="1">
      <c r="A3291" s="65">
        <v>9004958</v>
      </c>
      <c r="B3291" s="65" t="s">
        <v>3944</v>
      </c>
      <c r="C3291" s="65" t="s">
        <v>942</v>
      </c>
    </row>
    <row r="3292" spans="1:3" hidden="1">
      <c r="A3292" s="65">
        <v>9004959</v>
      </c>
      <c r="B3292" s="65" t="s">
        <v>3945</v>
      </c>
      <c r="C3292" s="65" t="s">
        <v>807</v>
      </c>
    </row>
    <row r="3293" spans="1:3" hidden="1">
      <c r="A3293" s="65">
        <v>9004960</v>
      </c>
      <c r="B3293" s="65" t="s">
        <v>3946</v>
      </c>
      <c r="C3293" s="65" t="s">
        <v>807</v>
      </c>
    </row>
    <row r="3294" spans="1:3" hidden="1">
      <c r="A3294" s="65">
        <v>9004961</v>
      </c>
      <c r="B3294" s="65" t="s">
        <v>3947</v>
      </c>
      <c r="C3294" s="65" t="s">
        <v>807</v>
      </c>
    </row>
    <row r="3295" spans="1:3" hidden="1">
      <c r="A3295" s="65">
        <v>9004962</v>
      </c>
      <c r="B3295" s="65" t="s">
        <v>3948</v>
      </c>
      <c r="C3295" s="65" t="s">
        <v>1181</v>
      </c>
    </row>
    <row r="3296" spans="1:3" hidden="1">
      <c r="A3296" s="65">
        <v>9004963</v>
      </c>
      <c r="B3296" s="65" t="s">
        <v>3949</v>
      </c>
      <c r="C3296" s="65" t="s">
        <v>1181</v>
      </c>
    </row>
    <row r="3297" spans="1:3" hidden="1">
      <c r="A3297" s="65">
        <v>9004964</v>
      </c>
      <c r="B3297" s="65" t="s">
        <v>3950</v>
      </c>
      <c r="C3297" s="65" t="s">
        <v>850</v>
      </c>
    </row>
    <row r="3298" spans="1:3" hidden="1">
      <c r="A3298" s="65">
        <v>9004965</v>
      </c>
      <c r="B3298" s="65" t="s">
        <v>3951</v>
      </c>
      <c r="C3298" s="65" t="s">
        <v>942</v>
      </c>
    </row>
    <row r="3299" spans="1:3" hidden="1">
      <c r="A3299" s="65">
        <v>9004966</v>
      </c>
      <c r="B3299" s="65" t="s">
        <v>3952</v>
      </c>
      <c r="C3299" s="65" t="s">
        <v>942</v>
      </c>
    </row>
    <row r="3300" spans="1:3" hidden="1">
      <c r="A3300" s="65">
        <v>9004967</v>
      </c>
      <c r="B3300" s="65" t="s">
        <v>3953</v>
      </c>
      <c r="C3300" s="65" t="s">
        <v>942</v>
      </c>
    </row>
    <row r="3301" spans="1:3" hidden="1">
      <c r="A3301" s="65">
        <v>9004968</v>
      </c>
      <c r="B3301" s="65" t="s">
        <v>3954</v>
      </c>
      <c r="C3301" s="65" t="s">
        <v>942</v>
      </c>
    </row>
    <row r="3302" spans="1:3" hidden="1">
      <c r="A3302" s="65">
        <v>9004969</v>
      </c>
      <c r="B3302" s="65" t="s">
        <v>3955</v>
      </c>
      <c r="C3302" s="65" t="s">
        <v>942</v>
      </c>
    </row>
    <row r="3303" spans="1:3" hidden="1">
      <c r="A3303" s="65">
        <v>9004970</v>
      </c>
      <c r="B3303" s="65" t="s">
        <v>3956</v>
      </c>
      <c r="C3303" s="65" t="s">
        <v>942</v>
      </c>
    </row>
    <row r="3304" spans="1:3" hidden="1">
      <c r="A3304" s="65">
        <v>9004971</v>
      </c>
      <c r="B3304" s="65" t="s">
        <v>3957</v>
      </c>
      <c r="C3304" s="65" t="s">
        <v>942</v>
      </c>
    </row>
    <row r="3305" spans="1:3" hidden="1">
      <c r="A3305" s="65">
        <v>9004972</v>
      </c>
      <c r="B3305" s="65" t="s">
        <v>3958</v>
      </c>
      <c r="C3305" s="65" t="s">
        <v>942</v>
      </c>
    </row>
    <row r="3306" spans="1:3" hidden="1">
      <c r="A3306" s="65">
        <v>9004973</v>
      </c>
      <c r="B3306" s="65" t="s">
        <v>3959</v>
      </c>
      <c r="C3306" s="65" t="s">
        <v>942</v>
      </c>
    </row>
    <row r="3307" spans="1:3" hidden="1">
      <c r="A3307" s="65">
        <v>9004974</v>
      </c>
      <c r="B3307" s="65" t="s">
        <v>3960</v>
      </c>
      <c r="C3307" s="65" t="s">
        <v>1181</v>
      </c>
    </row>
    <row r="3308" spans="1:3" hidden="1">
      <c r="A3308" s="65">
        <v>9004975</v>
      </c>
      <c r="B3308" s="65" t="s">
        <v>3961</v>
      </c>
      <c r="C3308" s="65" t="s">
        <v>738</v>
      </c>
    </row>
    <row r="3309" spans="1:3" hidden="1">
      <c r="A3309" s="65">
        <v>9004976</v>
      </c>
      <c r="B3309" s="65" t="s">
        <v>3962</v>
      </c>
      <c r="C3309" s="65" t="s">
        <v>738</v>
      </c>
    </row>
    <row r="3310" spans="1:3" hidden="1">
      <c r="A3310" s="65">
        <v>9004977</v>
      </c>
      <c r="B3310" s="65" t="s">
        <v>3963</v>
      </c>
      <c r="C3310" s="65" t="s">
        <v>738</v>
      </c>
    </row>
    <row r="3311" spans="1:3" hidden="1">
      <c r="A3311" s="65">
        <v>9004978</v>
      </c>
      <c r="B3311" s="65" t="s">
        <v>3964</v>
      </c>
      <c r="C3311" s="65" t="s">
        <v>683</v>
      </c>
    </row>
    <row r="3312" spans="1:3" hidden="1">
      <c r="A3312" s="65">
        <v>9004979</v>
      </c>
      <c r="B3312" s="65" t="s">
        <v>3965</v>
      </c>
      <c r="C3312" s="65" t="s">
        <v>683</v>
      </c>
    </row>
    <row r="3313" spans="1:3" hidden="1">
      <c r="A3313" s="65">
        <v>9004980</v>
      </c>
      <c r="B3313" s="65" t="s">
        <v>3966</v>
      </c>
      <c r="C3313" s="65" t="s">
        <v>683</v>
      </c>
    </row>
    <row r="3314" spans="1:3" hidden="1">
      <c r="A3314" s="65">
        <v>9004981</v>
      </c>
      <c r="B3314" s="65" t="s">
        <v>3967</v>
      </c>
      <c r="C3314" s="65" t="s">
        <v>683</v>
      </c>
    </row>
    <row r="3315" spans="1:3" hidden="1">
      <c r="A3315" s="65">
        <v>9004982</v>
      </c>
      <c r="B3315" s="65" t="s">
        <v>3966</v>
      </c>
      <c r="C3315" s="65" t="s">
        <v>683</v>
      </c>
    </row>
    <row r="3316" spans="1:3" hidden="1">
      <c r="A3316" s="65">
        <v>9004983</v>
      </c>
      <c r="B3316" s="65" t="s">
        <v>3967</v>
      </c>
      <c r="C3316" s="65" t="s">
        <v>683</v>
      </c>
    </row>
    <row r="3317" spans="1:3" hidden="1">
      <c r="A3317" s="65">
        <v>9004984</v>
      </c>
      <c r="B3317" s="65" t="s">
        <v>3968</v>
      </c>
      <c r="C3317" s="65" t="s">
        <v>805</v>
      </c>
    </row>
    <row r="3318" spans="1:3" hidden="1">
      <c r="A3318" s="65">
        <v>9004985</v>
      </c>
      <c r="B3318" s="65" t="s">
        <v>3969</v>
      </c>
      <c r="C3318" s="65" t="s">
        <v>1181</v>
      </c>
    </row>
    <row r="3319" spans="1:3" hidden="1">
      <c r="A3319" s="65">
        <v>9004986</v>
      </c>
      <c r="B3319" s="65" t="s">
        <v>3970</v>
      </c>
      <c r="C3319" s="65" t="s">
        <v>1181</v>
      </c>
    </row>
    <row r="3320" spans="1:3" hidden="1">
      <c r="A3320" s="65">
        <v>9004987</v>
      </c>
      <c r="B3320" s="65" t="s">
        <v>3971</v>
      </c>
      <c r="C3320" s="65" t="s">
        <v>942</v>
      </c>
    </row>
    <row r="3321" spans="1:3" hidden="1">
      <c r="A3321" s="65">
        <v>9004988</v>
      </c>
      <c r="B3321" s="65" t="s">
        <v>3972</v>
      </c>
      <c r="C3321" s="65" t="s">
        <v>942</v>
      </c>
    </row>
    <row r="3322" spans="1:3" hidden="1">
      <c r="A3322" s="65">
        <v>9004989</v>
      </c>
      <c r="B3322" s="65" t="s">
        <v>3922</v>
      </c>
      <c r="C3322" s="65" t="s">
        <v>942</v>
      </c>
    </row>
    <row r="3323" spans="1:3" hidden="1">
      <c r="A3323" s="65">
        <v>9004990</v>
      </c>
      <c r="B3323" s="65" t="s">
        <v>3973</v>
      </c>
      <c r="C3323" s="65" t="s">
        <v>3170</v>
      </c>
    </row>
    <row r="3324" spans="1:3" hidden="1">
      <c r="A3324" s="65">
        <v>9004991</v>
      </c>
      <c r="B3324" s="65" t="s">
        <v>3974</v>
      </c>
      <c r="C3324" s="65" t="s">
        <v>942</v>
      </c>
    </row>
    <row r="3325" spans="1:3" hidden="1">
      <c r="A3325" s="65">
        <v>9004992</v>
      </c>
      <c r="B3325" s="65" t="s">
        <v>3975</v>
      </c>
      <c r="C3325" s="65" t="s">
        <v>942</v>
      </c>
    </row>
    <row r="3326" spans="1:3" hidden="1">
      <c r="A3326" s="65">
        <v>9004993</v>
      </c>
      <c r="B3326" s="65" t="s">
        <v>3976</v>
      </c>
      <c r="C3326" s="65" t="s">
        <v>942</v>
      </c>
    </row>
    <row r="3327" spans="1:3" hidden="1">
      <c r="A3327" s="65">
        <v>9004994</v>
      </c>
      <c r="B3327" s="65" t="s">
        <v>3977</v>
      </c>
      <c r="C3327" s="65" t="s">
        <v>942</v>
      </c>
    </row>
    <row r="3328" spans="1:3" hidden="1">
      <c r="A3328" s="65">
        <v>9004995</v>
      </c>
      <c r="B3328" s="65" t="s">
        <v>3978</v>
      </c>
      <c r="C3328" s="65" t="s">
        <v>942</v>
      </c>
    </row>
    <row r="3329" spans="1:3" hidden="1">
      <c r="A3329" s="65">
        <v>9004996</v>
      </c>
      <c r="B3329" s="65" t="s">
        <v>3979</v>
      </c>
      <c r="C3329" s="65" t="s">
        <v>942</v>
      </c>
    </row>
    <row r="3330" spans="1:3" hidden="1">
      <c r="A3330" s="65">
        <v>9004997</v>
      </c>
      <c r="B3330" s="65" t="s">
        <v>3980</v>
      </c>
      <c r="C3330" s="65" t="s">
        <v>942</v>
      </c>
    </row>
    <row r="3331" spans="1:3" hidden="1">
      <c r="A3331" s="65">
        <v>9004998</v>
      </c>
      <c r="B3331" s="65" t="s">
        <v>3981</v>
      </c>
      <c r="C3331" s="65" t="s">
        <v>942</v>
      </c>
    </row>
    <row r="3332" spans="1:3" hidden="1">
      <c r="A3332" s="65">
        <v>9004999</v>
      </c>
      <c r="B3332" s="65" t="s">
        <v>3982</v>
      </c>
      <c r="C3332" s="65" t="s">
        <v>807</v>
      </c>
    </row>
    <row r="3333" spans="1:3" hidden="1">
      <c r="A3333" s="65">
        <v>9005000</v>
      </c>
      <c r="B3333" s="65" t="s">
        <v>3983</v>
      </c>
      <c r="C3333" s="65" t="s">
        <v>805</v>
      </c>
    </row>
    <row r="3334" spans="1:3" hidden="1">
      <c r="A3334" s="65">
        <v>9005001</v>
      </c>
      <c r="B3334" s="65" t="s">
        <v>3984</v>
      </c>
      <c r="C3334" s="65" t="s">
        <v>942</v>
      </c>
    </row>
    <row r="3335" spans="1:3" hidden="1">
      <c r="A3335" s="65">
        <v>9005002</v>
      </c>
      <c r="B3335" s="65" t="s">
        <v>3985</v>
      </c>
      <c r="C3335" s="65" t="s">
        <v>942</v>
      </c>
    </row>
    <row r="3336" spans="1:3" hidden="1">
      <c r="A3336" s="65">
        <v>9005003</v>
      </c>
      <c r="B3336" s="65" t="s">
        <v>3986</v>
      </c>
      <c r="C3336" s="65" t="s">
        <v>805</v>
      </c>
    </row>
    <row r="3337" spans="1:3" hidden="1">
      <c r="A3337" s="65">
        <v>9005004</v>
      </c>
      <c r="B3337" s="65" t="s">
        <v>3987</v>
      </c>
      <c r="C3337" s="65" t="s">
        <v>805</v>
      </c>
    </row>
    <row r="3338" spans="1:3" hidden="1">
      <c r="A3338" s="65">
        <v>9005005</v>
      </c>
      <c r="B3338" s="65" t="s">
        <v>3988</v>
      </c>
      <c r="C3338" s="65" t="s">
        <v>805</v>
      </c>
    </row>
    <row r="3339" spans="1:3" hidden="1">
      <c r="A3339" s="65">
        <v>9005006</v>
      </c>
      <c r="B3339" s="65" t="s">
        <v>3989</v>
      </c>
      <c r="C3339" s="65" t="s">
        <v>805</v>
      </c>
    </row>
    <row r="3340" spans="1:3" hidden="1">
      <c r="A3340" s="65">
        <v>9005007</v>
      </c>
      <c r="B3340" s="65" t="s">
        <v>3990</v>
      </c>
      <c r="C3340" s="65" t="s">
        <v>805</v>
      </c>
    </row>
    <row r="3341" spans="1:3" hidden="1">
      <c r="A3341" s="65">
        <v>9005008</v>
      </c>
      <c r="B3341" s="65" t="s">
        <v>3991</v>
      </c>
      <c r="C3341" s="65" t="s">
        <v>805</v>
      </c>
    </row>
    <row r="3342" spans="1:3" hidden="1">
      <c r="A3342" s="65">
        <v>9005009</v>
      </c>
      <c r="B3342" s="65" t="s">
        <v>3992</v>
      </c>
      <c r="C3342" s="65" t="s">
        <v>942</v>
      </c>
    </row>
    <row r="3343" spans="1:3" hidden="1">
      <c r="A3343" s="65">
        <v>9005010</v>
      </c>
      <c r="B3343" s="65" t="s">
        <v>3993</v>
      </c>
      <c r="C3343" s="65" t="s">
        <v>942</v>
      </c>
    </row>
    <row r="3344" spans="1:3" hidden="1">
      <c r="A3344" s="65">
        <v>9005011</v>
      </c>
      <c r="B3344" s="65" t="s">
        <v>3994</v>
      </c>
      <c r="C3344" s="65" t="s">
        <v>942</v>
      </c>
    </row>
    <row r="3345" spans="1:3" hidden="1">
      <c r="A3345" s="65">
        <v>9005012</v>
      </c>
      <c r="B3345" s="65" t="s">
        <v>3995</v>
      </c>
      <c r="C3345" s="65" t="s">
        <v>942</v>
      </c>
    </row>
    <row r="3346" spans="1:3" hidden="1">
      <c r="A3346" s="65">
        <v>9005013</v>
      </c>
      <c r="B3346" s="65" t="s">
        <v>3996</v>
      </c>
      <c r="C3346" s="65" t="s">
        <v>942</v>
      </c>
    </row>
    <row r="3347" spans="1:3" hidden="1">
      <c r="A3347" s="65">
        <v>9005014</v>
      </c>
      <c r="B3347" s="65" t="s">
        <v>3997</v>
      </c>
      <c r="C3347" s="65" t="s">
        <v>942</v>
      </c>
    </row>
    <row r="3348" spans="1:3" hidden="1">
      <c r="A3348" s="65">
        <v>9005015</v>
      </c>
      <c r="B3348" s="65" t="s">
        <v>3998</v>
      </c>
      <c r="C3348" s="65" t="s">
        <v>942</v>
      </c>
    </row>
    <row r="3349" spans="1:3" hidden="1">
      <c r="A3349" s="65">
        <v>9005016</v>
      </c>
      <c r="B3349" s="65" t="s">
        <v>3999</v>
      </c>
      <c r="C3349" s="65" t="s">
        <v>942</v>
      </c>
    </row>
    <row r="3350" spans="1:3" hidden="1">
      <c r="A3350" s="65">
        <v>9005017</v>
      </c>
      <c r="B3350" s="65" t="s">
        <v>4000</v>
      </c>
      <c r="C3350" s="65" t="s">
        <v>942</v>
      </c>
    </row>
    <row r="3351" spans="1:3" hidden="1">
      <c r="A3351" s="65">
        <v>9005018</v>
      </c>
      <c r="B3351" s="65" t="s">
        <v>4001</v>
      </c>
      <c r="C3351" s="65" t="s">
        <v>942</v>
      </c>
    </row>
    <row r="3352" spans="1:3" hidden="1">
      <c r="A3352" s="65">
        <v>9005019</v>
      </c>
      <c r="B3352" s="65" t="s">
        <v>4002</v>
      </c>
      <c r="C3352" s="65" t="s">
        <v>942</v>
      </c>
    </row>
    <row r="3353" spans="1:3" hidden="1">
      <c r="A3353" s="65">
        <v>9005020</v>
      </c>
      <c r="B3353" s="65" t="s">
        <v>4003</v>
      </c>
      <c r="C3353" s="65" t="s">
        <v>942</v>
      </c>
    </row>
    <row r="3354" spans="1:3" hidden="1">
      <c r="A3354" s="65">
        <v>9005021</v>
      </c>
      <c r="B3354" s="65" t="s">
        <v>4004</v>
      </c>
      <c r="C3354" s="65" t="s">
        <v>942</v>
      </c>
    </row>
    <row r="3355" spans="1:3" hidden="1">
      <c r="A3355" s="65">
        <v>9005022</v>
      </c>
      <c r="B3355" s="65" t="s">
        <v>4005</v>
      </c>
      <c r="C3355" s="65" t="s">
        <v>942</v>
      </c>
    </row>
    <row r="3356" spans="1:3" hidden="1">
      <c r="A3356" s="65">
        <v>9005023</v>
      </c>
      <c r="B3356" s="65" t="s">
        <v>4006</v>
      </c>
      <c r="C3356" s="65" t="s">
        <v>942</v>
      </c>
    </row>
    <row r="3357" spans="1:3" hidden="1">
      <c r="A3357" s="65">
        <v>9005024</v>
      </c>
      <c r="B3357" s="65" t="s">
        <v>4007</v>
      </c>
      <c r="C3357" s="65" t="s">
        <v>942</v>
      </c>
    </row>
    <row r="3358" spans="1:3" hidden="1">
      <c r="A3358" s="65">
        <v>9005025</v>
      </c>
      <c r="B3358" s="65" t="s">
        <v>4008</v>
      </c>
      <c r="C3358" s="65" t="s">
        <v>942</v>
      </c>
    </row>
    <row r="3359" spans="1:3" hidden="1">
      <c r="A3359" s="65">
        <v>9005026</v>
      </c>
      <c r="B3359" s="65" t="s">
        <v>4009</v>
      </c>
      <c r="C3359" s="65" t="s">
        <v>942</v>
      </c>
    </row>
    <row r="3360" spans="1:3" hidden="1">
      <c r="A3360" s="65">
        <v>9005027</v>
      </c>
      <c r="B3360" s="65" t="s">
        <v>4010</v>
      </c>
      <c r="C3360" s="65" t="s">
        <v>942</v>
      </c>
    </row>
    <row r="3361" spans="1:3" hidden="1">
      <c r="A3361" s="65">
        <v>9005028</v>
      </c>
      <c r="B3361" s="65" t="s">
        <v>4011</v>
      </c>
      <c r="C3361" s="65" t="s">
        <v>942</v>
      </c>
    </row>
    <row r="3362" spans="1:3" hidden="1">
      <c r="A3362" s="65">
        <v>9005029</v>
      </c>
      <c r="B3362" s="65" t="s">
        <v>4012</v>
      </c>
      <c r="C3362" s="65" t="s">
        <v>942</v>
      </c>
    </row>
    <row r="3363" spans="1:3" hidden="1">
      <c r="A3363" s="65">
        <v>9005030</v>
      </c>
      <c r="B3363" s="65" t="s">
        <v>4013</v>
      </c>
      <c r="C3363" s="65" t="s">
        <v>942</v>
      </c>
    </row>
    <row r="3364" spans="1:3" hidden="1">
      <c r="A3364" s="65">
        <v>9005031</v>
      </c>
      <c r="B3364" s="65" t="s">
        <v>4014</v>
      </c>
      <c r="C3364" s="65" t="s">
        <v>942</v>
      </c>
    </row>
    <row r="3365" spans="1:3" hidden="1">
      <c r="A3365" s="65">
        <v>9005032</v>
      </c>
      <c r="B3365" s="65" t="s">
        <v>4015</v>
      </c>
      <c r="C3365" s="65" t="s">
        <v>942</v>
      </c>
    </row>
    <row r="3366" spans="1:3" hidden="1">
      <c r="A3366" s="65">
        <v>9005033</v>
      </c>
      <c r="B3366" s="65" t="s">
        <v>4016</v>
      </c>
      <c r="C3366" s="65" t="s">
        <v>942</v>
      </c>
    </row>
    <row r="3367" spans="1:3" hidden="1">
      <c r="A3367" s="65">
        <v>9005034</v>
      </c>
      <c r="B3367" s="65" t="s">
        <v>4017</v>
      </c>
      <c r="C3367" s="65" t="s">
        <v>942</v>
      </c>
    </row>
    <row r="3368" spans="1:3" hidden="1">
      <c r="A3368" s="65">
        <v>9005035</v>
      </c>
      <c r="B3368" s="65" t="s">
        <v>4018</v>
      </c>
      <c r="C3368" s="65" t="s">
        <v>942</v>
      </c>
    </row>
    <row r="3369" spans="1:3" hidden="1">
      <c r="A3369" s="65">
        <v>9005036</v>
      </c>
      <c r="B3369" s="65" t="s">
        <v>4019</v>
      </c>
      <c r="C3369" s="65" t="s">
        <v>942</v>
      </c>
    </row>
    <row r="3370" spans="1:3" hidden="1">
      <c r="A3370" s="65">
        <v>9005037</v>
      </c>
      <c r="B3370" s="65" t="s">
        <v>4020</v>
      </c>
      <c r="C3370" s="65" t="s">
        <v>942</v>
      </c>
    </row>
    <row r="3371" spans="1:3" hidden="1">
      <c r="A3371" s="65">
        <v>9005038</v>
      </c>
      <c r="B3371" s="65" t="s">
        <v>4021</v>
      </c>
      <c r="C3371" s="65" t="s">
        <v>942</v>
      </c>
    </row>
    <row r="3372" spans="1:3" hidden="1">
      <c r="A3372" s="65">
        <v>9005039</v>
      </c>
      <c r="B3372" s="65" t="s">
        <v>4022</v>
      </c>
      <c r="C3372" s="65" t="s">
        <v>805</v>
      </c>
    </row>
    <row r="3373" spans="1:3" hidden="1">
      <c r="A3373" s="65">
        <v>9005040</v>
      </c>
      <c r="B3373" s="65" t="s">
        <v>4023</v>
      </c>
      <c r="C3373" s="65" t="s">
        <v>805</v>
      </c>
    </row>
    <row r="3374" spans="1:3" hidden="1">
      <c r="A3374" s="65">
        <v>9005041</v>
      </c>
      <c r="B3374" s="65" t="s">
        <v>4024</v>
      </c>
      <c r="C3374" s="65" t="s">
        <v>805</v>
      </c>
    </row>
    <row r="3375" spans="1:3" hidden="1">
      <c r="A3375" s="65">
        <v>9005042</v>
      </c>
      <c r="B3375" s="65" t="s">
        <v>4025</v>
      </c>
      <c r="C3375" s="65" t="s">
        <v>805</v>
      </c>
    </row>
    <row r="3376" spans="1:3" hidden="1">
      <c r="A3376" s="65">
        <v>9005043</v>
      </c>
      <c r="B3376" s="65" t="s">
        <v>4026</v>
      </c>
      <c r="C3376" s="65" t="s">
        <v>738</v>
      </c>
    </row>
    <row r="3377" spans="1:3" hidden="1">
      <c r="A3377" s="65">
        <v>9005044</v>
      </c>
      <c r="B3377" s="65" t="s">
        <v>4027</v>
      </c>
      <c r="C3377" s="65" t="s">
        <v>1111</v>
      </c>
    </row>
    <row r="3378" spans="1:3" hidden="1">
      <c r="A3378" s="65">
        <v>9005045</v>
      </c>
      <c r="B3378" s="65" t="s">
        <v>4028</v>
      </c>
      <c r="C3378" s="65" t="s">
        <v>738</v>
      </c>
    </row>
    <row r="3379" spans="1:3" hidden="1">
      <c r="A3379" s="65">
        <v>9005046</v>
      </c>
      <c r="B3379" s="65" t="s">
        <v>4029</v>
      </c>
      <c r="C3379" s="65" t="s">
        <v>805</v>
      </c>
    </row>
    <row r="3380" spans="1:3" hidden="1">
      <c r="A3380" s="65">
        <v>9005047</v>
      </c>
      <c r="B3380" s="65" t="s">
        <v>4030</v>
      </c>
      <c r="C3380" s="65" t="s">
        <v>793</v>
      </c>
    </row>
    <row r="3381" spans="1:3" hidden="1">
      <c r="A3381" s="65">
        <v>9005048</v>
      </c>
      <c r="B3381" s="65" t="s">
        <v>4031</v>
      </c>
      <c r="C3381" s="65" t="s">
        <v>738</v>
      </c>
    </row>
    <row r="3382" spans="1:3" hidden="1">
      <c r="A3382" s="65">
        <v>9005049</v>
      </c>
      <c r="B3382" s="65" t="s">
        <v>4032</v>
      </c>
      <c r="C3382" s="65" t="s">
        <v>738</v>
      </c>
    </row>
    <row r="3383" spans="1:3" hidden="1">
      <c r="A3383" s="65">
        <v>9005050</v>
      </c>
      <c r="B3383" s="65" t="s">
        <v>4033</v>
      </c>
      <c r="C3383" s="65" t="s">
        <v>738</v>
      </c>
    </row>
    <row r="3384" spans="1:3" hidden="1">
      <c r="A3384" s="65">
        <v>9005051</v>
      </c>
      <c r="B3384" s="65" t="s">
        <v>4034</v>
      </c>
      <c r="C3384" s="65" t="s">
        <v>805</v>
      </c>
    </row>
    <row r="3385" spans="1:3" hidden="1">
      <c r="A3385" s="65">
        <v>9005052</v>
      </c>
      <c r="B3385" s="65" t="s">
        <v>4035</v>
      </c>
      <c r="C3385" s="65" t="s">
        <v>805</v>
      </c>
    </row>
    <row r="3386" spans="1:3" hidden="1">
      <c r="A3386" s="65">
        <v>9005053</v>
      </c>
      <c r="B3386" s="65" t="s">
        <v>4036</v>
      </c>
      <c r="C3386" s="65" t="s">
        <v>805</v>
      </c>
    </row>
    <row r="3387" spans="1:3" hidden="1">
      <c r="A3387" s="65">
        <v>9005054</v>
      </c>
      <c r="B3387" s="65" t="s">
        <v>4037</v>
      </c>
      <c r="C3387" s="65" t="s">
        <v>942</v>
      </c>
    </row>
    <row r="3388" spans="1:3" hidden="1">
      <c r="A3388" s="65">
        <v>9005055</v>
      </c>
      <c r="B3388" s="65" t="s">
        <v>4038</v>
      </c>
      <c r="C3388" s="65" t="s">
        <v>942</v>
      </c>
    </row>
    <row r="3389" spans="1:3" hidden="1">
      <c r="A3389" s="65">
        <v>9005056</v>
      </c>
      <c r="B3389" s="65" t="s">
        <v>4039</v>
      </c>
      <c r="C3389" s="65" t="s">
        <v>942</v>
      </c>
    </row>
    <row r="3390" spans="1:3" hidden="1">
      <c r="A3390" s="65">
        <v>9005057</v>
      </c>
      <c r="B3390" s="65" t="s">
        <v>4040</v>
      </c>
      <c r="C3390" s="65" t="s">
        <v>942</v>
      </c>
    </row>
    <row r="3391" spans="1:3" hidden="1">
      <c r="A3391" s="65">
        <v>9005058</v>
      </c>
      <c r="B3391" s="65" t="s">
        <v>4041</v>
      </c>
      <c r="C3391" s="65" t="s">
        <v>942</v>
      </c>
    </row>
    <row r="3392" spans="1:3" hidden="1">
      <c r="A3392" s="65">
        <v>9005059</v>
      </c>
      <c r="B3392" s="65" t="s">
        <v>4042</v>
      </c>
      <c r="C3392" s="65" t="s">
        <v>805</v>
      </c>
    </row>
    <row r="3393" spans="1:3" hidden="1">
      <c r="A3393" s="65">
        <v>9005060</v>
      </c>
      <c r="B3393" s="65" t="s">
        <v>4043</v>
      </c>
      <c r="C3393" s="65" t="s">
        <v>942</v>
      </c>
    </row>
    <row r="3394" spans="1:3" hidden="1">
      <c r="A3394" s="65">
        <v>9005061</v>
      </c>
      <c r="B3394" s="65" t="s">
        <v>4044</v>
      </c>
      <c r="C3394" s="65" t="s">
        <v>942</v>
      </c>
    </row>
    <row r="3395" spans="1:3" hidden="1">
      <c r="A3395" s="65">
        <v>9005062</v>
      </c>
      <c r="B3395" s="65" t="s">
        <v>4045</v>
      </c>
      <c r="C3395" s="65" t="s">
        <v>942</v>
      </c>
    </row>
    <row r="3396" spans="1:3" hidden="1">
      <c r="A3396" s="65">
        <v>9005063</v>
      </c>
      <c r="B3396" s="65" t="s">
        <v>4046</v>
      </c>
      <c r="C3396" s="65" t="s">
        <v>942</v>
      </c>
    </row>
    <row r="3397" spans="1:3" hidden="1">
      <c r="A3397" s="65">
        <v>9005064</v>
      </c>
      <c r="B3397" s="65" t="s">
        <v>4047</v>
      </c>
      <c r="C3397" s="65" t="s">
        <v>942</v>
      </c>
    </row>
    <row r="3398" spans="1:3" hidden="1">
      <c r="A3398" s="65">
        <v>9005065</v>
      </c>
      <c r="B3398" s="65" t="s">
        <v>4048</v>
      </c>
      <c r="C3398" s="65" t="s">
        <v>942</v>
      </c>
    </row>
    <row r="3399" spans="1:3" hidden="1">
      <c r="A3399" s="65">
        <v>9005066</v>
      </c>
      <c r="B3399" s="65" t="s">
        <v>4049</v>
      </c>
      <c r="C3399" s="65" t="s">
        <v>942</v>
      </c>
    </row>
    <row r="3400" spans="1:3" hidden="1">
      <c r="A3400" s="65">
        <v>9005067</v>
      </c>
      <c r="B3400" s="65" t="s">
        <v>4050</v>
      </c>
      <c r="C3400" s="65" t="s">
        <v>942</v>
      </c>
    </row>
    <row r="3401" spans="1:3" hidden="1">
      <c r="A3401" s="65">
        <v>9005068</v>
      </c>
      <c r="B3401" s="65" t="s">
        <v>4051</v>
      </c>
      <c r="C3401" s="65" t="s">
        <v>942</v>
      </c>
    </row>
    <row r="3402" spans="1:3" hidden="1">
      <c r="A3402" s="65">
        <v>9005069</v>
      </c>
      <c r="B3402" s="65" t="s">
        <v>4052</v>
      </c>
      <c r="C3402" s="65" t="s">
        <v>942</v>
      </c>
    </row>
    <row r="3403" spans="1:3" hidden="1">
      <c r="A3403" s="65">
        <v>9005070</v>
      </c>
      <c r="B3403" s="65" t="s">
        <v>4053</v>
      </c>
      <c r="C3403" s="65" t="s">
        <v>942</v>
      </c>
    </row>
    <row r="3404" spans="1:3" hidden="1">
      <c r="A3404" s="65">
        <v>9005071</v>
      </c>
      <c r="B3404" s="65" t="s">
        <v>4054</v>
      </c>
      <c r="C3404" s="65" t="s">
        <v>942</v>
      </c>
    </row>
    <row r="3405" spans="1:3" hidden="1">
      <c r="A3405" s="65">
        <v>9005072</v>
      </c>
      <c r="B3405" s="65" t="s">
        <v>4055</v>
      </c>
      <c r="C3405" s="65" t="s">
        <v>942</v>
      </c>
    </row>
    <row r="3406" spans="1:3" hidden="1">
      <c r="A3406" s="65">
        <v>9005073</v>
      </c>
      <c r="B3406" s="65" t="s">
        <v>4056</v>
      </c>
      <c r="C3406" s="65" t="s">
        <v>942</v>
      </c>
    </row>
    <row r="3407" spans="1:3" hidden="1">
      <c r="A3407" s="65">
        <v>9005074</v>
      </c>
      <c r="B3407" s="65" t="s">
        <v>4057</v>
      </c>
      <c r="C3407" s="65" t="s">
        <v>942</v>
      </c>
    </row>
    <row r="3408" spans="1:3" hidden="1">
      <c r="A3408" s="65">
        <v>9005075</v>
      </c>
      <c r="B3408" s="65" t="s">
        <v>4058</v>
      </c>
      <c r="C3408" s="65" t="s">
        <v>942</v>
      </c>
    </row>
    <row r="3409" spans="1:3" hidden="1">
      <c r="A3409" s="65">
        <v>9005076</v>
      </c>
      <c r="B3409" s="65" t="s">
        <v>4059</v>
      </c>
      <c r="C3409" s="65" t="s">
        <v>942</v>
      </c>
    </row>
    <row r="3410" spans="1:3" hidden="1">
      <c r="A3410" s="65">
        <v>9005077</v>
      </c>
      <c r="B3410" s="65" t="s">
        <v>4060</v>
      </c>
      <c r="C3410" s="65" t="s">
        <v>942</v>
      </c>
    </row>
    <row r="3411" spans="1:3" hidden="1">
      <c r="A3411" s="65">
        <v>9005078</v>
      </c>
      <c r="B3411" s="65" t="s">
        <v>4061</v>
      </c>
      <c r="C3411" s="65" t="s">
        <v>942</v>
      </c>
    </row>
    <row r="3412" spans="1:3" hidden="1">
      <c r="A3412" s="65">
        <v>9005079</v>
      </c>
      <c r="B3412" s="65" t="s">
        <v>4062</v>
      </c>
      <c r="C3412" s="65" t="s">
        <v>942</v>
      </c>
    </row>
    <row r="3413" spans="1:3" hidden="1">
      <c r="A3413" s="65">
        <v>9005080</v>
      </c>
      <c r="B3413" s="65" t="s">
        <v>4063</v>
      </c>
      <c r="C3413" s="65" t="s">
        <v>942</v>
      </c>
    </row>
    <row r="3414" spans="1:3" hidden="1">
      <c r="A3414" s="65">
        <v>9005081</v>
      </c>
      <c r="B3414" s="65" t="s">
        <v>4064</v>
      </c>
      <c r="C3414" s="65" t="s">
        <v>942</v>
      </c>
    </row>
    <row r="3415" spans="1:3" hidden="1">
      <c r="A3415" s="65">
        <v>9005082</v>
      </c>
      <c r="B3415" s="65" t="s">
        <v>4065</v>
      </c>
      <c r="C3415" s="65" t="s">
        <v>942</v>
      </c>
    </row>
    <row r="3416" spans="1:3" hidden="1">
      <c r="A3416" s="65">
        <v>9005083</v>
      </c>
      <c r="B3416" s="65" t="s">
        <v>4066</v>
      </c>
      <c r="C3416" s="65" t="s">
        <v>942</v>
      </c>
    </row>
    <row r="3417" spans="1:3" hidden="1">
      <c r="A3417" s="65">
        <v>9005084</v>
      </c>
      <c r="B3417" s="65" t="s">
        <v>4067</v>
      </c>
      <c r="C3417" s="65" t="s">
        <v>942</v>
      </c>
    </row>
    <row r="3418" spans="1:3" hidden="1">
      <c r="A3418" s="65">
        <v>9005085</v>
      </c>
      <c r="B3418" s="65" t="s">
        <v>4068</v>
      </c>
      <c r="C3418" s="65" t="s">
        <v>942</v>
      </c>
    </row>
    <row r="3419" spans="1:3" hidden="1">
      <c r="A3419" s="65">
        <v>9005086</v>
      </c>
      <c r="B3419" s="65" t="s">
        <v>4069</v>
      </c>
      <c r="C3419" s="65" t="s">
        <v>942</v>
      </c>
    </row>
    <row r="3420" spans="1:3" hidden="1">
      <c r="A3420" s="65">
        <v>9005087</v>
      </c>
      <c r="B3420" s="65" t="s">
        <v>4070</v>
      </c>
      <c r="C3420" s="65" t="s">
        <v>942</v>
      </c>
    </row>
    <row r="3421" spans="1:3" hidden="1">
      <c r="A3421" s="65">
        <v>9005088</v>
      </c>
      <c r="B3421" s="65" t="s">
        <v>4071</v>
      </c>
      <c r="C3421" s="65" t="s">
        <v>942</v>
      </c>
    </row>
    <row r="3422" spans="1:3" hidden="1">
      <c r="A3422" s="65">
        <v>9005089</v>
      </c>
      <c r="B3422" s="65" t="s">
        <v>4072</v>
      </c>
      <c r="C3422" s="65" t="s">
        <v>942</v>
      </c>
    </row>
    <row r="3423" spans="1:3" hidden="1">
      <c r="A3423" s="65">
        <v>9005090</v>
      </c>
      <c r="B3423" s="65" t="s">
        <v>4073</v>
      </c>
      <c r="C3423" s="65" t="s">
        <v>942</v>
      </c>
    </row>
    <row r="3424" spans="1:3" hidden="1">
      <c r="A3424" s="65">
        <v>9005091</v>
      </c>
      <c r="B3424" s="65" t="s">
        <v>4074</v>
      </c>
      <c r="C3424" s="65" t="s">
        <v>942</v>
      </c>
    </row>
    <row r="3425" spans="1:3" hidden="1">
      <c r="A3425" s="65">
        <v>9005092</v>
      </c>
      <c r="B3425" s="65" t="s">
        <v>4075</v>
      </c>
      <c r="C3425" s="65" t="s">
        <v>942</v>
      </c>
    </row>
    <row r="3426" spans="1:3" hidden="1">
      <c r="A3426" s="65">
        <v>9005093</v>
      </c>
      <c r="B3426" s="65" t="s">
        <v>4076</v>
      </c>
      <c r="C3426" s="65" t="s">
        <v>942</v>
      </c>
    </row>
    <row r="3427" spans="1:3" hidden="1">
      <c r="A3427" s="65">
        <v>9005094</v>
      </c>
      <c r="B3427" s="65" t="s">
        <v>4077</v>
      </c>
      <c r="C3427" s="65" t="s">
        <v>942</v>
      </c>
    </row>
    <row r="3428" spans="1:3" hidden="1">
      <c r="A3428" s="65">
        <v>9005095</v>
      </c>
      <c r="B3428" s="65" t="s">
        <v>4078</v>
      </c>
      <c r="C3428" s="65" t="s">
        <v>942</v>
      </c>
    </row>
    <row r="3429" spans="1:3" hidden="1">
      <c r="A3429" s="65">
        <v>9005096</v>
      </c>
      <c r="B3429" s="65" t="s">
        <v>4079</v>
      </c>
      <c r="C3429" s="65" t="s">
        <v>942</v>
      </c>
    </row>
    <row r="3430" spans="1:3" hidden="1">
      <c r="A3430" s="65">
        <v>9005097</v>
      </c>
      <c r="B3430" s="65" t="s">
        <v>4080</v>
      </c>
      <c r="C3430" s="65" t="s">
        <v>942</v>
      </c>
    </row>
    <row r="3431" spans="1:3" hidden="1">
      <c r="A3431" s="65">
        <v>9005098</v>
      </c>
      <c r="B3431" s="65" t="s">
        <v>4081</v>
      </c>
      <c r="C3431" s="65" t="s">
        <v>942</v>
      </c>
    </row>
    <row r="3432" spans="1:3" hidden="1">
      <c r="A3432" s="65">
        <v>9005099</v>
      </c>
      <c r="B3432" s="65" t="s">
        <v>4082</v>
      </c>
      <c r="C3432" s="65" t="s">
        <v>942</v>
      </c>
    </row>
    <row r="3433" spans="1:3" hidden="1">
      <c r="A3433" s="65">
        <v>9005100</v>
      </c>
      <c r="B3433" s="65" t="s">
        <v>4083</v>
      </c>
      <c r="C3433" s="65" t="s">
        <v>942</v>
      </c>
    </row>
    <row r="3434" spans="1:3" hidden="1">
      <c r="A3434" s="65">
        <v>9005101</v>
      </c>
      <c r="B3434" s="65" t="s">
        <v>4084</v>
      </c>
      <c r="C3434" s="65" t="s">
        <v>942</v>
      </c>
    </row>
    <row r="3435" spans="1:3" hidden="1">
      <c r="A3435" s="65">
        <v>9005102</v>
      </c>
      <c r="B3435" s="65" t="s">
        <v>4085</v>
      </c>
      <c r="C3435" s="65" t="s">
        <v>942</v>
      </c>
    </row>
    <row r="3436" spans="1:3" hidden="1">
      <c r="A3436" s="65">
        <v>9005103</v>
      </c>
      <c r="B3436" s="65" t="s">
        <v>4086</v>
      </c>
      <c r="C3436" s="65" t="s">
        <v>942</v>
      </c>
    </row>
    <row r="3437" spans="1:3" hidden="1">
      <c r="A3437" s="65">
        <v>9005104</v>
      </c>
      <c r="B3437" s="65" t="s">
        <v>4087</v>
      </c>
      <c r="C3437" s="65" t="s">
        <v>942</v>
      </c>
    </row>
    <row r="3438" spans="1:3" hidden="1">
      <c r="A3438" s="65">
        <v>9005105</v>
      </c>
      <c r="B3438" s="65" t="s">
        <v>4088</v>
      </c>
      <c r="C3438" s="65" t="s">
        <v>942</v>
      </c>
    </row>
    <row r="3439" spans="1:3" hidden="1">
      <c r="A3439" s="65">
        <v>9005106</v>
      </c>
      <c r="B3439" s="65" t="s">
        <v>4089</v>
      </c>
      <c r="C3439" s="65" t="s">
        <v>942</v>
      </c>
    </row>
    <row r="3440" spans="1:3" hidden="1">
      <c r="A3440" s="65">
        <v>9005107</v>
      </c>
      <c r="B3440" s="65" t="s">
        <v>4090</v>
      </c>
      <c r="C3440" s="65" t="s">
        <v>942</v>
      </c>
    </row>
    <row r="3441" spans="1:3" hidden="1">
      <c r="A3441" s="65">
        <v>9005108</v>
      </c>
      <c r="B3441" s="65" t="s">
        <v>4091</v>
      </c>
      <c r="C3441" s="65" t="s">
        <v>942</v>
      </c>
    </row>
    <row r="3442" spans="1:3" hidden="1">
      <c r="A3442" s="65">
        <v>9005109</v>
      </c>
      <c r="B3442" s="65" t="s">
        <v>4092</v>
      </c>
      <c r="C3442" s="65" t="s">
        <v>942</v>
      </c>
    </row>
    <row r="3443" spans="1:3" hidden="1">
      <c r="A3443" s="65">
        <v>9005110</v>
      </c>
      <c r="B3443" s="65" t="s">
        <v>4093</v>
      </c>
      <c r="C3443" s="65" t="s">
        <v>942</v>
      </c>
    </row>
    <row r="3444" spans="1:3" hidden="1">
      <c r="A3444" s="65">
        <v>9005111</v>
      </c>
      <c r="B3444" s="65" t="s">
        <v>4094</v>
      </c>
      <c r="C3444" s="65" t="s">
        <v>942</v>
      </c>
    </row>
    <row r="3445" spans="1:3" hidden="1">
      <c r="A3445" s="65">
        <v>9005112</v>
      </c>
      <c r="B3445" s="65" t="s">
        <v>4095</v>
      </c>
      <c r="C3445" s="65" t="s">
        <v>942</v>
      </c>
    </row>
    <row r="3446" spans="1:3" hidden="1">
      <c r="A3446" s="65">
        <v>9005113</v>
      </c>
      <c r="B3446" s="65" t="s">
        <v>4096</v>
      </c>
      <c r="C3446" s="65" t="s">
        <v>942</v>
      </c>
    </row>
    <row r="3447" spans="1:3" hidden="1">
      <c r="A3447" s="65">
        <v>9005114</v>
      </c>
      <c r="B3447" s="65" t="s">
        <v>4097</v>
      </c>
      <c r="C3447" s="65" t="s">
        <v>942</v>
      </c>
    </row>
    <row r="3448" spans="1:3" hidden="1">
      <c r="A3448" s="65">
        <v>9005115</v>
      </c>
      <c r="B3448" s="65" t="s">
        <v>4098</v>
      </c>
      <c r="C3448" s="65" t="s">
        <v>942</v>
      </c>
    </row>
    <row r="3449" spans="1:3" hidden="1">
      <c r="A3449" s="65">
        <v>9005116</v>
      </c>
      <c r="B3449" s="65" t="s">
        <v>4099</v>
      </c>
      <c r="C3449" s="65" t="s">
        <v>942</v>
      </c>
    </row>
    <row r="3450" spans="1:3" hidden="1">
      <c r="A3450" s="65">
        <v>9005117</v>
      </c>
      <c r="B3450" s="65" t="s">
        <v>4100</v>
      </c>
      <c r="C3450" s="65" t="s">
        <v>942</v>
      </c>
    </row>
    <row r="3451" spans="1:3" hidden="1">
      <c r="A3451" s="65">
        <v>9005118</v>
      </c>
      <c r="B3451" s="65" t="s">
        <v>4101</v>
      </c>
      <c r="C3451" s="65" t="s">
        <v>805</v>
      </c>
    </row>
    <row r="3452" spans="1:3" hidden="1">
      <c r="A3452" s="65">
        <v>9005119</v>
      </c>
      <c r="B3452" s="65" t="s">
        <v>4102</v>
      </c>
      <c r="C3452" s="65" t="s">
        <v>805</v>
      </c>
    </row>
    <row r="3453" spans="1:3" hidden="1">
      <c r="A3453" s="65">
        <v>9005120</v>
      </c>
      <c r="B3453" s="65" t="s">
        <v>4103</v>
      </c>
      <c r="C3453" s="65" t="s">
        <v>805</v>
      </c>
    </row>
    <row r="3454" spans="1:3" hidden="1">
      <c r="A3454" s="65">
        <v>9005121</v>
      </c>
      <c r="B3454" s="65" t="s">
        <v>4104</v>
      </c>
      <c r="C3454" s="65" t="s">
        <v>805</v>
      </c>
    </row>
    <row r="3455" spans="1:3" hidden="1">
      <c r="A3455" s="65">
        <v>9005122</v>
      </c>
      <c r="B3455" s="65" t="s">
        <v>4105</v>
      </c>
      <c r="C3455" s="65" t="s">
        <v>738</v>
      </c>
    </row>
    <row r="3456" spans="1:3" hidden="1">
      <c r="A3456" s="65">
        <v>9005123</v>
      </c>
      <c r="B3456" s="65" t="s">
        <v>4106</v>
      </c>
      <c r="C3456" s="65" t="s">
        <v>942</v>
      </c>
    </row>
    <row r="3457" spans="1:3" hidden="1">
      <c r="A3457" s="65">
        <v>9005124</v>
      </c>
      <c r="B3457" s="65" t="s">
        <v>4107</v>
      </c>
      <c r="C3457" s="65" t="s">
        <v>942</v>
      </c>
    </row>
    <row r="3458" spans="1:3" hidden="1">
      <c r="A3458" s="65">
        <v>9005125</v>
      </c>
      <c r="B3458" s="65" t="s">
        <v>4108</v>
      </c>
      <c r="C3458" s="65" t="s">
        <v>942</v>
      </c>
    </row>
    <row r="3459" spans="1:3" hidden="1">
      <c r="A3459" s="65">
        <v>9005126</v>
      </c>
      <c r="B3459" s="65" t="s">
        <v>4109</v>
      </c>
      <c r="C3459" s="65" t="s">
        <v>805</v>
      </c>
    </row>
    <row r="3460" spans="1:3" hidden="1">
      <c r="A3460" s="65">
        <v>9005127</v>
      </c>
      <c r="B3460" s="65" t="s">
        <v>4110</v>
      </c>
      <c r="C3460" s="65" t="s">
        <v>775</v>
      </c>
    </row>
    <row r="3461" spans="1:3" hidden="1">
      <c r="A3461" s="65">
        <v>9005128</v>
      </c>
      <c r="B3461" s="65" t="s">
        <v>4111</v>
      </c>
      <c r="C3461" s="65" t="s">
        <v>738</v>
      </c>
    </row>
    <row r="3462" spans="1:3" hidden="1">
      <c r="A3462" s="65">
        <v>9005129</v>
      </c>
      <c r="B3462" s="65" t="s">
        <v>4112</v>
      </c>
      <c r="C3462" s="65" t="s">
        <v>805</v>
      </c>
    </row>
    <row r="3463" spans="1:3" hidden="1">
      <c r="A3463" s="65">
        <v>9005130</v>
      </c>
      <c r="B3463" s="65" t="s">
        <v>4113</v>
      </c>
      <c r="C3463" s="65" t="s">
        <v>805</v>
      </c>
    </row>
    <row r="3464" spans="1:3" hidden="1">
      <c r="A3464" s="65">
        <v>9005131</v>
      </c>
      <c r="B3464" s="65" t="s">
        <v>4114</v>
      </c>
      <c r="C3464" s="65" t="s">
        <v>805</v>
      </c>
    </row>
    <row r="3465" spans="1:3" hidden="1">
      <c r="A3465" s="65">
        <v>9005132</v>
      </c>
      <c r="B3465" s="65" t="s">
        <v>4115</v>
      </c>
      <c r="C3465" s="65" t="s">
        <v>805</v>
      </c>
    </row>
    <row r="3466" spans="1:3" hidden="1">
      <c r="A3466" s="65">
        <v>9005133</v>
      </c>
      <c r="B3466" s="65" t="s">
        <v>4116</v>
      </c>
      <c r="C3466" s="65" t="s">
        <v>942</v>
      </c>
    </row>
    <row r="3467" spans="1:3" hidden="1">
      <c r="A3467" s="65">
        <v>9005134</v>
      </c>
      <c r="B3467" s="65" t="s">
        <v>4117</v>
      </c>
      <c r="C3467" s="65" t="s">
        <v>942</v>
      </c>
    </row>
    <row r="3468" spans="1:3" hidden="1">
      <c r="A3468" s="65">
        <v>9005135</v>
      </c>
      <c r="B3468" s="65" t="s">
        <v>4118</v>
      </c>
      <c r="C3468" s="65" t="s">
        <v>942</v>
      </c>
    </row>
    <row r="3469" spans="1:3" hidden="1">
      <c r="A3469" s="65">
        <v>9005136</v>
      </c>
      <c r="B3469" s="65" t="s">
        <v>4119</v>
      </c>
      <c r="C3469" s="65" t="s">
        <v>3170</v>
      </c>
    </row>
    <row r="3470" spans="1:3" hidden="1">
      <c r="A3470" s="65">
        <v>9005137</v>
      </c>
      <c r="B3470" s="65" t="s">
        <v>4120</v>
      </c>
      <c r="C3470" s="65" t="s">
        <v>942</v>
      </c>
    </row>
    <row r="3471" spans="1:3" hidden="1">
      <c r="A3471" s="65">
        <v>9005138</v>
      </c>
      <c r="B3471" s="65" t="s">
        <v>4121</v>
      </c>
      <c r="C3471" s="65" t="s">
        <v>942</v>
      </c>
    </row>
    <row r="3472" spans="1:3" hidden="1">
      <c r="A3472" s="65">
        <v>9005139</v>
      </c>
      <c r="B3472" s="65" t="s">
        <v>4122</v>
      </c>
      <c r="C3472" s="65" t="s">
        <v>942</v>
      </c>
    </row>
    <row r="3473" spans="1:3" hidden="1">
      <c r="A3473" s="65">
        <v>9005140</v>
      </c>
      <c r="B3473" s="65" t="s">
        <v>4123</v>
      </c>
      <c r="C3473" s="65" t="s">
        <v>942</v>
      </c>
    </row>
    <row r="3474" spans="1:3" hidden="1">
      <c r="A3474" s="65">
        <v>9005141</v>
      </c>
      <c r="B3474" s="65" t="s">
        <v>4124</v>
      </c>
      <c r="C3474" s="65" t="s">
        <v>942</v>
      </c>
    </row>
    <row r="3475" spans="1:3" hidden="1">
      <c r="A3475" s="65">
        <v>9005142</v>
      </c>
      <c r="B3475" s="65" t="s">
        <v>4125</v>
      </c>
      <c r="C3475" s="65" t="s">
        <v>942</v>
      </c>
    </row>
    <row r="3476" spans="1:3" hidden="1">
      <c r="A3476" s="65">
        <v>9005143</v>
      </c>
      <c r="B3476" s="65" t="s">
        <v>4126</v>
      </c>
      <c r="C3476" s="65" t="s">
        <v>942</v>
      </c>
    </row>
    <row r="3477" spans="1:3" hidden="1">
      <c r="A3477" s="65">
        <v>9005144</v>
      </c>
      <c r="B3477" s="65" t="s">
        <v>4127</v>
      </c>
      <c r="C3477" s="65" t="s">
        <v>942</v>
      </c>
    </row>
    <row r="3478" spans="1:3" hidden="1">
      <c r="A3478" s="65">
        <v>9005145</v>
      </c>
      <c r="B3478" s="65" t="s">
        <v>4128</v>
      </c>
      <c r="C3478" s="65" t="s">
        <v>942</v>
      </c>
    </row>
    <row r="3479" spans="1:3" hidden="1">
      <c r="A3479" s="65">
        <v>9005146</v>
      </c>
      <c r="B3479" s="65" t="s">
        <v>4129</v>
      </c>
      <c r="C3479" s="65" t="s">
        <v>942</v>
      </c>
    </row>
    <row r="3480" spans="1:3" hidden="1">
      <c r="A3480" s="65">
        <v>9005147</v>
      </c>
      <c r="B3480" s="65" t="s">
        <v>4130</v>
      </c>
      <c r="C3480" s="65" t="s">
        <v>942</v>
      </c>
    </row>
    <row r="3481" spans="1:3" hidden="1">
      <c r="A3481" s="65">
        <v>9005148</v>
      </c>
      <c r="B3481" s="65" t="s">
        <v>4131</v>
      </c>
      <c r="C3481" s="65" t="s">
        <v>942</v>
      </c>
    </row>
    <row r="3482" spans="1:3" hidden="1">
      <c r="A3482" s="65">
        <v>9005149</v>
      </c>
      <c r="B3482" s="65" t="s">
        <v>4132</v>
      </c>
      <c r="C3482" s="65" t="s">
        <v>942</v>
      </c>
    </row>
    <row r="3483" spans="1:3" hidden="1">
      <c r="A3483" s="65">
        <v>9005150</v>
      </c>
      <c r="B3483" s="65" t="s">
        <v>4133</v>
      </c>
      <c r="C3483" s="65" t="s">
        <v>942</v>
      </c>
    </row>
    <row r="3484" spans="1:3" hidden="1">
      <c r="A3484" s="65">
        <v>9005151</v>
      </c>
      <c r="B3484" s="65" t="s">
        <v>4134</v>
      </c>
      <c r="C3484" s="65" t="s">
        <v>942</v>
      </c>
    </row>
    <row r="3485" spans="1:3" hidden="1">
      <c r="A3485" s="65">
        <v>9005152</v>
      </c>
      <c r="B3485" s="65" t="s">
        <v>4135</v>
      </c>
      <c r="C3485" s="65" t="s">
        <v>942</v>
      </c>
    </row>
    <row r="3486" spans="1:3" hidden="1">
      <c r="A3486" s="65">
        <v>9005153</v>
      </c>
      <c r="B3486" s="65" t="s">
        <v>4136</v>
      </c>
      <c r="C3486" s="65" t="s">
        <v>942</v>
      </c>
    </row>
    <row r="3487" spans="1:3" hidden="1">
      <c r="A3487" s="65">
        <v>9005154</v>
      </c>
      <c r="B3487" s="65" t="s">
        <v>4137</v>
      </c>
      <c r="C3487" s="65" t="s">
        <v>942</v>
      </c>
    </row>
    <row r="3488" spans="1:3" hidden="1">
      <c r="A3488" s="65">
        <v>9005155</v>
      </c>
      <c r="B3488" s="65" t="s">
        <v>4138</v>
      </c>
      <c r="C3488" s="65" t="s">
        <v>942</v>
      </c>
    </row>
    <row r="3489" spans="1:3" hidden="1">
      <c r="A3489" s="65">
        <v>9005156</v>
      </c>
      <c r="B3489" s="65" t="s">
        <v>4139</v>
      </c>
      <c r="C3489" s="65" t="s">
        <v>942</v>
      </c>
    </row>
    <row r="3490" spans="1:3" hidden="1">
      <c r="A3490" s="65">
        <v>9005157</v>
      </c>
      <c r="B3490" s="65" t="s">
        <v>4140</v>
      </c>
      <c r="C3490" s="65" t="s">
        <v>942</v>
      </c>
    </row>
    <row r="3491" spans="1:3" hidden="1">
      <c r="A3491" s="65">
        <v>9005158</v>
      </c>
      <c r="B3491" s="65" t="s">
        <v>4141</v>
      </c>
      <c r="C3491" s="65" t="s">
        <v>942</v>
      </c>
    </row>
    <row r="3492" spans="1:3" hidden="1">
      <c r="A3492" s="65">
        <v>9005159</v>
      </c>
      <c r="B3492" s="65" t="s">
        <v>4142</v>
      </c>
      <c r="C3492" s="65" t="s">
        <v>942</v>
      </c>
    </row>
    <row r="3493" spans="1:3" hidden="1">
      <c r="A3493" s="65">
        <v>9005160</v>
      </c>
      <c r="B3493" s="65" t="s">
        <v>4143</v>
      </c>
      <c r="C3493" s="65" t="s">
        <v>942</v>
      </c>
    </row>
    <row r="3494" spans="1:3" hidden="1">
      <c r="A3494" s="65">
        <v>9005161</v>
      </c>
      <c r="B3494" s="65" t="s">
        <v>4144</v>
      </c>
      <c r="C3494" s="65" t="s">
        <v>942</v>
      </c>
    </row>
    <row r="3495" spans="1:3" hidden="1">
      <c r="A3495" s="65">
        <v>9005162</v>
      </c>
      <c r="B3495" s="65" t="s">
        <v>4145</v>
      </c>
      <c r="C3495" s="65" t="s">
        <v>942</v>
      </c>
    </row>
    <row r="3496" spans="1:3" hidden="1">
      <c r="A3496" s="65">
        <v>9005163</v>
      </c>
      <c r="B3496" s="65" t="s">
        <v>4146</v>
      </c>
      <c r="C3496" s="65" t="s">
        <v>942</v>
      </c>
    </row>
    <row r="3497" spans="1:3" hidden="1">
      <c r="A3497" s="65">
        <v>9005164</v>
      </c>
      <c r="B3497" s="65" t="s">
        <v>4147</v>
      </c>
      <c r="C3497" s="65" t="s">
        <v>942</v>
      </c>
    </row>
    <row r="3498" spans="1:3" hidden="1">
      <c r="A3498" s="65">
        <v>9005165</v>
      </c>
      <c r="B3498" s="65" t="s">
        <v>4148</v>
      </c>
      <c r="C3498" s="65" t="s">
        <v>942</v>
      </c>
    </row>
    <row r="3499" spans="1:3" hidden="1">
      <c r="A3499" s="65">
        <v>9005166</v>
      </c>
      <c r="B3499" s="65" t="s">
        <v>4149</v>
      </c>
      <c r="C3499" s="65" t="s">
        <v>942</v>
      </c>
    </row>
    <row r="3500" spans="1:3" hidden="1">
      <c r="A3500" s="65">
        <v>9005167</v>
      </c>
      <c r="B3500" s="65" t="s">
        <v>4150</v>
      </c>
      <c r="C3500" s="65" t="s">
        <v>942</v>
      </c>
    </row>
    <row r="3501" spans="1:3" hidden="1">
      <c r="A3501" s="65">
        <v>9005168</v>
      </c>
      <c r="B3501" s="65" t="s">
        <v>4151</v>
      </c>
      <c r="C3501" s="65" t="s">
        <v>942</v>
      </c>
    </row>
    <row r="3502" spans="1:3" hidden="1">
      <c r="A3502" s="65">
        <v>9005169</v>
      </c>
      <c r="B3502" s="65" t="s">
        <v>4152</v>
      </c>
      <c r="C3502" s="65" t="s">
        <v>942</v>
      </c>
    </row>
    <row r="3503" spans="1:3" hidden="1">
      <c r="A3503" s="65">
        <v>9005170</v>
      </c>
      <c r="B3503" s="65" t="s">
        <v>4153</v>
      </c>
      <c r="C3503" s="65" t="s">
        <v>942</v>
      </c>
    </row>
    <row r="3504" spans="1:3" hidden="1">
      <c r="A3504" s="65">
        <v>9005171</v>
      </c>
      <c r="B3504" s="65" t="s">
        <v>4154</v>
      </c>
      <c r="C3504" s="65" t="s">
        <v>942</v>
      </c>
    </row>
    <row r="3505" spans="1:3" hidden="1">
      <c r="A3505" s="65">
        <v>9005172</v>
      </c>
      <c r="B3505" s="65" t="s">
        <v>4155</v>
      </c>
      <c r="C3505" s="65" t="s">
        <v>942</v>
      </c>
    </row>
    <row r="3506" spans="1:3" hidden="1">
      <c r="A3506" s="65">
        <v>9005173</v>
      </c>
      <c r="B3506" s="65" t="s">
        <v>4156</v>
      </c>
      <c r="C3506" s="65" t="s">
        <v>942</v>
      </c>
    </row>
    <row r="3507" spans="1:3" hidden="1">
      <c r="A3507" s="65">
        <v>9005174</v>
      </c>
      <c r="B3507" s="65" t="s">
        <v>4157</v>
      </c>
      <c r="C3507" s="65" t="s">
        <v>942</v>
      </c>
    </row>
    <row r="3508" spans="1:3" hidden="1">
      <c r="A3508" s="65">
        <v>9005175</v>
      </c>
      <c r="B3508" s="65" t="s">
        <v>4158</v>
      </c>
      <c r="C3508" s="65" t="s">
        <v>942</v>
      </c>
    </row>
    <row r="3509" spans="1:3" hidden="1">
      <c r="A3509" s="65">
        <v>9005176</v>
      </c>
      <c r="B3509" s="65" t="s">
        <v>4159</v>
      </c>
      <c r="C3509" s="65" t="s">
        <v>942</v>
      </c>
    </row>
    <row r="3510" spans="1:3" hidden="1">
      <c r="A3510" s="65">
        <v>9005177</v>
      </c>
      <c r="B3510" s="65" t="s">
        <v>4160</v>
      </c>
      <c r="C3510" s="65" t="s">
        <v>942</v>
      </c>
    </row>
    <row r="3511" spans="1:3" hidden="1">
      <c r="A3511" s="65">
        <v>9005178</v>
      </c>
      <c r="B3511" s="65" t="s">
        <v>4161</v>
      </c>
      <c r="C3511" s="65" t="s">
        <v>942</v>
      </c>
    </row>
    <row r="3512" spans="1:3" hidden="1">
      <c r="A3512" s="65">
        <v>9005179</v>
      </c>
      <c r="B3512" s="65" t="s">
        <v>4162</v>
      </c>
      <c r="C3512" s="65" t="s">
        <v>942</v>
      </c>
    </row>
    <row r="3513" spans="1:3" hidden="1">
      <c r="A3513" s="65">
        <v>9005180</v>
      </c>
      <c r="B3513" s="65" t="s">
        <v>4163</v>
      </c>
      <c r="C3513" s="65" t="s">
        <v>942</v>
      </c>
    </row>
    <row r="3514" spans="1:3" hidden="1">
      <c r="A3514" s="65">
        <v>9005181</v>
      </c>
      <c r="B3514" s="65" t="s">
        <v>4164</v>
      </c>
      <c r="C3514" s="65" t="s">
        <v>942</v>
      </c>
    </row>
    <row r="3515" spans="1:3" hidden="1">
      <c r="A3515" s="65">
        <v>9005182</v>
      </c>
      <c r="B3515" s="65" t="s">
        <v>4165</v>
      </c>
      <c r="C3515" s="65" t="s">
        <v>942</v>
      </c>
    </row>
    <row r="3516" spans="1:3" hidden="1">
      <c r="A3516" s="65">
        <v>9005183</v>
      </c>
      <c r="B3516" s="65" t="s">
        <v>4166</v>
      </c>
      <c r="C3516" s="65" t="s">
        <v>942</v>
      </c>
    </row>
    <row r="3517" spans="1:3" hidden="1">
      <c r="A3517" s="65">
        <v>9005184</v>
      </c>
      <c r="B3517" s="65" t="s">
        <v>4167</v>
      </c>
      <c r="C3517" s="65" t="s">
        <v>942</v>
      </c>
    </row>
    <row r="3518" spans="1:3" hidden="1">
      <c r="A3518" s="65">
        <v>9005185</v>
      </c>
      <c r="B3518" s="65" t="s">
        <v>4168</v>
      </c>
      <c r="C3518" s="65" t="s">
        <v>942</v>
      </c>
    </row>
    <row r="3519" spans="1:3" hidden="1">
      <c r="A3519" s="65">
        <v>9005186</v>
      </c>
      <c r="B3519" s="65" t="s">
        <v>4169</v>
      </c>
      <c r="C3519" s="65" t="s">
        <v>942</v>
      </c>
    </row>
    <row r="3520" spans="1:3" hidden="1">
      <c r="A3520" s="65">
        <v>9005187</v>
      </c>
      <c r="B3520" s="65" t="s">
        <v>4170</v>
      </c>
      <c r="C3520" s="65" t="s">
        <v>942</v>
      </c>
    </row>
    <row r="3521" spans="1:3" hidden="1">
      <c r="A3521" s="65">
        <v>9005188</v>
      </c>
      <c r="B3521" s="65" t="s">
        <v>4171</v>
      </c>
      <c r="C3521" s="65" t="s">
        <v>942</v>
      </c>
    </row>
    <row r="3522" spans="1:3" hidden="1">
      <c r="A3522" s="65">
        <v>9005189</v>
      </c>
      <c r="B3522" s="65" t="s">
        <v>4172</v>
      </c>
      <c r="C3522" s="65" t="s">
        <v>942</v>
      </c>
    </row>
    <row r="3523" spans="1:3" hidden="1">
      <c r="A3523" s="65">
        <v>9005190</v>
      </c>
      <c r="B3523" s="65" t="s">
        <v>4173</v>
      </c>
      <c r="C3523" s="65" t="s">
        <v>942</v>
      </c>
    </row>
    <row r="3524" spans="1:3" hidden="1">
      <c r="A3524" s="65">
        <v>9005191</v>
      </c>
      <c r="B3524" s="65" t="s">
        <v>4174</v>
      </c>
      <c r="C3524" s="65" t="s">
        <v>942</v>
      </c>
    </row>
    <row r="3525" spans="1:3" hidden="1">
      <c r="A3525" s="65">
        <v>9005192</v>
      </c>
      <c r="B3525" s="65" t="s">
        <v>4175</v>
      </c>
      <c r="C3525" s="65" t="s">
        <v>942</v>
      </c>
    </row>
    <row r="3526" spans="1:3" hidden="1">
      <c r="A3526" s="65">
        <v>9005193</v>
      </c>
      <c r="B3526" s="65" t="s">
        <v>4176</v>
      </c>
      <c r="C3526" s="65" t="s">
        <v>942</v>
      </c>
    </row>
    <row r="3527" spans="1:3" hidden="1">
      <c r="A3527" s="65">
        <v>9005194</v>
      </c>
      <c r="B3527" s="65" t="s">
        <v>4177</v>
      </c>
      <c r="C3527" s="65" t="s">
        <v>942</v>
      </c>
    </row>
    <row r="3528" spans="1:3" hidden="1">
      <c r="A3528" s="65">
        <v>9005195</v>
      </c>
      <c r="B3528" s="65" t="s">
        <v>4178</v>
      </c>
      <c r="C3528" s="65" t="s">
        <v>942</v>
      </c>
    </row>
    <row r="3529" spans="1:3" hidden="1">
      <c r="A3529" s="65">
        <v>9005196</v>
      </c>
      <c r="B3529" s="65" t="s">
        <v>4179</v>
      </c>
      <c r="C3529" s="65" t="s">
        <v>942</v>
      </c>
    </row>
    <row r="3530" spans="1:3" hidden="1">
      <c r="A3530" s="65">
        <v>9005197</v>
      </c>
      <c r="B3530" s="65" t="s">
        <v>4180</v>
      </c>
      <c r="C3530" s="65" t="s">
        <v>942</v>
      </c>
    </row>
    <row r="3531" spans="1:3" hidden="1">
      <c r="A3531" s="65">
        <v>9005198</v>
      </c>
      <c r="B3531" s="65" t="s">
        <v>4181</v>
      </c>
      <c r="C3531" s="65" t="s">
        <v>942</v>
      </c>
    </row>
    <row r="3532" spans="1:3" hidden="1">
      <c r="A3532" s="65">
        <v>9005199</v>
      </c>
      <c r="B3532" s="65" t="s">
        <v>4182</v>
      </c>
      <c r="C3532" s="65" t="s">
        <v>942</v>
      </c>
    </row>
    <row r="3533" spans="1:3" hidden="1">
      <c r="A3533" s="65">
        <v>9005200</v>
      </c>
      <c r="B3533" s="65" t="s">
        <v>4183</v>
      </c>
      <c r="C3533" s="65" t="s">
        <v>942</v>
      </c>
    </row>
    <row r="3534" spans="1:3" hidden="1">
      <c r="A3534" s="65">
        <v>9005201</v>
      </c>
      <c r="B3534" s="65" t="s">
        <v>4184</v>
      </c>
      <c r="C3534" s="65" t="s">
        <v>942</v>
      </c>
    </row>
    <row r="3535" spans="1:3" hidden="1">
      <c r="A3535" s="65">
        <v>9005202</v>
      </c>
      <c r="B3535" s="65" t="s">
        <v>4185</v>
      </c>
      <c r="C3535" s="65" t="s">
        <v>942</v>
      </c>
    </row>
    <row r="3536" spans="1:3" hidden="1">
      <c r="A3536" s="65">
        <v>9005203</v>
      </c>
      <c r="B3536" s="65" t="s">
        <v>4186</v>
      </c>
      <c r="C3536" s="65" t="s">
        <v>942</v>
      </c>
    </row>
    <row r="3537" spans="1:3" hidden="1">
      <c r="A3537" s="65">
        <v>9005204</v>
      </c>
      <c r="B3537" s="65" t="s">
        <v>4187</v>
      </c>
      <c r="C3537" s="65" t="s">
        <v>942</v>
      </c>
    </row>
    <row r="3538" spans="1:3" hidden="1">
      <c r="A3538" s="65">
        <v>9005205</v>
      </c>
      <c r="B3538" s="65" t="s">
        <v>4188</v>
      </c>
      <c r="C3538" s="65" t="s">
        <v>942</v>
      </c>
    </row>
    <row r="3539" spans="1:3" hidden="1">
      <c r="A3539" s="65">
        <v>9005206</v>
      </c>
      <c r="B3539" s="65" t="s">
        <v>4189</v>
      </c>
      <c r="C3539" s="65" t="s">
        <v>942</v>
      </c>
    </row>
    <row r="3540" spans="1:3" hidden="1">
      <c r="A3540" s="65">
        <v>9005207</v>
      </c>
      <c r="B3540" s="65" t="s">
        <v>4190</v>
      </c>
      <c r="C3540" s="65" t="s">
        <v>942</v>
      </c>
    </row>
    <row r="3541" spans="1:3" hidden="1">
      <c r="A3541" s="65">
        <v>9005208</v>
      </c>
      <c r="B3541" s="65" t="s">
        <v>4191</v>
      </c>
      <c r="C3541" s="65" t="s">
        <v>942</v>
      </c>
    </row>
    <row r="3542" spans="1:3" hidden="1">
      <c r="A3542" s="65">
        <v>9005209</v>
      </c>
      <c r="B3542" s="65" t="s">
        <v>4192</v>
      </c>
      <c r="C3542" s="65" t="s">
        <v>942</v>
      </c>
    </row>
    <row r="3543" spans="1:3" hidden="1">
      <c r="A3543" s="65">
        <v>9005210</v>
      </c>
      <c r="B3543" s="65" t="s">
        <v>4193</v>
      </c>
      <c r="C3543" s="65" t="s">
        <v>942</v>
      </c>
    </row>
    <row r="3544" spans="1:3" hidden="1">
      <c r="A3544" s="65">
        <v>9005211</v>
      </c>
      <c r="B3544" s="65" t="s">
        <v>4194</v>
      </c>
      <c r="C3544" s="65" t="s">
        <v>805</v>
      </c>
    </row>
    <row r="3545" spans="1:3" hidden="1">
      <c r="A3545" s="65">
        <v>9005212</v>
      </c>
      <c r="B3545" s="65" t="s">
        <v>4195</v>
      </c>
      <c r="C3545" s="65" t="s">
        <v>942</v>
      </c>
    </row>
    <row r="3546" spans="1:3" hidden="1">
      <c r="A3546" s="65">
        <v>9005213</v>
      </c>
      <c r="B3546" s="65" t="s">
        <v>3035</v>
      </c>
      <c r="C3546" s="65" t="s">
        <v>942</v>
      </c>
    </row>
    <row r="3547" spans="1:3">
      <c r="A3547" s="65">
        <v>9005214</v>
      </c>
      <c r="B3547" s="65" t="s">
        <v>4196</v>
      </c>
      <c r="C3547" s="65" t="s">
        <v>942</v>
      </c>
    </row>
    <row r="3548" spans="1:3" hidden="1">
      <c r="A3548" s="65">
        <v>9005215</v>
      </c>
      <c r="B3548" s="65" t="s">
        <v>4197</v>
      </c>
      <c r="C3548" s="65" t="s">
        <v>942</v>
      </c>
    </row>
    <row r="3549" spans="1:3" hidden="1">
      <c r="A3549" s="65">
        <v>9005216</v>
      </c>
      <c r="B3549" s="65" t="s">
        <v>3036</v>
      </c>
      <c r="C3549" s="65" t="s">
        <v>942</v>
      </c>
    </row>
    <row r="3550" spans="1:3" hidden="1">
      <c r="A3550" s="65">
        <v>9005217</v>
      </c>
      <c r="B3550" s="65" t="s">
        <v>4198</v>
      </c>
      <c r="C3550" s="65" t="s">
        <v>942</v>
      </c>
    </row>
    <row r="3551" spans="1:3" hidden="1">
      <c r="A3551" s="65">
        <v>9005218</v>
      </c>
      <c r="B3551" s="65" t="s">
        <v>3047</v>
      </c>
      <c r="C3551" s="65" t="s">
        <v>942</v>
      </c>
    </row>
    <row r="3552" spans="1:3" hidden="1">
      <c r="A3552" s="65">
        <v>9005219</v>
      </c>
      <c r="B3552" s="65" t="s">
        <v>4199</v>
      </c>
      <c r="C3552" s="65" t="s">
        <v>942</v>
      </c>
    </row>
    <row r="3553" spans="1:3" hidden="1">
      <c r="A3553" s="65">
        <v>9005220</v>
      </c>
      <c r="B3553" s="65" t="s">
        <v>4200</v>
      </c>
      <c r="C3553" s="65" t="s">
        <v>942</v>
      </c>
    </row>
    <row r="3554" spans="1:3" hidden="1">
      <c r="A3554" s="65">
        <v>9005221</v>
      </c>
      <c r="B3554" s="65" t="s">
        <v>4201</v>
      </c>
      <c r="C3554" s="65" t="s">
        <v>942</v>
      </c>
    </row>
    <row r="3555" spans="1:3" hidden="1">
      <c r="A3555" s="65">
        <v>9005222</v>
      </c>
      <c r="B3555" s="65" t="s">
        <v>4202</v>
      </c>
      <c r="C3555" s="65" t="s">
        <v>805</v>
      </c>
    </row>
    <row r="3556" spans="1:3" hidden="1">
      <c r="A3556" s="65">
        <v>9005223</v>
      </c>
      <c r="B3556" s="65" t="s">
        <v>4203</v>
      </c>
      <c r="C3556" s="65" t="s">
        <v>805</v>
      </c>
    </row>
    <row r="3557" spans="1:3" hidden="1">
      <c r="A3557" s="65">
        <v>9005224</v>
      </c>
      <c r="B3557" s="65" t="s">
        <v>4204</v>
      </c>
      <c r="C3557" s="65" t="s">
        <v>805</v>
      </c>
    </row>
    <row r="3558" spans="1:3" hidden="1">
      <c r="A3558" s="65">
        <v>9005225</v>
      </c>
      <c r="B3558" s="65" t="s">
        <v>4205</v>
      </c>
      <c r="C3558" s="65" t="s">
        <v>805</v>
      </c>
    </row>
    <row r="3559" spans="1:3" hidden="1">
      <c r="A3559" s="65">
        <v>9005226</v>
      </c>
      <c r="B3559" s="65" t="s">
        <v>4206</v>
      </c>
      <c r="C3559" s="65" t="s">
        <v>805</v>
      </c>
    </row>
    <row r="3560" spans="1:3" hidden="1">
      <c r="A3560" s="65">
        <v>9005227</v>
      </c>
      <c r="B3560" s="65" t="s">
        <v>4207</v>
      </c>
      <c r="C3560" s="65" t="s">
        <v>805</v>
      </c>
    </row>
    <row r="3561" spans="1:3" hidden="1">
      <c r="A3561" s="65">
        <v>9005228</v>
      </c>
      <c r="B3561" s="65" t="s">
        <v>4208</v>
      </c>
      <c r="C3561" s="65" t="s">
        <v>805</v>
      </c>
    </row>
    <row r="3562" spans="1:3" hidden="1">
      <c r="A3562" s="65">
        <v>9005229</v>
      </c>
      <c r="B3562" s="65" t="s">
        <v>4209</v>
      </c>
      <c r="C3562" s="65" t="s">
        <v>805</v>
      </c>
    </row>
    <row r="3563" spans="1:3" hidden="1">
      <c r="A3563" s="65">
        <v>9005230</v>
      </c>
      <c r="B3563" s="65" t="s">
        <v>4210</v>
      </c>
      <c r="C3563" s="65" t="s">
        <v>805</v>
      </c>
    </row>
    <row r="3564" spans="1:3" hidden="1">
      <c r="A3564" s="65">
        <v>9005231</v>
      </c>
      <c r="B3564" s="65" t="s">
        <v>4211</v>
      </c>
      <c r="C3564" s="65" t="s">
        <v>805</v>
      </c>
    </row>
    <row r="3565" spans="1:3" hidden="1">
      <c r="A3565" s="65">
        <v>9005232</v>
      </c>
      <c r="B3565" s="65" t="s">
        <v>4212</v>
      </c>
      <c r="C3565" s="65" t="s">
        <v>805</v>
      </c>
    </row>
    <row r="3566" spans="1:3" hidden="1">
      <c r="A3566" s="65">
        <v>9005233</v>
      </c>
      <c r="B3566" s="65" t="s">
        <v>3812</v>
      </c>
      <c r="C3566" s="65" t="s">
        <v>683</v>
      </c>
    </row>
    <row r="3567" spans="1:3" hidden="1">
      <c r="A3567" s="65">
        <v>9005234</v>
      </c>
      <c r="B3567" s="65" t="s">
        <v>4213</v>
      </c>
      <c r="C3567" s="65" t="s">
        <v>683</v>
      </c>
    </row>
    <row r="3568" spans="1:3" hidden="1">
      <c r="A3568" s="65">
        <v>9005235</v>
      </c>
      <c r="B3568" s="65" t="s">
        <v>4214</v>
      </c>
      <c r="C3568" s="65" t="s">
        <v>1181</v>
      </c>
    </row>
    <row r="3569" spans="1:3" hidden="1">
      <c r="A3569" s="65">
        <v>9005236</v>
      </c>
      <c r="B3569" s="65" t="s">
        <v>4215</v>
      </c>
      <c r="C3569" s="65" t="s">
        <v>805</v>
      </c>
    </row>
    <row r="3570" spans="1:3" hidden="1">
      <c r="A3570" s="65">
        <v>9005237</v>
      </c>
      <c r="B3570" s="65" t="s">
        <v>4216</v>
      </c>
      <c r="C3570" s="65" t="s">
        <v>805</v>
      </c>
    </row>
    <row r="3571" spans="1:3" hidden="1">
      <c r="A3571" s="65">
        <v>9005238</v>
      </c>
      <c r="B3571" s="65" t="s">
        <v>4217</v>
      </c>
      <c r="C3571" s="65" t="s">
        <v>805</v>
      </c>
    </row>
    <row r="3572" spans="1:3" hidden="1">
      <c r="A3572" s="65">
        <v>9005239</v>
      </c>
      <c r="B3572" s="65" t="s">
        <v>4218</v>
      </c>
      <c r="C3572" s="65" t="s">
        <v>805</v>
      </c>
    </row>
    <row r="3573" spans="1:3" hidden="1">
      <c r="A3573" s="65">
        <v>9005240</v>
      </c>
      <c r="B3573" s="65" t="s">
        <v>4219</v>
      </c>
      <c r="C3573" s="65" t="s">
        <v>805</v>
      </c>
    </row>
    <row r="3574" spans="1:3" hidden="1">
      <c r="A3574" s="65">
        <v>9005241</v>
      </c>
      <c r="B3574" s="65" t="s">
        <v>4220</v>
      </c>
      <c r="C3574" s="65" t="s">
        <v>805</v>
      </c>
    </row>
    <row r="3575" spans="1:3" hidden="1">
      <c r="A3575" s="65">
        <v>9005242</v>
      </c>
      <c r="B3575" s="65" t="s">
        <v>4221</v>
      </c>
      <c r="C3575" s="65" t="s">
        <v>805</v>
      </c>
    </row>
    <row r="3576" spans="1:3" hidden="1">
      <c r="A3576" s="65">
        <v>9005243</v>
      </c>
      <c r="B3576" s="65" t="s">
        <v>4222</v>
      </c>
      <c r="C3576" s="65" t="s">
        <v>805</v>
      </c>
    </row>
    <row r="3577" spans="1:3" hidden="1">
      <c r="A3577" s="65">
        <v>9005244</v>
      </c>
      <c r="B3577" s="65" t="s">
        <v>4223</v>
      </c>
      <c r="C3577" s="65" t="s">
        <v>805</v>
      </c>
    </row>
    <row r="3578" spans="1:3" hidden="1">
      <c r="A3578" s="65">
        <v>9005245</v>
      </c>
      <c r="B3578" s="65" t="s">
        <v>4224</v>
      </c>
      <c r="C3578" s="65" t="s">
        <v>805</v>
      </c>
    </row>
    <row r="3579" spans="1:3" hidden="1">
      <c r="A3579" s="65">
        <v>9005246</v>
      </c>
      <c r="B3579" s="65" t="s">
        <v>4225</v>
      </c>
      <c r="C3579" s="65" t="s">
        <v>805</v>
      </c>
    </row>
    <row r="3580" spans="1:3" hidden="1">
      <c r="A3580" s="65">
        <v>9005247</v>
      </c>
      <c r="B3580" s="65" t="s">
        <v>4226</v>
      </c>
      <c r="C3580" s="65" t="s">
        <v>805</v>
      </c>
    </row>
    <row r="3581" spans="1:3" hidden="1">
      <c r="A3581" s="65">
        <v>9005248</v>
      </c>
      <c r="B3581" s="65" t="s">
        <v>4227</v>
      </c>
      <c r="C3581" s="65" t="s">
        <v>805</v>
      </c>
    </row>
    <row r="3582" spans="1:3" hidden="1">
      <c r="A3582" s="65">
        <v>9005249</v>
      </c>
      <c r="B3582" s="65" t="s">
        <v>4228</v>
      </c>
      <c r="C3582" s="65" t="s">
        <v>805</v>
      </c>
    </row>
    <row r="3583" spans="1:3" hidden="1">
      <c r="A3583" s="65">
        <v>9005250</v>
      </c>
      <c r="B3583" s="65" t="s">
        <v>4229</v>
      </c>
      <c r="C3583" s="65" t="s">
        <v>805</v>
      </c>
    </row>
    <row r="3584" spans="1:3" hidden="1">
      <c r="A3584" s="65">
        <v>9005251</v>
      </c>
      <c r="B3584" s="65" t="s">
        <v>4230</v>
      </c>
      <c r="C3584" s="65" t="s">
        <v>805</v>
      </c>
    </row>
    <row r="3585" spans="1:3" hidden="1">
      <c r="A3585" s="65">
        <v>9005252</v>
      </c>
      <c r="B3585" s="65" t="s">
        <v>4231</v>
      </c>
      <c r="C3585" s="65" t="s">
        <v>738</v>
      </c>
    </row>
    <row r="3586" spans="1:3" hidden="1">
      <c r="A3586" s="65">
        <v>9005253</v>
      </c>
      <c r="B3586" s="65" t="s">
        <v>4232</v>
      </c>
      <c r="C3586" s="65" t="s">
        <v>738</v>
      </c>
    </row>
    <row r="3587" spans="1:3" hidden="1">
      <c r="A3587" s="65">
        <v>9005254</v>
      </c>
      <c r="B3587" s="65" t="s">
        <v>4233</v>
      </c>
      <c r="C3587" s="65" t="s">
        <v>738</v>
      </c>
    </row>
    <row r="3588" spans="1:3" hidden="1">
      <c r="A3588" s="65">
        <v>9005255</v>
      </c>
      <c r="B3588" s="65" t="s">
        <v>4234</v>
      </c>
      <c r="C3588" s="65" t="s">
        <v>738</v>
      </c>
    </row>
    <row r="3589" spans="1:3" hidden="1">
      <c r="A3589" s="65">
        <v>9005256</v>
      </c>
      <c r="B3589" s="65" t="s">
        <v>4235</v>
      </c>
      <c r="C3589" s="65" t="s">
        <v>738</v>
      </c>
    </row>
    <row r="3590" spans="1:3" hidden="1">
      <c r="A3590" s="65">
        <v>9005257</v>
      </c>
      <c r="B3590" s="65" t="s">
        <v>4236</v>
      </c>
      <c r="C3590" s="65" t="s">
        <v>738</v>
      </c>
    </row>
    <row r="3591" spans="1:3" hidden="1">
      <c r="A3591" s="65">
        <v>9005258</v>
      </c>
      <c r="B3591" s="65" t="s">
        <v>4237</v>
      </c>
      <c r="C3591" s="65" t="s">
        <v>1101</v>
      </c>
    </row>
    <row r="3592" spans="1:3" hidden="1">
      <c r="A3592" s="65">
        <v>9005259</v>
      </c>
      <c r="B3592" s="65" t="s">
        <v>4238</v>
      </c>
      <c r="C3592" s="65" t="s">
        <v>1101</v>
      </c>
    </row>
    <row r="3593" spans="1:3" hidden="1">
      <c r="A3593" s="65">
        <v>9005260</v>
      </c>
      <c r="B3593" s="65" t="s">
        <v>4239</v>
      </c>
      <c r="C3593" s="65" t="s">
        <v>793</v>
      </c>
    </row>
    <row r="3594" spans="1:3" hidden="1">
      <c r="A3594" s="65">
        <v>9005261</v>
      </c>
      <c r="B3594" s="65" t="s">
        <v>4240</v>
      </c>
      <c r="C3594" s="65" t="s">
        <v>793</v>
      </c>
    </row>
    <row r="3595" spans="1:3" hidden="1">
      <c r="A3595" s="65">
        <v>9005262</v>
      </c>
      <c r="B3595" s="65" t="s">
        <v>4241</v>
      </c>
      <c r="C3595" s="65" t="s">
        <v>738</v>
      </c>
    </row>
    <row r="3596" spans="1:3" hidden="1">
      <c r="A3596" s="65">
        <v>9005263</v>
      </c>
      <c r="B3596" s="65" t="s">
        <v>4242</v>
      </c>
      <c r="C3596" s="65" t="s">
        <v>738</v>
      </c>
    </row>
    <row r="3597" spans="1:3" hidden="1">
      <c r="A3597" s="65">
        <v>9005264</v>
      </c>
      <c r="B3597" s="65" t="s">
        <v>4243</v>
      </c>
      <c r="C3597" s="65" t="s">
        <v>738</v>
      </c>
    </row>
    <row r="3598" spans="1:3" hidden="1">
      <c r="A3598" s="65">
        <v>9005265</v>
      </c>
      <c r="B3598" s="65" t="s">
        <v>4244</v>
      </c>
      <c r="C3598" s="65" t="s">
        <v>738</v>
      </c>
    </row>
    <row r="3599" spans="1:3" hidden="1">
      <c r="A3599" s="65">
        <v>9005266</v>
      </c>
      <c r="B3599" s="65" t="s">
        <v>4245</v>
      </c>
      <c r="C3599" s="65" t="s">
        <v>1101</v>
      </c>
    </row>
    <row r="3600" spans="1:3" hidden="1">
      <c r="A3600" s="65">
        <v>9005267</v>
      </c>
      <c r="B3600" s="65" t="s">
        <v>4246</v>
      </c>
      <c r="C3600" s="65" t="s">
        <v>942</v>
      </c>
    </row>
    <row r="3601" spans="1:3" hidden="1">
      <c r="A3601" s="65">
        <v>9005268</v>
      </c>
      <c r="B3601" s="65" t="s">
        <v>4247</v>
      </c>
      <c r="C3601" s="65" t="s">
        <v>942</v>
      </c>
    </row>
    <row r="3602" spans="1:3" hidden="1">
      <c r="A3602" s="65">
        <v>9005269</v>
      </c>
      <c r="B3602" s="65" t="s">
        <v>4248</v>
      </c>
      <c r="C3602" s="65" t="s">
        <v>942</v>
      </c>
    </row>
    <row r="3603" spans="1:3" hidden="1">
      <c r="A3603" s="65">
        <v>9005270</v>
      </c>
      <c r="B3603" s="65" t="s">
        <v>4249</v>
      </c>
      <c r="C3603" s="65" t="s">
        <v>942</v>
      </c>
    </row>
    <row r="3604" spans="1:3" hidden="1">
      <c r="A3604" s="65">
        <v>9005271</v>
      </c>
      <c r="B3604" s="65" t="s">
        <v>4250</v>
      </c>
      <c r="C3604" s="65" t="s">
        <v>942</v>
      </c>
    </row>
    <row r="3605" spans="1:3" hidden="1">
      <c r="A3605" s="65">
        <v>9005272</v>
      </c>
      <c r="B3605" s="65" t="s">
        <v>4251</v>
      </c>
      <c r="C3605" s="65" t="s">
        <v>942</v>
      </c>
    </row>
    <row r="3606" spans="1:3" hidden="1">
      <c r="A3606" s="65">
        <v>9005273</v>
      </c>
      <c r="B3606" s="65" t="s">
        <v>3953</v>
      </c>
      <c r="C3606" s="65" t="s">
        <v>942</v>
      </c>
    </row>
    <row r="3607" spans="1:3" hidden="1">
      <c r="A3607" s="65">
        <v>9005274</v>
      </c>
      <c r="B3607" s="65" t="s">
        <v>3954</v>
      </c>
      <c r="C3607" s="65" t="s">
        <v>942</v>
      </c>
    </row>
    <row r="3608" spans="1:3" hidden="1">
      <c r="A3608" s="65">
        <v>9005275</v>
      </c>
      <c r="B3608" s="65" t="s">
        <v>4252</v>
      </c>
      <c r="C3608" s="65" t="s">
        <v>942</v>
      </c>
    </row>
    <row r="3609" spans="1:3" hidden="1">
      <c r="A3609" s="65">
        <v>9005276</v>
      </c>
      <c r="B3609" s="65" t="s">
        <v>4253</v>
      </c>
      <c r="C3609" s="65" t="s">
        <v>942</v>
      </c>
    </row>
    <row r="3610" spans="1:3" hidden="1">
      <c r="A3610" s="65">
        <v>9005277</v>
      </c>
      <c r="B3610" s="65" t="s">
        <v>4254</v>
      </c>
      <c r="C3610" s="65" t="s">
        <v>942</v>
      </c>
    </row>
    <row r="3611" spans="1:3" hidden="1">
      <c r="A3611" s="65">
        <v>9005278</v>
      </c>
      <c r="B3611" s="65" t="s">
        <v>4255</v>
      </c>
      <c r="C3611" s="65" t="s">
        <v>942</v>
      </c>
    </row>
    <row r="3612" spans="1:3" hidden="1">
      <c r="A3612" s="65">
        <v>9005279</v>
      </c>
      <c r="B3612" s="65" t="s">
        <v>4256</v>
      </c>
      <c r="C3612" s="65" t="s">
        <v>942</v>
      </c>
    </row>
    <row r="3613" spans="1:3" hidden="1">
      <c r="A3613" s="65">
        <v>9005280</v>
      </c>
      <c r="B3613" s="65" t="s">
        <v>4257</v>
      </c>
      <c r="C3613" s="65" t="s">
        <v>942</v>
      </c>
    </row>
    <row r="3614" spans="1:3" hidden="1">
      <c r="A3614" s="65">
        <v>9005281</v>
      </c>
      <c r="B3614" s="65" t="s">
        <v>4258</v>
      </c>
      <c r="C3614" s="65" t="s">
        <v>942</v>
      </c>
    </row>
    <row r="3615" spans="1:3" hidden="1">
      <c r="A3615" s="65">
        <v>9005282</v>
      </c>
      <c r="B3615" s="65" t="s">
        <v>4259</v>
      </c>
      <c r="C3615" s="65" t="s">
        <v>942</v>
      </c>
    </row>
    <row r="3616" spans="1:3" hidden="1">
      <c r="A3616" s="65">
        <v>9005283</v>
      </c>
      <c r="B3616" s="65" t="s">
        <v>4260</v>
      </c>
      <c r="C3616" s="65" t="s">
        <v>942</v>
      </c>
    </row>
    <row r="3617" spans="1:3" hidden="1">
      <c r="A3617" s="65">
        <v>9005284</v>
      </c>
      <c r="B3617" s="65" t="s">
        <v>4261</v>
      </c>
      <c r="C3617" s="65" t="s">
        <v>942</v>
      </c>
    </row>
    <row r="3618" spans="1:3" hidden="1">
      <c r="A3618" s="65">
        <v>9005285</v>
      </c>
      <c r="B3618" s="65" t="s">
        <v>4262</v>
      </c>
      <c r="C3618" s="65" t="s">
        <v>942</v>
      </c>
    </row>
    <row r="3619" spans="1:3" hidden="1">
      <c r="A3619" s="65">
        <v>9005286</v>
      </c>
      <c r="B3619" s="65" t="s">
        <v>4263</v>
      </c>
      <c r="C3619" s="65" t="s">
        <v>942</v>
      </c>
    </row>
    <row r="3620" spans="1:3" hidden="1">
      <c r="A3620" s="65">
        <v>9005287</v>
      </c>
      <c r="B3620" s="65" t="s">
        <v>4264</v>
      </c>
      <c r="C3620" s="65" t="s">
        <v>942</v>
      </c>
    </row>
    <row r="3621" spans="1:3" hidden="1">
      <c r="A3621" s="65">
        <v>9005288</v>
      </c>
      <c r="B3621" s="65" t="s">
        <v>4265</v>
      </c>
      <c r="C3621" s="65" t="s">
        <v>942</v>
      </c>
    </row>
    <row r="3622" spans="1:3" hidden="1">
      <c r="A3622" s="65">
        <v>9005289</v>
      </c>
      <c r="B3622" s="65" t="s">
        <v>4266</v>
      </c>
      <c r="C3622" s="65" t="s">
        <v>942</v>
      </c>
    </row>
    <row r="3623" spans="1:3" hidden="1">
      <c r="A3623" s="65">
        <v>9005290</v>
      </c>
      <c r="B3623" s="65" t="s">
        <v>4267</v>
      </c>
      <c r="C3623" s="65" t="s">
        <v>942</v>
      </c>
    </row>
    <row r="3624" spans="1:3" hidden="1">
      <c r="A3624" s="65">
        <v>9005291</v>
      </c>
      <c r="B3624" s="65" t="s">
        <v>4268</v>
      </c>
      <c r="C3624" s="65" t="s">
        <v>942</v>
      </c>
    </row>
    <row r="3625" spans="1:3" hidden="1">
      <c r="A3625" s="65">
        <v>9005292</v>
      </c>
      <c r="B3625" s="65" t="s">
        <v>4269</v>
      </c>
      <c r="C3625" s="65" t="s">
        <v>942</v>
      </c>
    </row>
    <row r="3626" spans="1:3" hidden="1">
      <c r="A3626" s="65">
        <v>9005293</v>
      </c>
      <c r="B3626" s="65" t="s">
        <v>4270</v>
      </c>
      <c r="C3626" s="65" t="s">
        <v>942</v>
      </c>
    </row>
    <row r="3627" spans="1:3" hidden="1">
      <c r="A3627" s="65">
        <v>9005294</v>
      </c>
      <c r="B3627" s="65" t="s">
        <v>4271</v>
      </c>
      <c r="C3627" s="65" t="s">
        <v>942</v>
      </c>
    </row>
    <row r="3628" spans="1:3" hidden="1">
      <c r="A3628" s="65">
        <v>9005295</v>
      </c>
      <c r="B3628" s="65" t="s">
        <v>4272</v>
      </c>
      <c r="C3628" s="65" t="s">
        <v>942</v>
      </c>
    </row>
    <row r="3629" spans="1:3" hidden="1">
      <c r="A3629" s="65">
        <v>9005296</v>
      </c>
      <c r="B3629" s="65" t="s">
        <v>4273</v>
      </c>
      <c r="C3629" s="65" t="s">
        <v>942</v>
      </c>
    </row>
    <row r="3630" spans="1:3" hidden="1">
      <c r="A3630" s="65">
        <v>9005297</v>
      </c>
      <c r="B3630" s="65" t="s">
        <v>4251</v>
      </c>
      <c r="C3630" s="65" t="s">
        <v>942</v>
      </c>
    </row>
    <row r="3631" spans="1:3" hidden="1">
      <c r="A3631" s="65">
        <v>9005298</v>
      </c>
      <c r="B3631" s="65" t="s">
        <v>3953</v>
      </c>
      <c r="C3631" s="65" t="s">
        <v>942</v>
      </c>
    </row>
    <row r="3632" spans="1:3" hidden="1">
      <c r="A3632" s="65">
        <v>9005299</v>
      </c>
      <c r="B3632" s="65" t="s">
        <v>3954</v>
      </c>
      <c r="C3632" s="65" t="s">
        <v>942</v>
      </c>
    </row>
    <row r="3633" spans="1:3" hidden="1">
      <c r="A3633" s="65">
        <v>9005300</v>
      </c>
      <c r="B3633" s="65" t="s">
        <v>4249</v>
      </c>
      <c r="C3633" s="65" t="s">
        <v>942</v>
      </c>
    </row>
    <row r="3634" spans="1:3" hidden="1">
      <c r="A3634" s="65">
        <v>9005301</v>
      </c>
      <c r="B3634" s="65" t="s">
        <v>4250</v>
      </c>
      <c r="C3634" s="65" t="s">
        <v>942</v>
      </c>
    </row>
    <row r="3635" spans="1:3" hidden="1">
      <c r="A3635" s="65">
        <v>9005302</v>
      </c>
      <c r="B3635" s="65" t="s">
        <v>4251</v>
      </c>
      <c r="C3635" s="65" t="s">
        <v>942</v>
      </c>
    </row>
    <row r="3636" spans="1:3" hidden="1">
      <c r="A3636" s="65">
        <v>9005303</v>
      </c>
      <c r="B3636" s="65" t="s">
        <v>3953</v>
      </c>
      <c r="C3636" s="65" t="s">
        <v>942</v>
      </c>
    </row>
    <row r="3637" spans="1:3" hidden="1">
      <c r="A3637" s="65">
        <v>9005304</v>
      </c>
      <c r="B3637" s="65" t="s">
        <v>3954</v>
      </c>
      <c r="C3637" s="65" t="s">
        <v>942</v>
      </c>
    </row>
    <row r="3638" spans="1:3" hidden="1">
      <c r="A3638" s="65">
        <v>9005305</v>
      </c>
      <c r="B3638" s="65" t="s">
        <v>4256</v>
      </c>
      <c r="C3638" s="65" t="s">
        <v>942</v>
      </c>
    </row>
    <row r="3639" spans="1:3" hidden="1">
      <c r="A3639" s="65">
        <v>9005306</v>
      </c>
      <c r="B3639" s="65" t="s">
        <v>4257</v>
      </c>
      <c r="C3639" s="65" t="s">
        <v>942</v>
      </c>
    </row>
    <row r="3640" spans="1:3" hidden="1">
      <c r="A3640" s="65">
        <v>9005307</v>
      </c>
      <c r="B3640" s="65" t="s">
        <v>4252</v>
      </c>
      <c r="C3640" s="65" t="s">
        <v>3170</v>
      </c>
    </row>
    <row r="3641" spans="1:3" hidden="1">
      <c r="A3641" s="65">
        <v>9005308</v>
      </c>
      <c r="B3641" s="65" t="s">
        <v>4253</v>
      </c>
      <c r="C3641" s="65" t="s">
        <v>3170</v>
      </c>
    </row>
    <row r="3642" spans="1:3" hidden="1">
      <c r="A3642" s="65">
        <v>9005309</v>
      </c>
      <c r="B3642" s="65" t="s">
        <v>4254</v>
      </c>
      <c r="C3642" s="65" t="s">
        <v>3170</v>
      </c>
    </row>
    <row r="3643" spans="1:3" hidden="1">
      <c r="A3643" s="65">
        <v>9005310</v>
      </c>
      <c r="B3643" s="65" t="s">
        <v>4255</v>
      </c>
      <c r="C3643" s="65" t="s">
        <v>3170</v>
      </c>
    </row>
    <row r="3644" spans="1:3" hidden="1">
      <c r="A3644" s="65">
        <v>9005311</v>
      </c>
      <c r="B3644" s="65" t="s">
        <v>4256</v>
      </c>
      <c r="C3644" s="65" t="s">
        <v>3170</v>
      </c>
    </row>
    <row r="3645" spans="1:3" hidden="1">
      <c r="A3645" s="65">
        <v>9005312</v>
      </c>
      <c r="B3645" s="65" t="s">
        <v>4257</v>
      </c>
      <c r="C3645" s="65" t="s">
        <v>3170</v>
      </c>
    </row>
    <row r="3646" spans="1:3" hidden="1">
      <c r="A3646" s="65">
        <v>9005313</v>
      </c>
      <c r="B3646" s="65" t="s">
        <v>4252</v>
      </c>
      <c r="C3646" s="65" t="s">
        <v>3170</v>
      </c>
    </row>
    <row r="3647" spans="1:3" hidden="1">
      <c r="A3647" s="65">
        <v>9005314</v>
      </c>
      <c r="B3647" s="65" t="s">
        <v>4253</v>
      </c>
      <c r="C3647" s="65" t="s">
        <v>3170</v>
      </c>
    </row>
    <row r="3648" spans="1:3" hidden="1">
      <c r="A3648" s="65">
        <v>9005315</v>
      </c>
      <c r="B3648" s="65" t="s">
        <v>4254</v>
      </c>
      <c r="C3648" s="65" t="s">
        <v>3170</v>
      </c>
    </row>
    <row r="3649" spans="1:3" hidden="1">
      <c r="A3649" s="65">
        <v>9005316</v>
      </c>
      <c r="B3649" s="65" t="s">
        <v>4255</v>
      </c>
      <c r="C3649" s="65" t="s">
        <v>3170</v>
      </c>
    </row>
    <row r="3650" spans="1:3" hidden="1">
      <c r="A3650" s="65">
        <v>9005317</v>
      </c>
      <c r="B3650" s="65" t="s">
        <v>4256</v>
      </c>
      <c r="C3650" s="65" t="s">
        <v>3170</v>
      </c>
    </row>
    <row r="3651" spans="1:3" hidden="1">
      <c r="A3651" s="65">
        <v>9005318</v>
      </c>
      <c r="B3651" s="65" t="s">
        <v>4257</v>
      </c>
      <c r="C3651" s="65" t="s">
        <v>3170</v>
      </c>
    </row>
    <row r="3652" spans="1:3" hidden="1">
      <c r="A3652" s="65">
        <v>9005319</v>
      </c>
      <c r="B3652" s="65" t="s">
        <v>4248</v>
      </c>
      <c r="C3652" s="65" t="s">
        <v>3170</v>
      </c>
    </row>
    <row r="3653" spans="1:3" hidden="1">
      <c r="A3653" s="65">
        <v>9005320</v>
      </c>
      <c r="B3653" s="65" t="s">
        <v>4249</v>
      </c>
      <c r="C3653" s="65" t="s">
        <v>3170</v>
      </c>
    </row>
    <row r="3654" spans="1:3" hidden="1">
      <c r="A3654" s="65">
        <v>9005321</v>
      </c>
      <c r="B3654" s="65" t="s">
        <v>4250</v>
      </c>
      <c r="C3654" s="65" t="s">
        <v>3170</v>
      </c>
    </row>
    <row r="3655" spans="1:3" hidden="1">
      <c r="A3655" s="65">
        <v>9005322</v>
      </c>
      <c r="B3655" s="65" t="s">
        <v>4251</v>
      </c>
      <c r="C3655" s="65" t="s">
        <v>3170</v>
      </c>
    </row>
    <row r="3656" spans="1:3" hidden="1">
      <c r="A3656" s="65">
        <v>9005323</v>
      </c>
      <c r="B3656" s="65" t="s">
        <v>3953</v>
      </c>
      <c r="C3656" s="65" t="s">
        <v>3170</v>
      </c>
    </row>
    <row r="3657" spans="1:3" hidden="1">
      <c r="A3657" s="65">
        <v>9005324</v>
      </c>
      <c r="B3657" s="65" t="s">
        <v>3954</v>
      </c>
      <c r="C3657" s="65" t="s">
        <v>3170</v>
      </c>
    </row>
    <row r="3658" spans="1:3" hidden="1">
      <c r="A3658" s="65">
        <v>9005325</v>
      </c>
      <c r="B3658" s="65" t="s">
        <v>4274</v>
      </c>
      <c r="C3658" s="65" t="s">
        <v>3170</v>
      </c>
    </row>
    <row r="3659" spans="1:3" hidden="1">
      <c r="A3659" s="65">
        <v>9005326</v>
      </c>
      <c r="B3659" s="65" t="s">
        <v>4275</v>
      </c>
      <c r="C3659" s="65" t="s">
        <v>3170</v>
      </c>
    </row>
    <row r="3660" spans="1:3" hidden="1">
      <c r="A3660" s="65">
        <v>9005327</v>
      </c>
      <c r="B3660" s="65" t="s">
        <v>4248</v>
      </c>
      <c r="C3660" s="65" t="s">
        <v>3170</v>
      </c>
    </row>
    <row r="3661" spans="1:3" hidden="1">
      <c r="A3661" s="65">
        <v>9005328</v>
      </c>
      <c r="B3661" s="65" t="s">
        <v>4249</v>
      </c>
      <c r="C3661" s="65" t="s">
        <v>942</v>
      </c>
    </row>
    <row r="3662" spans="1:3" hidden="1">
      <c r="A3662" s="65">
        <v>9005329</v>
      </c>
      <c r="B3662" s="65" t="s">
        <v>4250</v>
      </c>
      <c r="C3662" s="65" t="s">
        <v>942</v>
      </c>
    </row>
    <row r="3663" spans="1:3" hidden="1">
      <c r="A3663" s="65">
        <v>9005330</v>
      </c>
      <c r="B3663" s="65" t="s">
        <v>4251</v>
      </c>
      <c r="C3663" s="65" t="s">
        <v>942</v>
      </c>
    </row>
    <row r="3664" spans="1:3" hidden="1">
      <c r="A3664" s="65">
        <v>9005331</v>
      </c>
      <c r="B3664" s="65" t="s">
        <v>3953</v>
      </c>
      <c r="C3664" s="65" t="s">
        <v>942</v>
      </c>
    </row>
    <row r="3665" spans="1:3" hidden="1">
      <c r="A3665" s="65">
        <v>9005332</v>
      </c>
      <c r="B3665" s="65" t="s">
        <v>3954</v>
      </c>
      <c r="C3665" s="65" t="s">
        <v>942</v>
      </c>
    </row>
    <row r="3666" spans="1:3" hidden="1">
      <c r="A3666" s="65">
        <v>9005333</v>
      </c>
      <c r="B3666" s="65" t="s">
        <v>4248</v>
      </c>
      <c r="C3666" s="65" t="s">
        <v>942</v>
      </c>
    </row>
    <row r="3667" spans="1:3" hidden="1">
      <c r="A3667" s="65">
        <v>9005334</v>
      </c>
      <c r="B3667" s="65" t="s">
        <v>4249</v>
      </c>
      <c r="C3667" s="65" t="s">
        <v>942</v>
      </c>
    </row>
    <row r="3668" spans="1:3" hidden="1">
      <c r="A3668" s="65">
        <v>9005335</v>
      </c>
      <c r="B3668" s="65" t="s">
        <v>4250</v>
      </c>
      <c r="C3668" s="65" t="s">
        <v>942</v>
      </c>
    </row>
    <row r="3669" spans="1:3" hidden="1">
      <c r="A3669" s="65">
        <v>9005336</v>
      </c>
      <c r="B3669" s="65" t="s">
        <v>4251</v>
      </c>
      <c r="C3669" s="65" t="s">
        <v>942</v>
      </c>
    </row>
    <row r="3670" spans="1:3" hidden="1">
      <c r="A3670" s="65">
        <v>9005337</v>
      </c>
      <c r="B3670" s="65" t="s">
        <v>4250</v>
      </c>
      <c r="C3670" s="65" t="s">
        <v>942</v>
      </c>
    </row>
    <row r="3671" spans="1:3" hidden="1">
      <c r="A3671" s="65">
        <v>9005338</v>
      </c>
      <c r="B3671" s="65" t="s">
        <v>4276</v>
      </c>
      <c r="C3671" s="65" t="s">
        <v>3170</v>
      </c>
    </row>
    <row r="3672" spans="1:3" hidden="1">
      <c r="A3672" s="65">
        <v>9005339</v>
      </c>
      <c r="B3672" s="65" t="s">
        <v>4277</v>
      </c>
      <c r="C3672" s="65" t="s">
        <v>942</v>
      </c>
    </row>
    <row r="3673" spans="1:3" hidden="1">
      <c r="A3673" s="65">
        <v>9005340</v>
      </c>
      <c r="B3673" s="65" t="s">
        <v>4278</v>
      </c>
      <c r="C3673" s="65" t="s">
        <v>942</v>
      </c>
    </row>
    <row r="3674" spans="1:3" hidden="1">
      <c r="A3674" s="65">
        <v>9005341</v>
      </c>
      <c r="B3674" s="65" t="s">
        <v>4279</v>
      </c>
      <c r="C3674" s="65" t="s">
        <v>942</v>
      </c>
    </row>
    <row r="3675" spans="1:3" hidden="1">
      <c r="A3675" s="65">
        <v>9005342</v>
      </c>
      <c r="B3675" s="65" t="s">
        <v>4280</v>
      </c>
      <c r="C3675" s="65" t="s">
        <v>942</v>
      </c>
    </row>
    <row r="3676" spans="1:3" hidden="1">
      <c r="A3676" s="65">
        <v>9005343</v>
      </c>
      <c r="B3676" s="65" t="s">
        <v>4281</v>
      </c>
      <c r="C3676" s="65" t="s">
        <v>942</v>
      </c>
    </row>
    <row r="3677" spans="1:3" hidden="1">
      <c r="A3677" s="65">
        <v>9005344</v>
      </c>
      <c r="B3677" s="65" t="s">
        <v>4282</v>
      </c>
      <c r="C3677" s="65" t="s">
        <v>942</v>
      </c>
    </row>
    <row r="3678" spans="1:3" hidden="1">
      <c r="A3678" s="65">
        <v>9005345</v>
      </c>
      <c r="B3678" s="65" t="s">
        <v>4283</v>
      </c>
      <c r="C3678" s="65" t="s">
        <v>942</v>
      </c>
    </row>
    <row r="3679" spans="1:3" hidden="1">
      <c r="A3679" s="65">
        <v>9005346</v>
      </c>
      <c r="B3679" s="65" t="s">
        <v>4283</v>
      </c>
      <c r="C3679" s="65" t="s">
        <v>942</v>
      </c>
    </row>
    <row r="3680" spans="1:3" hidden="1">
      <c r="A3680" s="65">
        <v>9005347</v>
      </c>
      <c r="B3680" s="65" t="s">
        <v>4284</v>
      </c>
      <c r="C3680" s="65" t="s">
        <v>942</v>
      </c>
    </row>
    <row r="3681" spans="1:3" hidden="1">
      <c r="A3681" s="65">
        <v>9005348</v>
      </c>
      <c r="B3681" s="65" t="s">
        <v>4285</v>
      </c>
      <c r="C3681" s="65" t="s">
        <v>3170</v>
      </c>
    </row>
    <row r="3682" spans="1:3" hidden="1">
      <c r="A3682" s="65">
        <v>9005349</v>
      </c>
      <c r="B3682" s="65" t="s">
        <v>4286</v>
      </c>
      <c r="C3682" s="65" t="s">
        <v>3170</v>
      </c>
    </row>
    <row r="3683" spans="1:3" hidden="1">
      <c r="A3683" s="65">
        <v>9005350</v>
      </c>
      <c r="B3683" s="65" t="s">
        <v>4287</v>
      </c>
      <c r="C3683" s="65" t="s">
        <v>3170</v>
      </c>
    </row>
    <row r="3684" spans="1:3" hidden="1">
      <c r="A3684" s="65">
        <v>9005351</v>
      </c>
      <c r="B3684" s="65" t="s">
        <v>4288</v>
      </c>
      <c r="C3684" s="65" t="s">
        <v>3170</v>
      </c>
    </row>
    <row r="3685" spans="1:3" hidden="1">
      <c r="A3685" s="65">
        <v>9005352</v>
      </c>
      <c r="B3685" s="65" t="s">
        <v>4289</v>
      </c>
      <c r="C3685" s="65" t="s">
        <v>3170</v>
      </c>
    </row>
    <row r="3686" spans="1:3" hidden="1">
      <c r="A3686" s="65">
        <v>9005353</v>
      </c>
      <c r="B3686" s="65" t="s">
        <v>4290</v>
      </c>
      <c r="C3686" s="65" t="s">
        <v>3170</v>
      </c>
    </row>
    <row r="3687" spans="1:3" hidden="1">
      <c r="A3687" s="65">
        <v>9005354</v>
      </c>
      <c r="B3687" s="65" t="s">
        <v>4291</v>
      </c>
      <c r="C3687" s="65" t="s">
        <v>3170</v>
      </c>
    </row>
    <row r="3688" spans="1:3" hidden="1">
      <c r="A3688" s="65">
        <v>9005355</v>
      </c>
      <c r="B3688" s="65" t="s">
        <v>4292</v>
      </c>
      <c r="C3688" s="65" t="s">
        <v>3170</v>
      </c>
    </row>
    <row r="3689" spans="1:3" hidden="1">
      <c r="A3689" s="65">
        <v>9005356</v>
      </c>
      <c r="B3689" s="65" t="s">
        <v>4293</v>
      </c>
      <c r="C3689" s="65" t="s">
        <v>942</v>
      </c>
    </row>
    <row r="3690" spans="1:3" hidden="1">
      <c r="A3690" s="65">
        <v>9005357</v>
      </c>
      <c r="B3690" s="65" t="s">
        <v>4294</v>
      </c>
      <c r="C3690" s="65" t="s">
        <v>942</v>
      </c>
    </row>
    <row r="3691" spans="1:3" hidden="1">
      <c r="A3691" s="65">
        <v>9005358</v>
      </c>
      <c r="B3691" s="65" t="s">
        <v>4295</v>
      </c>
      <c r="C3691" s="65" t="s">
        <v>942</v>
      </c>
    </row>
    <row r="3692" spans="1:3">
      <c r="A3692" s="65">
        <v>9005359</v>
      </c>
      <c r="B3692" s="65" t="s">
        <v>4296</v>
      </c>
      <c r="C3692" s="65" t="s">
        <v>942</v>
      </c>
    </row>
    <row r="3693" spans="1:3" hidden="1">
      <c r="A3693" s="65">
        <v>9005360</v>
      </c>
      <c r="B3693" s="65" t="s">
        <v>4248</v>
      </c>
      <c r="C3693" s="65" t="s">
        <v>942</v>
      </c>
    </row>
    <row r="3694" spans="1:3" hidden="1">
      <c r="A3694" s="65">
        <v>9005361</v>
      </c>
      <c r="B3694" s="65" t="s">
        <v>4249</v>
      </c>
      <c r="C3694" s="65" t="s">
        <v>942</v>
      </c>
    </row>
    <row r="3695" spans="1:3" hidden="1">
      <c r="A3695" s="65">
        <v>9005362</v>
      </c>
      <c r="B3695" s="65" t="s">
        <v>4251</v>
      </c>
      <c r="C3695" s="65" t="s">
        <v>942</v>
      </c>
    </row>
    <row r="3696" spans="1:3" hidden="1">
      <c r="A3696" s="65">
        <v>9005363</v>
      </c>
      <c r="B3696" s="65" t="s">
        <v>3953</v>
      </c>
      <c r="C3696" s="65" t="s">
        <v>942</v>
      </c>
    </row>
    <row r="3697" spans="1:3" hidden="1">
      <c r="A3697" s="65">
        <v>9005364</v>
      </c>
      <c r="B3697" s="65" t="s">
        <v>3954</v>
      </c>
      <c r="C3697" s="65" t="s">
        <v>942</v>
      </c>
    </row>
    <row r="3698" spans="1:3" hidden="1">
      <c r="A3698" s="65">
        <v>9005365</v>
      </c>
      <c r="B3698" s="65" t="s">
        <v>4249</v>
      </c>
      <c r="C3698" s="65" t="s">
        <v>942</v>
      </c>
    </row>
    <row r="3699" spans="1:3" hidden="1">
      <c r="A3699" s="65">
        <v>9005366</v>
      </c>
      <c r="B3699" s="65" t="s">
        <v>4250</v>
      </c>
      <c r="C3699" s="65" t="s">
        <v>942</v>
      </c>
    </row>
    <row r="3700" spans="1:3" hidden="1">
      <c r="A3700" s="65">
        <v>9005367</v>
      </c>
      <c r="B3700" s="65" t="s">
        <v>4251</v>
      </c>
      <c r="C3700" s="65" t="s">
        <v>942</v>
      </c>
    </row>
    <row r="3701" spans="1:3" hidden="1">
      <c r="A3701" s="65">
        <v>9005368</v>
      </c>
      <c r="B3701" s="65" t="s">
        <v>3953</v>
      </c>
      <c r="C3701" s="65" t="s">
        <v>942</v>
      </c>
    </row>
    <row r="3702" spans="1:3" hidden="1">
      <c r="A3702" s="65">
        <v>9005369</v>
      </c>
      <c r="B3702" s="65" t="s">
        <v>3953</v>
      </c>
      <c r="C3702" s="65" t="s">
        <v>942</v>
      </c>
    </row>
    <row r="3703" spans="1:3" hidden="1">
      <c r="A3703" s="65">
        <v>9005370</v>
      </c>
      <c r="B3703" s="65" t="s">
        <v>3954</v>
      </c>
      <c r="C3703" s="65" t="s">
        <v>942</v>
      </c>
    </row>
    <row r="3704" spans="1:3" hidden="1">
      <c r="A3704" s="65">
        <v>9005371</v>
      </c>
      <c r="B3704" s="65" t="s">
        <v>4249</v>
      </c>
      <c r="C3704" s="65" t="s">
        <v>942</v>
      </c>
    </row>
    <row r="3705" spans="1:3" hidden="1">
      <c r="A3705" s="65">
        <v>9005372</v>
      </c>
      <c r="B3705" s="65" t="s">
        <v>4250</v>
      </c>
      <c r="C3705" s="65" t="s">
        <v>942</v>
      </c>
    </row>
    <row r="3706" spans="1:3" hidden="1">
      <c r="A3706" s="65">
        <v>9005373</v>
      </c>
      <c r="B3706" s="65" t="s">
        <v>4251</v>
      </c>
      <c r="C3706" s="65" t="s">
        <v>942</v>
      </c>
    </row>
    <row r="3707" spans="1:3" hidden="1">
      <c r="A3707" s="65">
        <v>9005374</v>
      </c>
      <c r="B3707" s="65" t="s">
        <v>3953</v>
      </c>
      <c r="C3707" s="65" t="s">
        <v>942</v>
      </c>
    </row>
    <row r="3708" spans="1:3" hidden="1">
      <c r="A3708" s="65">
        <v>9005375</v>
      </c>
      <c r="B3708" s="65" t="s">
        <v>3954</v>
      </c>
      <c r="C3708" s="65" t="s">
        <v>942</v>
      </c>
    </row>
    <row r="3709" spans="1:3" hidden="1">
      <c r="A3709" s="65">
        <v>9005376</v>
      </c>
      <c r="B3709" s="65" t="s">
        <v>4249</v>
      </c>
      <c r="C3709" s="65" t="s">
        <v>942</v>
      </c>
    </row>
    <row r="3710" spans="1:3" hidden="1">
      <c r="A3710" s="65">
        <v>9005377</v>
      </c>
      <c r="B3710" s="65" t="s">
        <v>4250</v>
      </c>
      <c r="C3710" s="65" t="s">
        <v>942</v>
      </c>
    </row>
    <row r="3711" spans="1:3" hidden="1">
      <c r="A3711" s="65">
        <v>9005378</v>
      </c>
      <c r="B3711" s="65" t="s">
        <v>4297</v>
      </c>
      <c r="C3711" s="65" t="s">
        <v>942</v>
      </c>
    </row>
    <row r="3712" spans="1:3" hidden="1">
      <c r="A3712" s="65">
        <v>9005379</v>
      </c>
      <c r="B3712" s="65" t="s">
        <v>4298</v>
      </c>
      <c r="C3712" s="65" t="s">
        <v>3170</v>
      </c>
    </row>
    <row r="3713" spans="1:3" hidden="1">
      <c r="A3713" s="65">
        <v>9005380</v>
      </c>
      <c r="B3713" s="65" t="s">
        <v>4299</v>
      </c>
      <c r="C3713" s="65" t="s">
        <v>942</v>
      </c>
    </row>
    <row r="3714" spans="1:3" hidden="1">
      <c r="A3714" s="65">
        <v>9005381</v>
      </c>
      <c r="B3714" s="65" t="s">
        <v>4300</v>
      </c>
      <c r="C3714" s="65" t="s">
        <v>942</v>
      </c>
    </row>
    <row r="3715" spans="1:3" hidden="1">
      <c r="A3715" s="65">
        <v>9005382</v>
      </c>
      <c r="B3715" s="65" t="s">
        <v>4301</v>
      </c>
      <c r="C3715" s="65" t="s">
        <v>942</v>
      </c>
    </row>
    <row r="3716" spans="1:3" hidden="1">
      <c r="A3716" s="65">
        <v>9005383</v>
      </c>
      <c r="B3716" s="65" t="s">
        <v>4302</v>
      </c>
      <c r="C3716" s="65" t="s">
        <v>942</v>
      </c>
    </row>
    <row r="3717" spans="1:3" hidden="1">
      <c r="A3717" s="65">
        <v>9005384</v>
      </c>
      <c r="B3717" s="65" t="s">
        <v>4303</v>
      </c>
      <c r="C3717" s="65" t="s">
        <v>807</v>
      </c>
    </row>
    <row r="3718" spans="1:3" hidden="1">
      <c r="A3718" s="65">
        <v>9005385</v>
      </c>
      <c r="B3718" s="65" t="s">
        <v>4304</v>
      </c>
      <c r="C3718" s="65" t="s">
        <v>807</v>
      </c>
    </row>
    <row r="3719" spans="1:3" hidden="1">
      <c r="A3719" s="65">
        <v>9005386</v>
      </c>
      <c r="B3719" s="65" t="s">
        <v>4305</v>
      </c>
      <c r="C3719" s="65" t="s">
        <v>807</v>
      </c>
    </row>
    <row r="3720" spans="1:3" hidden="1">
      <c r="A3720" s="65">
        <v>9005387</v>
      </c>
      <c r="B3720" s="65" t="s">
        <v>4306</v>
      </c>
      <c r="C3720" s="65" t="s">
        <v>738</v>
      </c>
    </row>
    <row r="3721" spans="1:3" hidden="1">
      <c r="A3721" s="65">
        <v>9005388</v>
      </c>
      <c r="B3721" s="65" t="s">
        <v>4307</v>
      </c>
      <c r="C3721" s="65" t="s">
        <v>738</v>
      </c>
    </row>
    <row r="3722" spans="1:3" hidden="1">
      <c r="A3722" s="65">
        <v>9005389</v>
      </c>
      <c r="B3722" s="65" t="s">
        <v>4308</v>
      </c>
      <c r="C3722" s="65" t="s">
        <v>942</v>
      </c>
    </row>
    <row r="3723" spans="1:3" hidden="1">
      <c r="A3723" s="65">
        <v>9005390</v>
      </c>
      <c r="B3723" s="65" t="s">
        <v>4309</v>
      </c>
      <c r="C3723" s="65" t="s">
        <v>942</v>
      </c>
    </row>
    <row r="3724" spans="1:3" hidden="1">
      <c r="A3724" s="65">
        <v>9005391</v>
      </c>
      <c r="B3724" s="65" t="s">
        <v>4310</v>
      </c>
      <c r="C3724" s="65" t="s">
        <v>942</v>
      </c>
    </row>
    <row r="3725" spans="1:3" hidden="1">
      <c r="A3725" s="65">
        <v>9005392</v>
      </c>
      <c r="B3725" s="65" t="s">
        <v>4311</v>
      </c>
      <c r="C3725" s="65" t="s">
        <v>942</v>
      </c>
    </row>
    <row r="3726" spans="1:3" hidden="1">
      <c r="A3726" s="65">
        <v>9005393</v>
      </c>
      <c r="B3726" s="65" t="s">
        <v>4312</v>
      </c>
      <c r="C3726" s="65" t="s">
        <v>942</v>
      </c>
    </row>
    <row r="3727" spans="1:3" hidden="1">
      <c r="A3727" s="65">
        <v>9005394</v>
      </c>
      <c r="B3727" s="65" t="s">
        <v>4313</v>
      </c>
      <c r="C3727" s="65" t="s">
        <v>942</v>
      </c>
    </row>
    <row r="3728" spans="1:3" hidden="1">
      <c r="A3728" s="65">
        <v>9005395</v>
      </c>
      <c r="B3728" s="65" t="s">
        <v>4313</v>
      </c>
      <c r="C3728" s="65" t="s">
        <v>942</v>
      </c>
    </row>
    <row r="3729" spans="1:3" hidden="1">
      <c r="A3729" s="65">
        <v>9005396</v>
      </c>
      <c r="B3729" s="65" t="s">
        <v>4295</v>
      </c>
      <c r="C3729" s="65" t="s">
        <v>942</v>
      </c>
    </row>
    <row r="3730" spans="1:3" hidden="1">
      <c r="A3730" s="65">
        <v>9005397</v>
      </c>
      <c r="B3730" s="65" t="s">
        <v>4314</v>
      </c>
      <c r="C3730" s="65" t="s">
        <v>942</v>
      </c>
    </row>
    <row r="3731" spans="1:3" hidden="1">
      <c r="A3731" s="65">
        <v>9005398</v>
      </c>
      <c r="B3731" s="65" t="s">
        <v>4315</v>
      </c>
      <c r="C3731" s="65" t="s">
        <v>942</v>
      </c>
    </row>
    <row r="3732" spans="1:3" hidden="1">
      <c r="A3732" s="65">
        <v>9005399</v>
      </c>
      <c r="B3732" s="65" t="s">
        <v>4316</v>
      </c>
      <c r="C3732" s="65" t="s">
        <v>942</v>
      </c>
    </row>
    <row r="3733" spans="1:3" hidden="1">
      <c r="A3733" s="65">
        <v>9005400</v>
      </c>
      <c r="B3733" s="65" t="s">
        <v>4317</v>
      </c>
      <c r="C3733" s="65" t="s">
        <v>942</v>
      </c>
    </row>
    <row r="3734" spans="1:3" hidden="1">
      <c r="A3734" s="65">
        <v>9005401</v>
      </c>
      <c r="B3734" s="65" t="s">
        <v>4318</v>
      </c>
      <c r="C3734" s="65" t="s">
        <v>942</v>
      </c>
    </row>
    <row r="3735" spans="1:3" hidden="1">
      <c r="A3735" s="65">
        <v>9005402</v>
      </c>
      <c r="B3735" s="65" t="s">
        <v>4319</v>
      </c>
      <c r="C3735" s="65" t="s">
        <v>1181</v>
      </c>
    </row>
    <row r="3736" spans="1:3" hidden="1">
      <c r="A3736" s="65">
        <v>9005403</v>
      </c>
      <c r="B3736" s="65" t="s">
        <v>4320</v>
      </c>
      <c r="C3736" s="65" t="s">
        <v>827</v>
      </c>
    </row>
    <row r="3737" spans="1:3" hidden="1">
      <c r="A3737" s="65">
        <v>9005404</v>
      </c>
      <c r="B3737" s="65" t="s">
        <v>4321</v>
      </c>
      <c r="C3737" s="65" t="s">
        <v>908</v>
      </c>
    </row>
    <row r="3738" spans="1:3" hidden="1">
      <c r="A3738" s="65">
        <v>9005405</v>
      </c>
      <c r="B3738" s="65" t="s">
        <v>4322</v>
      </c>
      <c r="C3738" s="65" t="s">
        <v>745</v>
      </c>
    </row>
    <row r="3739" spans="1:3" hidden="1">
      <c r="A3739" s="65">
        <v>9005406</v>
      </c>
      <c r="B3739" s="65" t="s">
        <v>4323</v>
      </c>
      <c r="C3739" s="65" t="s">
        <v>745</v>
      </c>
    </row>
    <row r="3740" spans="1:3" hidden="1">
      <c r="A3740" s="65">
        <v>9005407</v>
      </c>
      <c r="B3740" s="65" t="s">
        <v>4324</v>
      </c>
      <c r="C3740" s="65" t="s">
        <v>745</v>
      </c>
    </row>
    <row r="3741" spans="1:3" hidden="1">
      <c r="A3741" s="65">
        <v>9005408</v>
      </c>
      <c r="B3741" s="65" t="s">
        <v>4325</v>
      </c>
      <c r="C3741" s="65" t="s">
        <v>745</v>
      </c>
    </row>
    <row r="3742" spans="1:3" hidden="1">
      <c r="A3742" s="65">
        <v>9005409</v>
      </c>
      <c r="B3742" s="65" t="s">
        <v>4326</v>
      </c>
      <c r="C3742" s="65" t="s">
        <v>805</v>
      </c>
    </row>
    <row r="3743" spans="1:3" hidden="1">
      <c r="A3743" s="65">
        <v>9005410</v>
      </c>
      <c r="B3743" s="65" t="s">
        <v>4327</v>
      </c>
      <c r="C3743" s="65" t="s">
        <v>805</v>
      </c>
    </row>
    <row r="3744" spans="1:3" hidden="1">
      <c r="A3744" s="65">
        <v>9005411</v>
      </c>
      <c r="B3744" s="65" t="s">
        <v>4328</v>
      </c>
      <c r="C3744" s="65" t="s">
        <v>807</v>
      </c>
    </row>
    <row r="3745" spans="1:3" hidden="1">
      <c r="A3745" s="65">
        <v>9005412</v>
      </c>
      <c r="B3745" s="65" t="s">
        <v>4329</v>
      </c>
      <c r="C3745" s="65" t="s">
        <v>1181</v>
      </c>
    </row>
    <row r="3746" spans="1:3" hidden="1">
      <c r="A3746" s="65">
        <v>9005413</v>
      </c>
      <c r="B3746" s="65" t="s">
        <v>4330</v>
      </c>
      <c r="C3746" s="65" t="s">
        <v>805</v>
      </c>
    </row>
    <row r="3747" spans="1:3" hidden="1">
      <c r="A3747" s="65">
        <v>9005414</v>
      </c>
      <c r="B3747" s="65" t="s">
        <v>4331</v>
      </c>
      <c r="C3747" s="65" t="s">
        <v>1181</v>
      </c>
    </row>
    <row r="3748" spans="1:3" hidden="1">
      <c r="A3748" s="65">
        <v>9005415</v>
      </c>
      <c r="B3748" s="65" t="s">
        <v>4332</v>
      </c>
      <c r="C3748" s="65" t="s">
        <v>805</v>
      </c>
    </row>
    <row r="3749" spans="1:3" hidden="1">
      <c r="A3749" s="65">
        <v>9005416</v>
      </c>
      <c r="B3749" s="65" t="s">
        <v>4333</v>
      </c>
      <c r="C3749" s="65" t="s">
        <v>942</v>
      </c>
    </row>
    <row r="3750" spans="1:3" hidden="1">
      <c r="A3750" s="65">
        <v>9005417</v>
      </c>
      <c r="B3750" s="65" t="s">
        <v>4334</v>
      </c>
      <c r="C3750" s="65" t="s">
        <v>942</v>
      </c>
    </row>
    <row r="3751" spans="1:3" hidden="1">
      <c r="A3751" s="65">
        <v>9005418</v>
      </c>
      <c r="B3751" s="65" t="s">
        <v>4335</v>
      </c>
      <c r="C3751" s="65" t="s">
        <v>942</v>
      </c>
    </row>
    <row r="3752" spans="1:3" hidden="1">
      <c r="A3752" s="65">
        <v>9005419</v>
      </c>
      <c r="B3752" s="65" t="s">
        <v>4336</v>
      </c>
      <c r="C3752" s="65" t="s">
        <v>775</v>
      </c>
    </row>
    <row r="3753" spans="1:3" hidden="1">
      <c r="A3753" s="65">
        <v>9005420</v>
      </c>
      <c r="B3753" s="65" t="s">
        <v>4337</v>
      </c>
      <c r="C3753" s="65" t="s">
        <v>793</v>
      </c>
    </row>
    <row r="3754" spans="1:3" hidden="1">
      <c r="A3754" s="65">
        <v>9005421</v>
      </c>
      <c r="B3754" s="65" t="s">
        <v>4338</v>
      </c>
      <c r="C3754" s="65" t="s">
        <v>827</v>
      </c>
    </row>
    <row r="3755" spans="1:3" hidden="1">
      <c r="A3755" s="65">
        <v>9005422</v>
      </c>
      <c r="B3755" s="65" t="s">
        <v>4339</v>
      </c>
      <c r="C3755" s="65" t="s">
        <v>793</v>
      </c>
    </row>
    <row r="3756" spans="1:3" hidden="1">
      <c r="A3756" s="65">
        <v>9005423</v>
      </c>
      <c r="B3756" s="65" t="s">
        <v>4340</v>
      </c>
      <c r="C3756" s="65" t="s">
        <v>793</v>
      </c>
    </row>
    <row r="3757" spans="1:3" hidden="1">
      <c r="A3757" s="65">
        <v>9005424</v>
      </c>
      <c r="B3757" s="65" t="s">
        <v>4341</v>
      </c>
      <c r="C3757" s="65" t="s">
        <v>809</v>
      </c>
    </row>
    <row r="3758" spans="1:3" hidden="1">
      <c r="A3758" s="65">
        <v>9005425</v>
      </c>
      <c r="B3758" s="65" t="s">
        <v>4342</v>
      </c>
      <c r="C3758" s="65" t="s">
        <v>809</v>
      </c>
    </row>
    <row r="3759" spans="1:3" hidden="1">
      <c r="A3759" s="65">
        <v>9005426</v>
      </c>
      <c r="B3759" s="65" t="s">
        <v>4343</v>
      </c>
      <c r="C3759" s="65" t="s">
        <v>793</v>
      </c>
    </row>
    <row r="3760" spans="1:3" hidden="1">
      <c r="A3760" s="65">
        <v>9005427</v>
      </c>
      <c r="B3760" s="65" t="s">
        <v>4344</v>
      </c>
      <c r="C3760" s="65" t="s">
        <v>793</v>
      </c>
    </row>
    <row r="3761" spans="1:3" hidden="1">
      <c r="A3761" s="65">
        <v>9005428</v>
      </c>
      <c r="B3761" s="65" t="s">
        <v>4345</v>
      </c>
      <c r="C3761" s="65" t="s">
        <v>809</v>
      </c>
    </row>
    <row r="3762" spans="1:3" hidden="1">
      <c r="A3762" s="65">
        <v>9005429</v>
      </c>
      <c r="B3762" s="65" t="s">
        <v>4346</v>
      </c>
      <c r="C3762" s="65" t="s">
        <v>664</v>
      </c>
    </row>
    <row r="3763" spans="1:3" hidden="1">
      <c r="A3763" s="65">
        <v>9005430</v>
      </c>
      <c r="B3763" s="65" t="s">
        <v>4347</v>
      </c>
      <c r="C3763" s="65" t="s">
        <v>793</v>
      </c>
    </row>
    <row r="3764" spans="1:3" hidden="1">
      <c r="A3764" s="65">
        <v>9005431</v>
      </c>
      <c r="B3764" s="65" t="s">
        <v>4348</v>
      </c>
      <c r="C3764" s="65" t="s">
        <v>793</v>
      </c>
    </row>
    <row r="3765" spans="1:3" hidden="1">
      <c r="A3765" s="65">
        <v>9005432</v>
      </c>
      <c r="B3765" s="65" t="s">
        <v>4349</v>
      </c>
      <c r="C3765" s="65" t="s">
        <v>793</v>
      </c>
    </row>
    <row r="3766" spans="1:3" hidden="1">
      <c r="A3766" s="65">
        <v>9005433</v>
      </c>
      <c r="B3766" s="65" t="s">
        <v>4350</v>
      </c>
      <c r="C3766" s="65" t="s">
        <v>809</v>
      </c>
    </row>
    <row r="3767" spans="1:3" hidden="1">
      <c r="A3767" s="65">
        <v>9005434</v>
      </c>
      <c r="B3767" s="65" t="s">
        <v>4351</v>
      </c>
      <c r="C3767" s="65" t="s">
        <v>664</v>
      </c>
    </row>
    <row r="3768" spans="1:3" hidden="1">
      <c r="A3768" s="65">
        <v>9005435</v>
      </c>
      <c r="B3768" s="65" t="s">
        <v>4352</v>
      </c>
      <c r="C3768" s="65" t="s">
        <v>793</v>
      </c>
    </row>
    <row r="3769" spans="1:3" hidden="1">
      <c r="A3769" s="65">
        <v>9005436</v>
      </c>
      <c r="B3769" s="65" t="s">
        <v>4353</v>
      </c>
      <c r="C3769" s="65" t="s">
        <v>698</v>
      </c>
    </row>
    <row r="3770" spans="1:3" hidden="1">
      <c r="A3770" s="65">
        <v>9005437</v>
      </c>
      <c r="B3770" s="65" t="s">
        <v>4354</v>
      </c>
      <c r="C3770" s="65" t="s">
        <v>809</v>
      </c>
    </row>
    <row r="3771" spans="1:3" hidden="1">
      <c r="A3771" s="65">
        <v>9005438</v>
      </c>
      <c r="B3771" s="65" t="s">
        <v>4355</v>
      </c>
      <c r="C3771" s="65" t="s">
        <v>738</v>
      </c>
    </row>
    <row r="3772" spans="1:3" hidden="1">
      <c r="A3772" s="65">
        <v>9005439</v>
      </c>
      <c r="B3772" s="65" t="s">
        <v>4356</v>
      </c>
      <c r="C3772" s="65" t="s">
        <v>738</v>
      </c>
    </row>
    <row r="3773" spans="1:3" hidden="1">
      <c r="A3773" s="65">
        <v>9005440</v>
      </c>
      <c r="B3773" s="65" t="s">
        <v>4357</v>
      </c>
      <c r="C3773" s="65" t="s">
        <v>809</v>
      </c>
    </row>
    <row r="3774" spans="1:3" hidden="1">
      <c r="A3774" s="65">
        <v>9005441</v>
      </c>
      <c r="B3774" s="65" t="s">
        <v>4358</v>
      </c>
      <c r="C3774" s="65" t="s">
        <v>793</v>
      </c>
    </row>
    <row r="3775" spans="1:3" hidden="1">
      <c r="A3775" s="65">
        <v>9005442</v>
      </c>
      <c r="B3775" s="65" t="s">
        <v>4359</v>
      </c>
      <c r="C3775" s="65" t="s">
        <v>809</v>
      </c>
    </row>
    <row r="3776" spans="1:3" hidden="1">
      <c r="A3776" s="65">
        <v>9005443</v>
      </c>
      <c r="B3776" s="65" t="s">
        <v>4360</v>
      </c>
      <c r="C3776" s="65" t="s">
        <v>793</v>
      </c>
    </row>
    <row r="3777" spans="1:3" hidden="1">
      <c r="A3777" s="65">
        <v>9005444</v>
      </c>
      <c r="B3777" s="65" t="s">
        <v>4361</v>
      </c>
      <c r="C3777" s="65" t="s">
        <v>793</v>
      </c>
    </row>
    <row r="3778" spans="1:3" hidden="1">
      <c r="A3778" s="65">
        <v>9005445</v>
      </c>
      <c r="B3778" s="65" t="s">
        <v>4362</v>
      </c>
      <c r="C3778" s="65" t="s">
        <v>793</v>
      </c>
    </row>
    <row r="3779" spans="1:3" hidden="1">
      <c r="A3779" s="65">
        <v>9005446</v>
      </c>
      <c r="B3779" s="65" t="s">
        <v>4363</v>
      </c>
      <c r="C3779" s="65" t="s">
        <v>793</v>
      </c>
    </row>
    <row r="3780" spans="1:3" hidden="1">
      <c r="A3780" s="65">
        <v>9005447</v>
      </c>
      <c r="B3780" s="65" t="s">
        <v>4364</v>
      </c>
      <c r="C3780" s="65" t="s">
        <v>793</v>
      </c>
    </row>
    <row r="3781" spans="1:3" hidden="1">
      <c r="A3781" s="65">
        <v>9005448</v>
      </c>
      <c r="B3781" s="65" t="s">
        <v>4365</v>
      </c>
      <c r="C3781" s="65" t="s">
        <v>793</v>
      </c>
    </row>
    <row r="3782" spans="1:3" hidden="1">
      <c r="A3782" s="65">
        <v>9005449</v>
      </c>
      <c r="B3782" s="65" t="s">
        <v>4366</v>
      </c>
      <c r="C3782" s="65" t="s">
        <v>793</v>
      </c>
    </row>
    <row r="3783" spans="1:3" hidden="1">
      <c r="A3783" s="65">
        <v>9005450</v>
      </c>
      <c r="B3783" s="65" t="s">
        <v>4367</v>
      </c>
      <c r="C3783" s="65" t="s">
        <v>738</v>
      </c>
    </row>
    <row r="3784" spans="1:3" hidden="1">
      <c r="A3784" s="65">
        <v>9005451</v>
      </c>
      <c r="B3784" s="65" t="s">
        <v>4368</v>
      </c>
      <c r="C3784" s="65" t="s">
        <v>809</v>
      </c>
    </row>
    <row r="3785" spans="1:3" hidden="1">
      <c r="A3785" s="65">
        <v>9005452</v>
      </c>
      <c r="B3785" s="65" t="s">
        <v>4369</v>
      </c>
      <c r="C3785" s="65" t="s">
        <v>809</v>
      </c>
    </row>
    <row r="3786" spans="1:3" hidden="1">
      <c r="A3786" s="65">
        <v>9005453</v>
      </c>
      <c r="B3786" s="65" t="s">
        <v>4370</v>
      </c>
      <c r="C3786" s="65" t="s">
        <v>793</v>
      </c>
    </row>
    <row r="3787" spans="1:3" hidden="1">
      <c r="A3787" s="65">
        <v>9005454</v>
      </c>
      <c r="B3787" s="65" t="s">
        <v>4371</v>
      </c>
      <c r="C3787" s="65" t="s">
        <v>793</v>
      </c>
    </row>
    <row r="3788" spans="1:3" hidden="1">
      <c r="A3788" s="65">
        <v>9005455</v>
      </c>
      <c r="B3788" s="65" t="s">
        <v>4372</v>
      </c>
      <c r="C3788" s="65" t="s">
        <v>809</v>
      </c>
    </row>
    <row r="3789" spans="1:3" hidden="1">
      <c r="A3789" s="65">
        <v>9005456</v>
      </c>
      <c r="B3789" s="65" t="s">
        <v>4373</v>
      </c>
      <c r="C3789" s="65" t="s">
        <v>827</v>
      </c>
    </row>
    <row r="3790" spans="1:3" hidden="1">
      <c r="A3790" s="65">
        <v>9005457</v>
      </c>
      <c r="B3790" s="65" t="s">
        <v>4374</v>
      </c>
      <c r="C3790" s="65" t="s">
        <v>793</v>
      </c>
    </row>
    <row r="3791" spans="1:3" hidden="1">
      <c r="A3791" s="65">
        <v>9005458</v>
      </c>
      <c r="B3791" s="65" t="s">
        <v>4375</v>
      </c>
      <c r="C3791" s="65" t="s">
        <v>738</v>
      </c>
    </row>
    <row r="3792" spans="1:3" hidden="1">
      <c r="A3792" s="65">
        <v>9005459</v>
      </c>
      <c r="B3792" s="65" t="s">
        <v>4376</v>
      </c>
      <c r="C3792" s="65" t="s">
        <v>738</v>
      </c>
    </row>
    <row r="3793" spans="1:3" hidden="1">
      <c r="A3793" s="65">
        <v>9005460</v>
      </c>
      <c r="B3793" s="65" t="s">
        <v>4377</v>
      </c>
      <c r="C3793" s="65" t="s">
        <v>738</v>
      </c>
    </row>
    <row r="3794" spans="1:3" hidden="1">
      <c r="A3794" s="65">
        <v>9005461</v>
      </c>
      <c r="B3794" s="65" t="s">
        <v>4378</v>
      </c>
      <c r="C3794" s="65" t="s">
        <v>738</v>
      </c>
    </row>
    <row r="3795" spans="1:3" hidden="1">
      <c r="A3795" s="65">
        <v>9005462</v>
      </c>
      <c r="B3795" s="65" t="s">
        <v>4379</v>
      </c>
      <c r="C3795" s="65" t="s">
        <v>793</v>
      </c>
    </row>
    <row r="3796" spans="1:3" hidden="1">
      <c r="A3796" s="65">
        <v>9005463</v>
      </c>
      <c r="B3796" s="65" t="s">
        <v>4380</v>
      </c>
      <c r="C3796" s="65" t="s">
        <v>809</v>
      </c>
    </row>
    <row r="3797" spans="1:3" hidden="1">
      <c r="A3797" s="65">
        <v>9005464</v>
      </c>
      <c r="B3797" s="65" t="s">
        <v>4381</v>
      </c>
      <c r="C3797" s="65" t="s">
        <v>827</v>
      </c>
    </row>
    <row r="3798" spans="1:3" hidden="1">
      <c r="A3798" s="65">
        <v>9005465</v>
      </c>
      <c r="B3798" s="65" t="s">
        <v>4382</v>
      </c>
      <c r="C3798" s="65" t="s">
        <v>827</v>
      </c>
    </row>
    <row r="3799" spans="1:3" hidden="1">
      <c r="A3799" s="65">
        <v>9005466</v>
      </c>
      <c r="B3799" s="65" t="s">
        <v>4383</v>
      </c>
      <c r="C3799" s="65" t="s">
        <v>827</v>
      </c>
    </row>
    <row r="3800" spans="1:3" hidden="1">
      <c r="A3800" s="65">
        <v>9005467</v>
      </c>
      <c r="B3800" s="65" t="s">
        <v>4384</v>
      </c>
      <c r="C3800" s="65" t="s">
        <v>738</v>
      </c>
    </row>
    <row r="3801" spans="1:3" hidden="1">
      <c r="A3801" s="65">
        <v>9005468</v>
      </c>
      <c r="B3801" s="65" t="s">
        <v>4385</v>
      </c>
      <c r="C3801" s="65" t="s">
        <v>738</v>
      </c>
    </row>
    <row r="3802" spans="1:3" hidden="1">
      <c r="A3802" s="65">
        <v>9005469</v>
      </c>
      <c r="B3802" s="65" t="s">
        <v>4386</v>
      </c>
      <c r="C3802" s="65" t="s">
        <v>738</v>
      </c>
    </row>
    <row r="3803" spans="1:3" hidden="1">
      <c r="A3803" s="65">
        <v>9005470</v>
      </c>
      <c r="B3803" s="65" t="s">
        <v>4387</v>
      </c>
      <c r="C3803" s="65" t="s">
        <v>793</v>
      </c>
    </row>
    <row r="3804" spans="1:3" hidden="1">
      <c r="A3804" s="65">
        <v>9005471</v>
      </c>
      <c r="B3804" s="65" t="s">
        <v>4388</v>
      </c>
      <c r="C3804" s="65" t="s">
        <v>809</v>
      </c>
    </row>
    <row r="3805" spans="1:3" hidden="1">
      <c r="A3805" s="65">
        <v>9005472</v>
      </c>
      <c r="B3805" s="65" t="s">
        <v>4389</v>
      </c>
      <c r="C3805" s="65" t="s">
        <v>793</v>
      </c>
    </row>
    <row r="3806" spans="1:3" hidden="1">
      <c r="A3806" s="65">
        <v>9005473</v>
      </c>
      <c r="B3806" s="65" t="s">
        <v>4390</v>
      </c>
      <c r="C3806" s="65" t="s">
        <v>793</v>
      </c>
    </row>
    <row r="3807" spans="1:3" hidden="1">
      <c r="A3807" s="65">
        <v>9005474</v>
      </c>
      <c r="B3807" s="65" t="s">
        <v>4391</v>
      </c>
      <c r="C3807" s="65" t="s">
        <v>809</v>
      </c>
    </row>
    <row r="3808" spans="1:3" hidden="1">
      <c r="A3808" s="65">
        <v>9005475</v>
      </c>
      <c r="B3808" s="65" t="s">
        <v>4392</v>
      </c>
      <c r="C3808" s="65" t="s">
        <v>827</v>
      </c>
    </row>
    <row r="3809" spans="1:3" hidden="1">
      <c r="A3809" s="65">
        <v>9005476</v>
      </c>
      <c r="B3809" s="65" t="s">
        <v>4393</v>
      </c>
      <c r="C3809" s="65" t="s">
        <v>793</v>
      </c>
    </row>
    <row r="3810" spans="1:3" hidden="1">
      <c r="A3810" s="65">
        <v>9005477</v>
      </c>
      <c r="B3810" s="65" t="s">
        <v>4394</v>
      </c>
      <c r="C3810" s="65" t="s">
        <v>695</v>
      </c>
    </row>
    <row r="3811" spans="1:3" hidden="1">
      <c r="A3811" s="65">
        <v>9005478</v>
      </c>
      <c r="B3811" s="65" t="s">
        <v>4395</v>
      </c>
      <c r="C3811" s="65" t="s">
        <v>793</v>
      </c>
    </row>
    <row r="3812" spans="1:3" hidden="1">
      <c r="A3812" s="65">
        <v>9005479</v>
      </c>
      <c r="B3812" s="65" t="s">
        <v>4396</v>
      </c>
      <c r="C3812" s="65" t="s">
        <v>793</v>
      </c>
    </row>
    <row r="3813" spans="1:3" hidden="1">
      <c r="A3813" s="65">
        <v>9005480</v>
      </c>
      <c r="B3813" s="65" t="s">
        <v>4397</v>
      </c>
      <c r="C3813" s="65" t="s">
        <v>809</v>
      </c>
    </row>
    <row r="3814" spans="1:3" hidden="1">
      <c r="A3814" s="65">
        <v>9005481</v>
      </c>
      <c r="B3814" s="65" t="s">
        <v>4398</v>
      </c>
      <c r="C3814" s="65" t="s">
        <v>809</v>
      </c>
    </row>
    <row r="3815" spans="1:3" hidden="1">
      <c r="A3815" s="65">
        <v>9005482</v>
      </c>
      <c r="B3815" s="65" t="s">
        <v>4399</v>
      </c>
      <c r="C3815" s="65" t="s">
        <v>1181</v>
      </c>
    </row>
    <row r="3816" spans="1:3" hidden="1">
      <c r="A3816" s="65">
        <v>9005483</v>
      </c>
      <c r="B3816" s="65" t="s">
        <v>4400</v>
      </c>
      <c r="C3816" s="65" t="s">
        <v>738</v>
      </c>
    </row>
    <row r="3817" spans="1:3" hidden="1">
      <c r="A3817" s="65">
        <v>9005484</v>
      </c>
      <c r="B3817" s="65" t="s">
        <v>4401</v>
      </c>
      <c r="C3817" s="65" t="s">
        <v>738</v>
      </c>
    </row>
    <row r="3818" spans="1:3" hidden="1">
      <c r="A3818" s="65">
        <v>9005485</v>
      </c>
      <c r="B3818" s="65" t="s">
        <v>4402</v>
      </c>
      <c r="C3818" s="65" t="s">
        <v>793</v>
      </c>
    </row>
    <row r="3819" spans="1:3" hidden="1">
      <c r="A3819" s="65">
        <v>9005486</v>
      </c>
      <c r="B3819" s="65" t="s">
        <v>4403</v>
      </c>
      <c r="C3819" s="65" t="s">
        <v>793</v>
      </c>
    </row>
    <row r="3820" spans="1:3" hidden="1">
      <c r="A3820" s="65">
        <v>9005487</v>
      </c>
      <c r="B3820" s="65" t="s">
        <v>4404</v>
      </c>
      <c r="C3820" s="65" t="s">
        <v>698</v>
      </c>
    </row>
    <row r="3821" spans="1:3" hidden="1">
      <c r="A3821" s="65">
        <v>9005488</v>
      </c>
      <c r="B3821" s="65" t="s">
        <v>4405</v>
      </c>
      <c r="C3821" s="65" t="s">
        <v>698</v>
      </c>
    </row>
    <row r="3822" spans="1:3" hidden="1">
      <c r="A3822" s="65">
        <v>9005489</v>
      </c>
      <c r="B3822" s="65" t="s">
        <v>4406</v>
      </c>
      <c r="C3822" s="65" t="s">
        <v>793</v>
      </c>
    </row>
    <row r="3823" spans="1:3" hidden="1">
      <c r="A3823" s="65">
        <v>9005490</v>
      </c>
      <c r="B3823" s="65" t="s">
        <v>4407</v>
      </c>
      <c r="C3823" s="65" t="s">
        <v>695</v>
      </c>
    </row>
    <row r="3824" spans="1:3" hidden="1">
      <c r="A3824" s="65">
        <v>9005491</v>
      </c>
      <c r="B3824" s="65" t="s">
        <v>4408</v>
      </c>
      <c r="C3824" s="65" t="s">
        <v>793</v>
      </c>
    </row>
    <row r="3825" spans="1:3" hidden="1">
      <c r="A3825" s="65">
        <v>9005492</v>
      </c>
      <c r="B3825" s="65" t="s">
        <v>4409</v>
      </c>
      <c r="C3825" s="65" t="s">
        <v>793</v>
      </c>
    </row>
    <row r="3826" spans="1:3" hidden="1">
      <c r="A3826" s="65">
        <v>9005493</v>
      </c>
      <c r="B3826" s="65" t="s">
        <v>4410</v>
      </c>
      <c r="C3826" s="65" t="s">
        <v>793</v>
      </c>
    </row>
    <row r="3827" spans="1:3" hidden="1">
      <c r="A3827" s="65">
        <v>9005494</v>
      </c>
      <c r="B3827" s="65" t="s">
        <v>4411</v>
      </c>
      <c r="C3827" s="65" t="s">
        <v>793</v>
      </c>
    </row>
    <row r="3828" spans="1:3" hidden="1">
      <c r="A3828" s="65">
        <v>9005495</v>
      </c>
      <c r="B3828" s="65" t="s">
        <v>4412</v>
      </c>
      <c r="C3828" s="65" t="s">
        <v>793</v>
      </c>
    </row>
    <row r="3829" spans="1:3" hidden="1">
      <c r="A3829" s="65">
        <v>9005496</v>
      </c>
      <c r="B3829" s="65" t="s">
        <v>4413</v>
      </c>
      <c r="C3829" s="65" t="s">
        <v>793</v>
      </c>
    </row>
    <row r="3830" spans="1:3" hidden="1">
      <c r="A3830" s="65">
        <v>9005497</v>
      </c>
      <c r="B3830" s="65" t="s">
        <v>4414</v>
      </c>
      <c r="C3830" s="65" t="s">
        <v>793</v>
      </c>
    </row>
    <row r="3831" spans="1:3" hidden="1">
      <c r="A3831" s="65">
        <v>9005498</v>
      </c>
      <c r="B3831" s="65" t="s">
        <v>4415</v>
      </c>
      <c r="C3831" s="65" t="s">
        <v>809</v>
      </c>
    </row>
    <row r="3832" spans="1:3" hidden="1">
      <c r="A3832" s="65">
        <v>9005499</v>
      </c>
      <c r="B3832" s="65" t="s">
        <v>4416</v>
      </c>
      <c r="C3832" s="65" t="s">
        <v>809</v>
      </c>
    </row>
    <row r="3833" spans="1:3" hidden="1">
      <c r="A3833" s="65">
        <v>9005500</v>
      </c>
      <c r="B3833" s="65" t="s">
        <v>4417</v>
      </c>
      <c r="C3833" s="65" t="s">
        <v>809</v>
      </c>
    </row>
    <row r="3834" spans="1:3" hidden="1">
      <c r="A3834" s="65">
        <v>9005501</v>
      </c>
      <c r="B3834" s="65" t="s">
        <v>4418</v>
      </c>
      <c r="C3834" s="65" t="s">
        <v>809</v>
      </c>
    </row>
    <row r="3835" spans="1:3" hidden="1">
      <c r="A3835" s="65">
        <v>9005502</v>
      </c>
      <c r="B3835" s="65" t="s">
        <v>4419</v>
      </c>
      <c r="C3835" s="65" t="s">
        <v>1181</v>
      </c>
    </row>
    <row r="3836" spans="1:3" hidden="1">
      <c r="A3836" s="65">
        <v>9005503</v>
      </c>
      <c r="B3836" s="65" t="s">
        <v>4420</v>
      </c>
      <c r="C3836" s="65" t="s">
        <v>793</v>
      </c>
    </row>
    <row r="3837" spans="1:3" hidden="1">
      <c r="A3837" s="65">
        <v>9005504</v>
      </c>
      <c r="B3837" s="65" t="s">
        <v>4421</v>
      </c>
      <c r="C3837" s="65" t="s">
        <v>793</v>
      </c>
    </row>
    <row r="3838" spans="1:3" hidden="1">
      <c r="A3838" s="65">
        <v>9005505</v>
      </c>
      <c r="B3838" s="65" t="s">
        <v>4422</v>
      </c>
      <c r="C3838" s="65" t="s">
        <v>1926</v>
      </c>
    </row>
    <row r="3839" spans="1:3" hidden="1">
      <c r="A3839" s="65">
        <v>9005506</v>
      </c>
      <c r="B3839" s="65" t="s">
        <v>4423</v>
      </c>
      <c r="C3839" s="65" t="s">
        <v>779</v>
      </c>
    </row>
    <row r="3840" spans="1:3" hidden="1">
      <c r="A3840" s="65">
        <v>9005507</v>
      </c>
      <c r="B3840" s="65" t="s">
        <v>4424</v>
      </c>
      <c r="C3840" s="65" t="s">
        <v>809</v>
      </c>
    </row>
    <row r="3841" spans="1:3" hidden="1">
      <c r="A3841" s="65">
        <v>9005508</v>
      </c>
      <c r="B3841" s="65" t="s">
        <v>4425</v>
      </c>
      <c r="C3841" s="65" t="s">
        <v>793</v>
      </c>
    </row>
    <row r="3842" spans="1:3" hidden="1">
      <c r="A3842" s="65">
        <v>9005509</v>
      </c>
      <c r="B3842" s="65" t="s">
        <v>4426</v>
      </c>
      <c r="C3842" s="65" t="s">
        <v>793</v>
      </c>
    </row>
    <row r="3843" spans="1:3" hidden="1">
      <c r="A3843" s="65">
        <v>9005510</v>
      </c>
      <c r="B3843" s="65" t="s">
        <v>4427</v>
      </c>
      <c r="C3843" s="65" t="s">
        <v>793</v>
      </c>
    </row>
    <row r="3844" spans="1:3" hidden="1">
      <c r="A3844" s="65">
        <v>9005511</v>
      </c>
      <c r="B3844" s="65" t="s">
        <v>4428</v>
      </c>
      <c r="C3844" s="65" t="s">
        <v>698</v>
      </c>
    </row>
    <row r="3845" spans="1:3" hidden="1">
      <c r="A3845" s="65">
        <v>9005512</v>
      </c>
      <c r="B3845" s="65" t="s">
        <v>4429</v>
      </c>
      <c r="C3845" s="65" t="s">
        <v>698</v>
      </c>
    </row>
    <row r="3846" spans="1:3" hidden="1">
      <c r="A3846" s="65">
        <v>9005513</v>
      </c>
      <c r="B3846" s="65" t="s">
        <v>4430</v>
      </c>
      <c r="C3846" s="65" t="s">
        <v>809</v>
      </c>
    </row>
    <row r="3847" spans="1:3" hidden="1">
      <c r="A3847" s="65">
        <v>9005514</v>
      </c>
      <c r="B3847" s="65" t="s">
        <v>4431</v>
      </c>
      <c r="C3847" s="65" t="s">
        <v>793</v>
      </c>
    </row>
    <row r="3848" spans="1:3" hidden="1">
      <c r="A3848" s="65">
        <v>9005515</v>
      </c>
      <c r="B3848" s="65" t="s">
        <v>4432</v>
      </c>
      <c r="C3848" s="65" t="s">
        <v>793</v>
      </c>
    </row>
    <row r="3849" spans="1:3" hidden="1">
      <c r="A3849" s="65">
        <v>9005516</v>
      </c>
      <c r="B3849" s="65" t="s">
        <v>4433</v>
      </c>
      <c r="C3849" s="65" t="s">
        <v>793</v>
      </c>
    </row>
    <row r="3850" spans="1:3" hidden="1">
      <c r="A3850" s="65">
        <v>9005517</v>
      </c>
      <c r="B3850" s="65" t="s">
        <v>4434</v>
      </c>
      <c r="C3850" s="65" t="s">
        <v>738</v>
      </c>
    </row>
    <row r="3851" spans="1:3" hidden="1">
      <c r="A3851" s="65">
        <v>9005518</v>
      </c>
      <c r="B3851" s="65" t="s">
        <v>4435</v>
      </c>
      <c r="C3851" s="65" t="s">
        <v>1181</v>
      </c>
    </row>
    <row r="3852" spans="1:3" hidden="1">
      <c r="A3852" s="65">
        <v>9005519</v>
      </c>
      <c r="B3852" s="65" t="s">
        <v>4436</v>
      </c>
      <c r="C3852" s="65" t="s">
        <v>1181</v>
      </c>
    </row>
    <row r="3853" spans="1:3" hidden="1">
      <c r="A3853" s="65">
        <v>9005520</v>
      </c>
      <c r="B3853" s="65" t="s">
        <v>4437</v>
      </c>
      <c r="C3853" s="65" t="s">
        <v>738</v>
      </c>
    </row>
    <row r="3854" spans="1:3" hidden="1">
      <c r="A3854" s="65">
        <v>9005521</v>
      </c>
      <c r="B3854" s="65" t="s">
        <v>4438</v>
      </c>
      <c r="C3854" s="65" t="s">
        <v>1926</v>
      </c>
    </row>
    <row r="3855" spans="1:3" hidden="1">
      <c r="A3855" s="65">
        <v>9005522</v>
      </c>
      <c r="B3855" s="65" t="s">
        <v>4439</v>
      </c>
      <c r="C3855" s="65" t="s">
        <v>1926</v>
      </c>
    </row>
    <row r="3856" spans="1:3" hidden="1">
      <c r="A3856" s="65">
        <v>9005523</v>
      </c>
      <c r="B3856" s="65" t="s">
        <v>4440</v>
      </c>
      <c r="C3856" s="65" t="s">
        <v>698</v>
      </c>
    </row>
    <row r="3857" spans="1:3" hidden="1">
      <c r="A3857" s="65">
        <v>9005524</v>
      </c>
      <c r="B3857" s="65" t="s">
        <v>4441</v>
      </c>
      <c r="C3857" s="65" t="s">
        <v>698</v>
      </c>
    </row>
    <row r="3858" spans="1:3" hidden="1">
      <c r="A3858" s="65">
        <v>9005525</v>
      </c>
      <c r="B3858" s="65" t="s">
        <v>4442</v>
      </c>
      <c r="C3858" s="65" t="s">
        <v>793</v>
      </c>
    </row>
    <row r="3859" spans="1:3" hidden="1">
      <c r="A3859" s="65">
        <v>9005526</v>
      </c>
      <c r="B3859" s="65" t="s">
        <v>4443</v>
      </c>
      <c r="C3859" s="65" t="s">
        <v>793</v>
      </c>
    </row>
    <row r="3860" spans="1:3" hidden="1">
      <c r="A3860" s="65">
        <v>9005527</v>
      </c>
      <c r="B3860" s="65" t="s">
        <v>4444</v>
      </c>
      <c r="C3860" s="65" t="s">
        <v>793</v>
      </c>
    </row>
    <row r="3861" spans="1:3" hidden="1">
      <c r="A3861" s="65">
        <v>9005528</v>
      </c>
      <c r="B3861" s="65" t="s">
        <v>4445</v>
      </c>
      <c r="C3861" s="65" t="s">
        <v>793</v>
      </c>
    </row>
    <row r="3862" spans="1:3" hidden="1">
      <c r="A3862" s="65">
        <v>9005529</v>
      </c>
      <c r="B3862" s="65" t="s">
        <v>4446</v>
      </c>
      <c r="C3862" s="65" t="s">
        <v>793</v>
      </c>
    </row>
    <row r="3863" spans="1:3" hidden="1">
      <c r="A3863" s="65">
        <v>9005530</v>
      </c>
      <c r="B3863" s="65" t="s">
        <v>4447</v>
      </c>
      <c r="C3863" s="65" t="s">
        <v>793</v>
      </c>
    </row>
    <row r="3864" spans="1:3" hidden="1">
      <c r="A3864" s="65">
        <v>9005531</v>
      </c>
      <c r="B3864" s="65" t="s">
        <v>4448</v>
      </c>
      <c r="C3864" s="65" t="s">
        <v>795</v>
      </c>
    </row>
    <row r="3865" spans="1:3" hidden="1">
      <c r="A3865" s="65">
        <v>9005532</v>
      </c>
      <c r="B3865" s="65" t="s">
        <v>4449</v>
      </c>
      <c r="C3865" s="65" t="s">
        <v>795</v>
      </c>
    </row>
    <row r="3866" spans="1:3" hidden="1">
      <c r="A3866" s="65">
        <v>9005533</v>
      </c>
      <c r="B3866" s="65" t="s">
        <v>4450</v>
      </c>
      <c r="C3866" s="65" t="s">
        <v>809</v>
      </c>
    </row>
    <row r="3867" spans="1:3" hidden="1">
      <c r="A3867" s="65">
        <v>9005534</v>
      </c>
      <c r="B3867" s="65" t="s">
        <v>4451</v>
      </c>
      <c r="C3867" s="65" t="s">
        <v>793</v>
      </c>
    </row>
    <row r="3868" spans="1:3" hidden="1">
      <c r="A3868" s="65">
        <v>9005535</v>
      </c>
      <c r="B3868" s="65" t="s">
        <v>4452</v>
      </c>
      <c r="C3868" s="65" t="s">
        <v>793</v>
      </c>
    </row>
    <row r="3869" spans="1:3" hidden="1">
      <c r="A3869" s="65">
        <v>9005536</v>
      </c>
      <c r="B3869" s="65" t="s">
        <v>4453</v>
      </c>
      <c r="C3869" s="65" t="s">
        <v>809</v>
      </c>
    </row>
    <row r="3870" spans="1:3" hidden="1">
      <c r="A3870" s="65">
        <v>9005537</v>
      </c>
      <c r="B3870" s="65" t="s">
        <v>4454</v>
      </c>
      <c r="C3870" s="65" t="s">
        <v>809</v>
      </c>
    </row>
    <row r="3871" spans="1:3" hidden="1">
      <c r="A3871" s="65">
        <v>9005538</v>
      </c>
      <c r="B3871" s="65" t="s">
        <v>4455</v>
      </c>
      <c r="C3871" s="65" t="s">
        <v>809</v>
      </c>
    </row>
    <row r="3872" spans="1:3" hidden="1">
      <c r="A3872" s="65">
        <v>9005539</v>
      </c>
      <c r="B3872" s="65" t="s">
        <v>4456</v>
      </c>
      <c r="C3872" s="65" t="s">
        <v>793</v>
      </c>
    </row>
    <row r="3873" spans="1:3" hidden="1">
      <c r="A3873" s="65">
        <v>9005540</v>
      </c>
      <c r="B3873" s="65" t="s">
        <v>4457</v>
      </c>
      <c r="C3873" s="65" t="s">
        <v>793</v>
      </c>
    </row>
    <row r="3874" spans="1:3" hidden="1">
      <c r="A3874" s="65">
        <v>9005541</v>
      </c>
      <c r="B3874" s="65" t="s">
        <v>4458</v>
      </c>
      <c r="C3874" s="65" t="s">
        <v>793</v>
      </c>
    </row>
    <row r="3875" spans="1:3" hidden="1">
      <c r="A3875" s="65">
        <v>9005542</v>
      </c>
      <c r="B3875" s="65" t="s">
        <v>4459</v>
      </c>
      <c r="C3875" s="65" t="s">
        <v>809</v>
      </c>
    </row>
    <row r="3876" spans="1:3" hidden="1">
      <c r="A3876" s="65">
        <v>9005543</v>
      </c>
      <c r="B3876" s="65" t="s">
        <v>4460</v>
      </c>
      <c r="C3876" s="65" t="s">
        <v>1181</v>
      </c>
    </row>
    <row r="3877" spans="1:3" hidden="1">
      <c r="A3877" s="65">
        <v>9005544</v>
      </c>
      <c r="B3877" s="65" t="s">
        <v>4461</v>
      </c>
      <c r="C3877" s="65" t="s">
        <v>1181</v>
      </c>
    </row>
    <row r="3878" spans="1:3" hidden="1">
      <c r="A3878" s="65">
        <v>9005545</v>
      </c>
      <c r="B3878" s="65" t="s">
        <v>4462</v>
      </c>
      <c r="C3878" s="65" t="s">
        <v>793</v>
      </c>
    </row>
    <row r="3879" spans="1:3" hidden="1">
      <c r="A3879" s="65">
        <v>9005546</v>
      </c>
      <c r="B3879" s="65" t="s">
        <v>4463</v>
      </c>
      <c r="C3879" s="65" t="s">
        <v>793</v>
      </c>
    </row>
    <row r="3880" spans="1:3" hidden="1">
      <c r="A3880" s="65">
        <v>9005547</v>
      </c>
      <c r="B3880" s="65" t="s">
        <v>4464</v>
      </c>
      <c r="C3880" s="65" t="s">
        <v>738</v>
      </c>
    </row>
    <row r="3881" spans="1:3" hidden="1">
      <c r="A3881" s="65">
        <v>9005548</v>
      </c>
      <c r="B3881" s="65" t="s">
        <v>4465</v>
      </c>
      <c r="C3881" s="65" t="s">
        <v>738</v>
      </c>
    </row>
    <row r="3882" spans="1:3" hidden="1">
      <c r="A3882" s="65">
        <v>9005549</v>
      </c>
      <c r="B3882" s="65" t="s">
        <v>4466</v>
      </c>
      <c r="C3882" s="65" t="s">
        <v>738</v>
      </c>
    </row>
    <row r="3883" spans="1:3" hidden="1">
      <c r="A3883" s="65">
        <v>9005550</v>
      </c>
      <c r="B3883" s="65" t="s">
        <v>4467</v>
      </c>
      <c r="C3883" s="65" t="s">
        <v>738</v>
      </c>
    </row>
    <row r="3884" spans="1:3" hidden="1">
      <c r="A3884" s="65">
        <v>9005551</v>
      </c>
      <c r="B3884" s="65" t="s">
        <v>4468</v>
      </c>
      <c r="C3884" s="65" t="s">
        <v>738</v>
      </c>
    </row>
    <row r="3885" spans="1:3" hidden="1">
      <c r="A3885" s="65">
        <v>9005552</v>
      </c>
      <c r="B3885" s="65" t="s">
        <v>4469</v>
      </c>
      <c r="C3885" s="65" t="s">
        <v>738</v>
      </c>
    </row>
    <row r="3886" spans="1:3" hidden="1">
      <c r="A3886" s="65">
        <v>9005553</v>
      </c>
      <c r="B3886" s="65" t="s">
        <v>4470</v>
      </c>
      <c r="C3886" s="65" t="s">
        <v>1926</v>
      </c>
    </row>
    <row r="3887" spans="1:3" hidden="1">
      <c r="A3887" s="65">
        <v>9005554</v>
      </c>
      <c r="B3887" s="65" t="s">
        <v>4471</v>
      </c>
      <c r="C3887" s="65" t="s">
        <v>738</v>
      </c>
    </row>
    <row r="3888" spans="1:3" hidden="1">
      <c r="A3888" s="65">
        <v>9005555</v>
      </c>
      <c r="B3888" s="65" t="s">
        <v>4472</v>
      </c>
      <c r="C3888" s="65" t="s">
        <v>695</v>
      </c>
    </row>
    <row r="3889" spans="1:3" hidden="1">
      <c r="A3889" s="65">
        <v>9005556</v>
      </c>
      <c r="B3889" s="65" t="s">
        <v>4473</v>
      </c>
      <c r="C3889" s="65" t="s">
        <v>698</v>
      </c>
    </row>
    <row r="3890" spans="1:3" hidden="1">
      <c r="A3890" s="65">
        <v>9005557</v>
      </c>
      <c r="B3890" s="65" t="s">
        <v>4474</v>
      </c>
      <c r="C3890" s="65" t="s">
        <v>698</v>
      </c>
    </row>
    <row r="3891" spans="1:3" hidden="1">
      <c r="A3891" s="65">
        <v>9005558</v>
      </c>
      <c r="B3891" s="65" t="s">
        <v>4475</v>
      </c>
      <c r="C3891" s="65" t="s">
        <v>779</v>
      </c>
    </row>
    <row r="3892" spans="1:3" hidden="1">
      <c r="A3892" s="65">
        <v>9005559</v>
      </c>
      <c r="B3892" s="65" t="s">
        <v>4476</v>
      </c>
      <c r="C3892" s="65" t="s">
        <v>793</v>
      </c>
    </row>
    <row r="3893" spans="1:3" hidden="1">
      <c r="A3893" s="65">
        <v>9005560</v>
      </c>
      <c r="B3893" s="65" t="s">
        <v>4477</v>
      </c>
      <c r="C3893" s="65" t="s">
        <v>793</v>
      </c>
    </row>
    <row r="3894" spans="1:3" hidden="1">
      <c r="A3894" s="65">
        <v>9005561</v>
      </c>
      <c r="B3894" s="65" t="s">
        <v>4478</v>
      </c>
      <c r="C3894" s="65" t="s">
        <v>793</v>
      </c>
    </row>
    <row r="3895" spans="1:3" hidden="1">
      <c r="A3895" s="65">
        <v>9005562</v>
      </c>
      <c r="B3895" s="65" t="s">
        <v>4479</v>
      </c>
      <c r="C3895" s="65" t="s">
        <v>793</v>
      </c>
    </row>
    <row r="3896" spans="1:3" hidden="1">
      <c r="A3896" s="65">
        <v>9005563</v>
      </c>
      <c r="B3896" s="65" t="s">
        <v>4480</v>
      </c>
      <c r="C3896" s="65" t="s">
        <v>793</v>
      </c>
    </row>
    <row r="3897" spans="1:3" hidden="1">
      <c r="A3897" s="65">
        <v>9005564</v>
      </c>
      <c r="B3897" s="65" t="s">
        <v>4481</v>
      </c>
      <c r="C3897" s="65" t="s">
        <v>809</v>
      </c>
    </row>
    <row r="3898" spans="1:3" hidden="1">
      <c r="A3898" s="65">
        <v>9005565</v>
      </c>
      <c r="B3898" s="65" t="s">
        <v>4482</v>
      </c>
      <c r="C3898" s="65" t="s">
        <v>795</v>
      </c>
    </row>
    <row r="3899" spans="1:3" hidden="1">
      <c r="A3899" s="65">
        <v>9005566</v>
      </c>
      <c r="B3899" s="65" t="s">
        <v>4483</v>
      </c>
      <c r="C3899" s="65" t="s">
        <v>793</v>
      </c>
    </row>
    <row r="3900" spans="1:3" hidden="1">
      <c r="A3900" s="65">
        <v>9005567</v>
      </c>
      <c r="B3900" s="65" t="s">
        <v>4484</v>
      </c>
      <c r="C3900" s="65" t="s">
        <v>809</v>
      </c>
    </row>
    <row r="3901" spans="1:3" hidden="1">
      <c r="A3901" s="65">
        <v>9005568</v>
      </c>
      <c r="B3901" s="65" t="s">
        <v>4485</v>
      </c>
      <c r="C3901" s="65" t="s">
        <v>793</v>
      </c>
    </row>
    <row r="3902" spans="1:3" hidden="1">
      <c r="A3902" s="65">
        <v>9005569</v>
      </c>
      <c r="B3902" s="65" t="s">
        <v>4486</v>
      </c>
      <c r="C3902" s="65" t="s">
        <v>809</v>
      </c>
    </row>
    <row r="3903" spans="1:3" hidden="1">
      <c r="A3903" s="65">
        <v>9005570</v>
      </c>
      <c r="B3903" s="65" t="s">
        <v>4487</v>
      </c>
      <c r="C3903" s="65" t="s">
        <v>793</v>
      </c>
    </row>
    <row r="3904" spans="1:3" hidden="1">
      <c r="A3904" s="65">
        <v>9005571</v>
      </c>
      <c r="B3904" s="65" t="s">
        <v>4488</v>
      </c>
      <c r="C3904" s="65" t="s">
        <v>793</v>
      </c>
    </row>
    <row r="3905" spans="1:3" hidden="1">
      <c r="A3905" s="65">
        <v>9005572</v>
      </c>
      <c r="B3905" s="65" t="s">
        <v>4489</v>
      </c>
      <c r="C3905" s="65" t="s">
        <v>793</v>
      </c>
    </row>
    <row r="3906" spans="1:3" hidden="1">
      <c r="A3906" s="65">
        <v>9005573</v>
      </c>
      <c r="B3906" s="65" t="s">
        <v>4490</v>
      </c>
      <c r="C3906" s="65" t="s">
        <v>793</v>
      </c>
    </row>
    <row r="3907" spans="1:3" hidden="1">
      <c r="A3907" s="65">
        <v>9005574</v>
      </c>
      <c r="B3907" s="65" t="s">
        <v>4491</v>
      </c>
      <c r="C3907" s="65" t="s">
        <v>793</v>
      </c>
    </row>
    <row r="3908" spans="1:3" hidden="1">
      <c r="A3908" s="65">
        <v>9005575</v>
      </c>
      <c r="B3908" s="65" t="s">
        <v>4492</v>
      </c>
      <c r="C3908" s="65" t="s">
        <v>809</v>
      </c>
    </row>
    <row r="3909" spans="1:3" hidden="1">
      <c r="A3909" s="65">
        <v>9005576</v>
      </c>
      <c r="B3909" s="65" t="s">
        <v>4493</v>
      </c>
      <c r="C3909" s="65" t="s">
        <v>809</v>
      </c>
    </row>
    <row r="3910" spans="1:3" hidden="1">
      <c r="A3910" s="65">
        <v>9005577</v>
      </c>
      <c r="B3910" s="65" t="s">
        <v>4494</v>
      </c>
      <c r="C3910" s="65" t="s">
        <v>809</v>
      </c>
    </row>
    <row r="3911" spans="1:3" hidden="1">
      <c r="A3911" s="65">
        <v>9005578</v>
      </c>
      <c r="B3911" s="65" t="s">
        <v>4495</v>
      </c>
      <c r="C3911" s="65" t="s">
        <v>809</v>
      </c>
    </row>
    <row r="3912" spans="1:3" hidden="1">
      <c r="A3912" s="65">
        <v>9005579</v>
      </c>
      <c r="B3912" s="65" t="s">
        <v>4496</v>
      </c>
      <c r="C3912" s="65" t="s">
        <v>809</v>
      </c>
    </row>
    <row r="3913" spans="1:3" hidden="1">
      <c r="A3913" s="65">
        <v>9005580</v>
      </c>
      <c r="B3913" s="65" t="s">
        <v>4497</v>
      </c>
      <c r="C3913" s="65" t="s">
        <v>809</v>
      </c>
    </row>
    <row r="3914" spans="1:3" hidden="1">
      <c r="A3914" s="65">
        <v>9005581</v>
      </c>
      <c r="B3914" s="65" t="s">
        <v>4498</v>
      </c>
      <c r="C3914" s="65" t="s">
        <v>809</v>
      </c>
    </row>
    <row r="3915" spans="1:3" hidden="1">
      <c r="A3915" s="65">
        <v>9005582</v>
      </c>
      <c r="B3915" s="65" t="s">
        <v>4499</v>
      </c>
      <c r="C3915" s="65" t="s">
        <v>793</v>
      </c>
    </row>
    <row r="3916" spans="1:3" hidden="1">
      <c r="A3916" s="65">
        <v>9005583</v>
      </c>
      <c r="B3916" s="65" t="s">
        <v>4500</v>
      </c>
      <c r="C3916" s="65" t="s">
        <v>793</v>
      </c>
    </row>
    <row r="3917" spans="1:3" hidden="1">
      <c r="A3917" s="65">
        <v>9005584</v>
      </c>
      <c r="B3917" s="65" t="s">
        <v>4501</v>
      </c>
      <c r="C3917" s="65" t="s">
        <v>809</v>
      </c>
    </row>
    <row r="3918" spans="1:3" hidden="1">
      <c r="A3918" s="65">
        <v>9005585</v>
      </c>
      <c r="B3918" s="65" t="s">
        <v>4502</v>
      </c>
      <c r="C3918" s="65" t="s">
        <v>809</v>
      </c>
    </row>
    <row r="3919" spans="1:3" hidden="1">
      <c r="A3919" s="65">
        <v>9005586</v>
      </c>
      <c r="B3919" s="65" t="s">
        <v>4503</v>
      </c>
      <c r="C3919" s="65" t="s">
        <v>809</v>
      </c>
    </row>
    <row r="3920" spans="1:3" hidden="1">
      <c r="A3920" s="65">
        <v>9005587</v>
      </c>
      <c r="B3920" s="65" t="s">
        <v>4504</v>
      </c>
      <c r="C3920" s="65" t="s">
        <v>1181</v>
      </c>
    </row>
    <row r="3921" spans="1:3" hidden="1">
      <c r="A3921" s="65">
        <v>9005588</v>
      </c>
      <c r="B3921" s="65" t="s">
        <v>4505</v>
      </c>
      <c r="C3921" s="65" t="s">
        <v>1181</v>
      </c>
    </row>
    <row r="3922" spans="1:3" hidden="1">
      <c r="A3922" s="65">
        <v>9005589</v>
      </c>
      <c r="B3922" s="65" t="s">
        <v>4506</v>
      </c>
      <c r="C3922" s="65" t="s">
        <v>793</v>
      </c>
    </row>
    <row r="3923" spans="1:3" hidden="1">
      <c r="A3923" s="65">
        <v>9005590</v>
      </c>
      <c r="B3923" s="65" t="s">
        <v>4507</v>
      </c>
      <c r="C3923" s="65" t="s">
        <v>738</v>
      </c>
    </row>
    <row r="3924" spans="1:3" hidden="1">
      <c r="A3924" s="65">
        <v>9005591</v>
      </c>
      <c r="B3924" s="65" t="s">
        <v>4508</v>
      </c>
      <c r="C3924" s="65" t="s">
        <v>738</v>
      </c>
    </row>
    <row r="3925" spans="1:3" hidden="1">
      <c r="A3925" s="65">
        <v>9005592</v>
      </c>
      <c r="B3925" s="65" t="s">
        <v>4509</v>
      </c>
      <c r="C3925" s="65" t="s">
        <v>738</v>
      </c>
    </row>
    <row r="3926" spans="1:3" hidden="1">
      <c r="A3926" s="65">
        <v>9005593</v>
      </c>
      <c r="B3926" s="65" t="s">
        <v>4510</v>
      </c>
      <c r="C3926" s="65" t="s">
        <v>738</v>
      </c>
    </row>
    <row r="3927" spans="1:3" hidden="1">
      <c r="A3927" s="65">
        <v>9005594</v>
      </c>
      <c r="B3927" s="65" t="s">
        <v>4511</v>
      </c>
      <c r="C3927" s="65" t="s">
        <v>738</v>
      </c>
    </row>
    <row r="3928" spans="1:3" hidden="1">
      <c r="A3928" s="65">
        <v>9005595</v>
      </c>
      <c r="B3928" s="65" t="s">
        <v>4512</v>
      </c>
      <c r="C3928" s="65" t="s">
        <v>738</v>
      </c>
    </row>
    <row r="3929" spans="1:3" hidden="1">
      <c r="A3929" s="65">
        <v>9005596</v>
      </c>
      <c r="B3929" s="65" t="s">
        <v>4513</v>
      </c>
      <c r="C3929" s="65" t="s">
        <v>738</v>
      </c>
    </row>
    <row r="3930" spans="1:3" hidden="1">
      <c r="A3930" s="65">
        <v>9005597</v>
      </c>
      <c r="B3930" s="65" t="s">
        <v>4514</v>
      </c>
      <c r="C3930" s="65" t="s">
        <v>738</v>
      </c>
    </row>
    <row r="3931" spans="1:3" hidden="1">
      <c r="A3931" s="65">
        <v>9005598</v>
      </c>
      <c r="B3931" s="65" t="s">
        <v>4515</v>
      </c>
      <c r="C3931" s="65" t="s">
        <v>738</v>
      </c>
    </row>
    <row r="3932" spans="1:3" hidden="1">
      <c r="A3932" s="65">
        <v>9005599</v>
      </c>
      <c r="B3932" s="65" t="s">
        <v>4516</v>
      </c>
      <c r="C3932" s="65" t="s">
        <v>738</v>
      </c>
    </row>
    <row r="3933" spans="1:3" hidden="1">
      <c r="A3933" s="65">
        <v>9005600</v>
      </c>
      <c r="B3933" s="65" t="s">
        <v>4517</v>
      </c>
      <c r="C3933" s="65" t="s">
        <v>900</v>
      </c>
    </row>
    <row r="3934" spans="1:3" hidden="1">
      <c r="A3934" s="65">
        <v>9005601</v>
      </c>
      <c r="B3934" s="65" t="s">
        <v>4518</v>
      </c>
      <c r="C3934" s="65" t="s">
        <v>698</v>
      </c>
    </row>
    <row r="3935" spans="1:3" hidden="1">
      <c r="A3935" s="65">
        <v>9005602</v>
      </c>
      <c r="B3935" s="65" t="s">
        <v>4519</v>
      </c>
      <c r="C3935" s="65" t="s">
        <v>793</v>
      </c>
    </row>
    <row r="3936" spans="1:3" hidden="1">
      <c r="A3936" s="65">
        <v>9005603</v>
      </c>
      <c r="B3936" s="65" t="s">
        <v>4520</v>
      </c>
      <c r="C3936" s="65" t="s">
        <v>793</v>
      </c>
    </row>
    <row r="3937" spans="1:3" hidden="1">
      <c r="A3937" s="65">
        <v>9005604</v>
      </c>
      <c r="B3937" s="65" t="s">
        <v>4521</v>
      </c>
      <c r="C3937" s="65" t="s">
        <v>809</v>
      </c>
    </row>
    <row r="3938" spans="1:3" hidden="1">
      <c r="A3938" s="65">
        <v>9005605</v>
      </c>
      <c r="B3938" s="65" t="s">
        <v>4522</v>
      </c>
      <c r="C3938" s="65" t="s">
        <v>793</v>
      </c>
    </row>
    <row r="3939" spans="1:3" hidden="1">
      <c r="A3939" s="65">
        <v>9005606</v>
      </c>
      <c r="B3939" s="65" t="s">
        <v>4523</v>
      </c>
      <c r="C3939" s="65" t="s">
        <v>793</v>
      </c>
    </row>
    <row r="3940" spans="1:3" hidden="1">
      <c r="A3940" s="65">
        <v>9005607</v>
      </c>
      <c r="B3940" s="65" t="s">
        <v>4524</v>
      </c>
      <c r="C3940" s="65" t="s">
        <v>793</v>
      </c>
    </row>
    <row r="3941" spans="1:3" hidden="1">
      <c r="A3941" s="65">
        <v>9005608</v>
      </c>
      <c r="B3941" s="65" t="s">
        <v>4525</v>
      </c>
      <c r="C3941" s="65" t="s">
        <v>793</v>
      </c>
    </row>
    <row r="3942" spans="1:3" hidden="1">
      <c r="A3942" s="65">
        <v>9005609</v>
      </c>
      <c r="B3942" s="65" t="s">
        <v>4526</v>
      </c>
      <c r="C3942" s="65" t="s">
        <v>795</v>
      </c>
    </row>
    <row r="3943" spans="1:3" hidden="1">
      <c r="A3943" s="65">
        <v>9005610</v>
      </c>
      <c r="B3943" s="65" t="s">
        <v>4527</v>
      </c>
      <c r="C3943" s="65" t="s">
        <v>809</v>
      </c>
    </row>
    <row r="3944" spans="1:3" hidden="1">
      <c r="A3944" s="65">
        <v>9005611</v>
      </c>
      <c r="B3944" s="65" t="s">
        <v>4528</v>
      </c>
      <c r="C3944" s="65" t="s">
        <v>793</v>
      </c>
    </row>
    <row r="3945" spans="1:3" hidden="1">
      <c r="A3945" s="65">
        <v>9005612</v>
      </c>
      <c r="B3945" s="65" t="s">
        <v>4529</v>
      </c>
      <c r="C3945" s="65" t="s">
        <v>793</v>
      </c>
    </row>
    <row r="3946" spans="1:3" hidden="1">
      <c r="A3946" s="65">
        <v>9005613</v>
      </c>
      <c r="B3946" s="65" t="s">
        <v>4530</v>
      </c>
      <c r="C3946" s="65" t="s">
        <v>793</v>
      </c>
    </row>
    <row r="3947" spans="1:3" hidden="1">
      <c r="A3947" s="65">
        <v>9005614</v>
      </c>
      <c r="B3947" s="65" t="s">
        <v>4531</v>
      </c>
      <c r="C3947" s="65" t="s">
        <v>793</v>
      </c>
    </row>
    <row r="3948" spans="1:3" hidden="1">
      <c r="A3948" s="65">
        <v>9005615</v>
      </c>
      <c r="B3948" s="65" t="s">
        <v>4532</v>
      </c>
      <c r="C3948" s="65" t="s">
        <v>809</v>
      </c>
    </row>
    <row r="3949" spans="1:3" hidden="1">
      <c r="A3949" s="65">
        <v>9005616</v>
      </c>
      <c r="B3949" s="65" t="s">
        <v>4533</v>
      </c>
      <c r="C3949" s="65" t="s">
        <v>809</v>
      </c>
    </row>
    <row r="3950" spans="1:3" hidden="1">
      <c r="A3950" s="65">
        <v>9005617</v>
      </c>
      <c r="B3950" s="65" t="s">
        <v>4534</v>
      </c>
      <c r="C3950" s="65" t="s">
        <v>809</v>
      </c>
    </row>
    <row r="3951" spans="1:3" hidden="1">
      <c r="A3951" s="65">
        <v>9005618</v>
      </c>
      <c r="B3951" s="65" t="s">
        <v>4535</v>
      </c>
      <c r="C3951" s="65" t="s">
        <v>809</v>
      </c>
    </row>
    <row r="3952" spans="1:3" hidden="1">
      <c r="A3952" s="65">
        <v>9005619</v>
      </c>
      <c r="B3952" s="65" t="s">
        <v>4536</v>
      </c>
      <c r="C3952" s="65" t="s">
        <v>809</v>
      </c>
    </row>
    <row r="3953" spans="1:3" hidden="1">
      <c r="A3953" s="65">
        <v>9005620</v>
      </c>
      <c r="B3953" s="65" t="s">
        <v>4537</v>
      </c>
      <c r="C3953" s="65" t="s">
        <v>809</v>
      </c>
    </row>
    <row r="3954" spans="1:3" hidden="1">
      <c r="A3954" s="65">
        <v>9005621</v>
      </c>
      <c r="B3954" s="65" t="s">
        <v>4538</v>
      </c>
      <c r="C3954" s="65" t="s">
        <v>809</v>
      </c>
    </row>
    <row r="3955" spans="1:3" hidden="1">
      <c r="A3955" s="65">
        <v>9005622</v>
      </c>
      <c r="B3955" s="65" t="s">
        <v>4539</v>
      </c>
      <c r="C3955" s="65" t="s">
        <v>809</v>
      </c>
    </row>
    <row r="3956" spans="1:3" hidden="1">
      <c r="A3956" s="65">
        <v>9005623</v>
      </c>
      <c r="B3956" s="65" t="s">
        <v>4540</v>
      </c>
      <c r="C3956" s="65" t="s">
        <v>809</v>
      </c>
    </row>
    <row r="3957" spans="1:3" hidden="1">
      <c r="A3957" s="65">
        <v>9005624</v>
      </c>
      <c r="B3957" s="65" t="s">
        <v>4541</v>
      </c>
      <c r="C3957" s="65" t="s">
        <v>809</v>
      </c>
    </row>
    <row r="3958" spans="1:3" hidden="1">
      <c r="A3958" s="65">
        <v>9005625</v>
      </c>
      <c r="B3958" s="65" t="s">
        <v>4542</v>
      </c>
      <c r="C3958" s="65" t="s">
        <v>793</v>
      </c>
    </row>
    <row r="3959" spans="1:3" hidden="1">
      <c r="A3959" s="65">
        <v>9005626</v>
      </c>
      <c r="B3959" s="65" t="s">
        <v>4543</v>
      </c>
      <c r="C3959" s="65" t="s">
        <v>793</v>
      </c>
    </row>
    <row r="3960" spans="1:3" hidden="1">
      <c r="A3960" s="65">
        <v>9005627</v>
      </c>
      <c r="B3960" s="65" t="s">
        <v>4544</v>
      </c>
      <c r="C3960" s="65" t="s">
        <v>793</v>
      </c>
    </row>
    <row r="3961" spans="1:3" hidden="1">
      <c r="A3961" s="65">
        <v>9005628</v>
      </c>
      <c r="B3961" s="65" t="s">
        <v>4545</v>
      </c>
      <c r="C3961" s="65" t="s">
        <v>793</v>
      </c>
    </row>
    <row r="3962" spans="1:3" hidden="1">
      <c r="A3962" s="65">
        <v>9005629</v>
      </c>
      <c r="B3962" s="65" t="s">
        <v>4546</v>
      </c>
      <c r="C3962" s="65" t="s">
        <v>793</v>
      </c>
    </row>
    <row r="3963" spans="1:3" hidden="1">
      <c r="A3963" s="65">
        <v>9005630</v>
      </c>
      <c r="B3963" s="65" t="s">
        <v>4547</v>
      </c>
      <c r="C3963" s="65" t="s">
        <v>793</v>
      </c>
    </row>
    <row r="3964" spans="1:3" hidden="1">
      <c r="A3964" s="65">
        <v>9005631</v>
      </c>
      <c r="B3964" s="65" t="s">
        <v>4548</v>
      </c>
      <c r="C3964" s="65" t="s">
        <v>809</v>
      </c>
    </row>
    <row r="3965" spans="1:3" hidden="1">
      <c r="A3965" s="65">
        <v>9005632</v>
      </c>
      <c r="B3965" s="65" t="s">
        <v>4549</v>
      </c>
      <c r="C3965" s="65" t="s">
        <v>827</v>
      </c>
    </row>
    <row r="3966" spans="1:3" hidden="1">
      <c r="A3966" s="65">
        <v>9005633</v>
      </c>
      <c r="B3966" s="65" t="s">
        <v>4550</v>
      </c>
      <c r="C3966" s="65" t="s">
        <v>1181</v>
      </c>
    </row>
    <row r="3967" spans="1:3" hidden="1">
      <c r="A3967" s="65">
        <v>9005634</v>
      </c>
      <c r="B3967" s="65" t="s">
        <v>4551</v>
      </c>
      <c r="C3967" s="65" t="s">
        <v>1181</v>
      </c>
    </row>
    <row r="3968" spans="1:3" hidden="1">
      <c r="A3968" s="65">
        <v>9005635</v>
      </c>
      <c r="B3968" s="65" t="s">
        <v>4552</v>
      </c>
      <c r="C3968" s="65" t="s">
        <v>793</v>
      </c>
    </row>
    <row r="3969" spans="1:3" hidden="1">
      <c r="A3969" s="65">
        <v>9005636</v>
      </c>
      <c r="B3969" s="65" t="s">
        <v>4553</v>
      </c>
      <c r="C3969" s="65" t="s">
        <v>738</v>
      </c>
    </row>
    <row r="3970" spans="1:3" hidden="1">
      <c r="A3970" s="65">
        <v>9005637</v>
      </c>
      <c r="B3970" s="65" t="s">
        <v>4554</v>
      </c>
      <c r="C3970" s="65" t="s">
        <v>738</v>
      </c>
    </row>
    <row r="3971" spans="1:3" hidden="1">
      <c r="A3971" s="65">
        <v>9005638</v>
      </c>
      <c r="B3971" s="65" t="s">
        <v>4555</v>
      </c>
      <c r="C3971" s="65" t="s">
        <v>738</v>
      </c>
    </row>
    <row r="3972" spans="1:3" hidden="1">
      <c r="A3972" s="65">
        <v>9005639</v>
      </c>
      <c r="B3972" s="65" t="s">
        <v>4556</v>
      </c>
      <c r="C3972" s="65" t="s">
        <v>738</v>
      </c>
    </row>
    <row r="3973" spans="1:3" hidden="1">
      <c r="A3973" s="65">
        <v>9005640</v>
      </c>
      <c r="B3973" s="65" t="s">
        <v>4557</v>
      </c>
      <c r="C3973" s="65" t="s">
        <v>738</v>
      </c>
    </row>
    <row r="3974" spans="1:3" hidden="1">
      <c r="A3974" s="65">
        <v>9005641</v>
      </c>
      <c r="B3974" s="65" t="s">
        <v>4558</v>
      </c>
      <c r="C3974" s="65" t="s">
        <v>1926</v>
      </c>
    </row>
    <row r="3975" spans="1:3" hidden="1">
      <c r="A3975" s="65">
        <v>9005642</v>
      </c>
      <c r="B3975" s="65" t="s">
        <v>4559</v>
      </c>
      <c r="C3975" s="65" t="s">
        <v>900</v>
      </c>
    </row>
    <row r="3976" spans="1:3" hidden="1">
      <c r="A3976" s="65">
        <v>9005643</v>
      </c>
      <c r="B3976" s="65" t="s">
        <v>4560</v>
      </c>
      <c r="C3976" s="65" t="s">
        <v>900</v>
      </c>
    </row>
    <row r="3977" spans="1:3" hidden="1">
      <c r="A3977" s="65">
        <v>9005644</v>
      </c>
      <c r="B3977" s="65" t="s">
        <v>4561</v>
      </c>
      <c r="C3977" s="65" t="s">
        <v>900</v>
      </c>
    </row>
    <row r="3978" spans="1:3" hidden="1">
      <c r="A3978" s="65">
        <v>9005645</v>
      </c>
      <c r="B3978" s="65" t="s">
        <v>4562</v>
      </c>
      <c r="C3978" s="65" t="s">
        <v>779</v>
      </c>
    </row>
    <row r="3979" spans="1:3" hidden="1">
      <c r="A3979" s="65">
        <v>9005646</v>
      </c>
      <c r="B3979" s="65" t="s">
        <v>4563</v>
      </c>
      <c r="C3979" s="65" t="s">
        <v>793</v>
      </c>
    </row>
    <row r="3980" spans="1:3" hidden="1">
      <c r="A3980" s="65">
        <v>9005647</v>
      </c>
      <c r="B3980" s="65" t="s">
        <v>4564</v>
      </c>
      <c r="C3980" s="65" t="s">
        <v>809</v>
      </c>
    </row>
    <row r="3981" spans="1:3" hidden="1">
      <c r="A3981" s="65">
        <v>9005648</v>
      </c>
      <c r="B3981" s="65" t="s">
        <v>4565</v>
      </c>
      <c r="C3981" s="65" t="s">
        <v>793</v>
      </c>
    </row>
    <row r="3982" spans="1:3" hidden="1">
      <c r="A3982" s="65">
        <v>9005649</v>
      </c>
      <c r="B3982" s="65" t="s">
        <v>4566</v>
      </c>
      <c r="C3982" s="65" t="s">
        <v>793</v>
      </c>
    </row>
    <row r="3983" spans="1:3" hidden="1">
      <c r="A3983" s="65">
        <v>9005650</v>
      </c>
      <c r="B3983" s="65" t="s">
        <v>4567</v>
      </c>
      <c r="C3983" s="65" t="s">
        <v>793</v>
      </c>
    </row>
    <row r="3984" spans="1:3" hidden="1">
      <c r="A3984" s="65">
        <v>9005651</v>
      </c>
      <c r="B3984" s="65" t="s">
        <v>4568</v>
      </c>
      <c r="C3984" s="65" t="s">
        <v>793</v>
      </c>
    </row>
    <row r="3985" spans="1:3" hidden="1">
      <c r="A3985" s="65">
        <v>9005652</v>
      </c>
      <c r="B3985" s="65" t="s">
        <v>4569</v>
      </c>
      <c r="C3985" s="65" t="s">
        <v>793</v>
      </c>
    </row>
    <row r="3986" spans="1:3" hidden="1">
      <c r="A3986" s="65">
        <v>9005653</v>
      </c>
      <c r="B3986" s="65" t="s">
        <v>4570</v>
      </c>
      <c r="C3986" s="65" t="s">
        <v>809</v>
      </c>
    </row>
    <row r="3987" spans="1:3" hidden="1">
      <c r="A3987" s="65">
        <v>9005654</v>
      </c>
      <c r="B3987" s="65" t="s">
        <v>4571</v>
      </c>
      <c r="C3987" s="65" t="s">
        <v>809</v>
      </c>
    </row>
    <row r="3988" spans="1:3" hidden="1">
      <c r="A3988" s="65">
        <v>9005655</v>
      </c>
      <c r="B3988" s="65" t="s">
        <v>4572</v>
      </c>
      <c r="C3988" s="65" t="s">
        <v>809</v>
      </c>
    </row>
    <row r="3989" spans="1:3" hidden="1">
      <c r="A3989" s="65">
        <v>9005656</v>
      </c>
      <c r="B3989" s="65" t="s">
        <v>4573</v>
      </c>
      <c r="C3989" s="65" t="s">
        <v>793</v>
      </c>
    </row>
    <row r="3990" spans="1:3" hidden="1">
      <c r="A3990" s="65">
        <v>9005657</v>
      </c>
      <c r="B3990" s="65" t="s">
        <v>4574</v>
      </c>
      <c r="C3990" s="65" t="s">
        <v>793</v>
      </c>
    </row>
    <row r="3991" spans="1:3" hidden="1">
      <c r="A3991" s="65">
        <v>9005658</v>
      </c>
      <c r="B3991" s="65" t="s">
        <v>4575</v>
      </c>
      <c r="C3991" s="65" t="s">
        <v>793</v>
      </c>
    </row>
    <row r="3992" spans="1:3" hidden="1">
      <c r="A3992" s="65">
        <v>9005659</v>
      </c>
      <c r="B3992" s="65" t="s">
        <v>4576</v>
      </c>
      <c r="C3992" s="65" t="s">
        <v>793</v>
      </c>
    </row>
    <row r="3993" spans="1:3" hidden="1">
      <c r="A3993" s="65">
        <v>9005660</v>
      </c>
      <c r="B3993" s="65" t="s">
        <v>4577</v>
      </c>
      <c r="C3993" s="65" t="s">
        <v>793</v>
      </c>
    </row>
    <row r="3994" spans="1:3" hidden="1">
      <c r="A3994" s="65">
        <v>9005661</v>
      </c>
      <c r="B3994" s="65" t="s">
        <v>4578</v>
      </c>
      <c r="C3994" s="65" t="s">
        <v>793</v>
      </c>
    </row>
    <row r="3995" spans="1:3" hidden="1">
      <c r="A3995" s="65">
        <v>9005662</v>
      </c>
      <c r="B3995" s="65" t="s">
        <v>4579</v>
      </c>
      <c r="C3995" s="65" t="s">
        <v>809</v>
      </c>
    </row>
    <row r="3996" spans="1:3" hidden="1">
      <c r="A3996" s="65">
        <v>9005663</v>
      </c>
      <c r="B3996" s="65" t="s">
        <v>4580</v>
      </c>
      <c r="C3996" s="65" t="s">
        <v>775</v>
      </c>
    </row>
    <row r="3997" spans="1:3" hidden="1">
      <c r="A3997" s="65">
        <v>9005664</v>
      </c>
      <c r="B3997" s="65" t="s">
        <v>4581</v>
      </c>
      <c r="C3997" s="65" t="s">
        <v>809</v>
      </c>
    </row>
    <row r="3998" spans="1:3" hidden="1">
      <c r="A3998" s="65">
        <v>9005665</v>
      </c>
      <c r="B3998" s="65" t="s">
        <v>4582</v>
      </c>
      <c r="C3998" s="65" t="s">
        <v>793</v>
      </c>
    </row>
    <row r="3999" spans="1:3" hidden="1">
      <c r="A3999" s="65">
        <v>9005666</v>
      </c>
      <c r="B3999" s="65" t="s">
        <v>4583</v>
      </c>
      <c r="C3999" s="65" t="s">
        <v>777</v>
      </c>
    </row>
    <row r="4000" spans="1:3" hidden="1">
      <c r="A4000" s="65">
        <v>9005667</v>
      </c>
      <c r="B4000" s="65" t="s">
        <v>4584</v>
      </c>
      <c r="C4000" s="65" t="s">
        <v>793</v>
      </c>
    </row>
    <row r="4001" spans="1:3" hidden="1">
      <c r="A4001" s="65">
        <v>9005668</v>
      </c>
      <c r="B4001" s="65" t="s">
        <v>4585</v>
      </c>
      <c r="C4001" s="65" t="s">
        <v>793</v>
      </c>
    </row>
    <row r="4002" spans="1:3" hidden="1">
      <c r="A4002" s="65">
        <v>9005669</v>
      </c>
      <c r="B4002" s="65" t="s">
        <v>4586</v>
      </c>
      <c r="C4002" s="65" t="s">
        <v>793</v>
      </c>
    </row>
    <row r="4003" spans="1:3" hidden="1">
      <c r="A4003" s="65">
        <v>9005670</v>
      </c>
      <c r="B4003" s="65" t="s">
        <v>4587</v>
      </c>
      <c r="C4003" s="65" t="s">
        <v>809</v>
      </c>
    </row>
    <row r="4004" spans="1:3" hidden="1">
      <c r="A4004" s="65">
        <v>9005671</v>
      </c>
      <c r="B4004" s="65" t="s">
        <v>4588</v>
      </c>
      <c r="C4004" s="65" t="s">
        <v>793</v>
      </c>
    </row>
    <row r="4005" spans="1:3" hidden="1">
      <c r="A4005" s="65">
        <v>9005672</v>
      </c>
      <c r="B4005" s="65" t="s">
        <v>4589</v>
      </c>
      <c r="C4005" s="65" t="s">
        <v>809</v>
      </c>
    </row>
    <row r="4006" spans="1:3" hidden="1">
      <c r="A4006" s="65">
        <v>9005673</v>
      </c>
      <c r="B4006" s="65" t="s">
        <v>4590</v>
      </c>
      <c r="C4006" s="65" t="s">
        <v>793</v>
      </c>
    </row>
    <row r="4007" spans="1:3" hidden="1">
      <c r="A4007" s="65">
        <v>9005674</v>
      </c>
      <c r="B4007" s="65" t="s">
        <v>4591</v>
      </c>
      <c r="C4007" s="65" t="s">
        <v>809</v>
      </c>
    </row>
    <row r="4008" spans="1:3" hidden="1">
      <c r="A4008" s="65">
        <v>9005675</v>
      </c>
      <c r="B4008" s="65" t="s">
        <v>4592</v>
      </c>
      <c r="C4008" s="65" t="s">
        <v>809</v>
      </c>
    </row>
    <row r="4009" spans="1:3" hidden="1">
      <c r="A4009" s="65">
        <v>9005676</v>
      </c>
      <c r="B4009" s="65" t="s">
        <v>4593</v>
      </c>
      <c r="C4009" s="65" t="s">
        <v>793</v>
      </c>
    </row>
    <row r="4010" spans="1:3" hidden="1">
      <c r="A4010" s="65">
        <v>9005677</v>
      </c>
      <c r="B4010" s="65" t="s">
        <v>4594</v>
      </c>
      <c r="C4010" s="65" t="s">
        <v>809</v>
      </c>
    </row>
    <row r="4011" spans="1:3" hidden="1">
      <c r="A4011" s="65">
        <v>9005678</v>
      </c>
      <c r="B4011" s="65" t="s">
        <v>4595</v>
      </c>
      <c r="C4011" s="65" t="s">
        <v>793</v>
      </c>
    </row>
    <row r="4012" spans="1:3" hidden="1">
      <c r="A4012" s="65">
        <v>9005679</v>
      </c>
      <c r="B4012" s="65" t="s">
        <v>4596</v>
      </c>
      <c r="C4012" s="65" t="s">
        <v>809</v>
      </c>
    </row>
    <row r="4013" spans="1:3" hidden="1">
      <c r="A4013" s="65">
        <v>9005680</v>
      </c>
      <c r="B4013" s="65" t="s">
        <v>4597</v>
      </c>
      <c r="C4013" s="65" t="s">
        <v>809</v>
      </c>
    </row>
    <row r="4014" spans="1:3" hidden="1">
      <c r="A4014" s="65">
        <v>9005681</v>
      </c>
      <c r="B4014" s="65" t="s">
        <v>4598</v>
      </c>
      <c r="C4014" s="65" t="s">
        <v>809</v>
      </c>
    </row>
    <row r="4015" spans="1:3" hidden="1">
      <c r="A4015" s="65">
        <v>9005682</v>
      </c>
      <c r="B4015" s="65" t="s">
        <v>4599</v>
      </c>
      <c r="C4015" s="65" t="s">
        <v>809</v>
      </c>
    </row>
    <row r="4016" spans="1:3" hidden="1">
      <c r="A4016" s="65">
        <v>9005683</v>
      </c>
      <c r="B4016" s="65" t="s">
        <v>4600</v>
      </c>
      <c r="C4016" s="65" t="s">
        <v>809</v>
      </c>
    </row>
    <row r="4017" spans="1:3" hidden="1">
      <c r="A4017" s="65">
        <v>9005684</v>
      </c>
      <c r="B4017" s="65" t="s">
        <v>4601</v>
      </c>
      <c r="C4017" s="65" t="s">
        <v>793</v>
      </c>
    </row>
    <row r="4018" spans="1:3" hidden="1">
      <c r="A4018" s="65">
        <v>9005685</v>
      </c>
      <c r="B4018" s="65" t="s">
        <v>4602</v>
      </c>
      <c r="C4018" s="65" t="s">
        <v>793</v>
      </c>
    </row>
    <row r="4019" spans="1:3" hidden="1">
      <c r="A4019" s="65">
        <v>9005686</v>
      </c>
      <c r="B4019" s="65" t="s">
        <v>4603</v>
      </c>
      <c r="C4019" s="65" t="s">
        <v>793</v>
      </c>
    </row>
    <row r="4020" spans="1:3" hidden="1">
      <c r="A4020" s="65">
        <v>9005687</v>
      </c>
      <c r="B4020" s="65" t="s">
        <v>4604</v>
      </c>
      <c r="C4020" s="65" t="s">
        <v>793</v>
      </c>
    </row>
    <row r="4021" spans="1:3" hidden="1">
      <c r="A4021" s="65">
        <v>9005688</v>
      </c>
      <c r="B4021" s="65" t="s">
        <v>4605</v>
      </c>
      <c r="C4021" s="65" t="s">
        <v>793</v>
      </c>
    </row>
    <row r="4022" spans="1:3" hidden="1">
      <c r="A4022" s="65">
        <v>9005689</v>
      </c>
      <c r="B4022" s="65" t="s">
        <v>4606</v>
      </c>
      <c r="C4022" s="65" t="s">
        <v>793</v>
      </c>
    </row>
    <row r="4023" spans="1:3" hidden="1">
      <c r="A4023" s="65">
        <v>9005690</v>
      </c>
      <c r="B4023" s="65" t="s">
        <v>4607</v>
      </c>
      <c r="C4023" s="65" t="s">
        <v>793</v>
      </c>
    </row>
    <row r="4024" spans="1:3" hidden="1">
      <c r="A4024" s="65">
        <v>9005691</v>
      </c>
      <c r="B4024" s="65" t="s">
        <v>4608</v>
      </c>
      <c r="C4024" s="65" t="s">
        <v>793</v>
      </c>
    </row>
    <row r="4025" spans="1:3" hidden="1">
      <c r="A4025" s="65">
        <v>9005692</v>
      </c>
      <c r="B4025" s="65" t="s">
        <v>4609</v>
      </c>
      <c r="C4025" s="65" t="s">
        <v>809</v>
      </c>
    </row>
    <row r="4026" spans="1:3" hidden="1">
      <c r="A4026" s="65">
        <v>9005693</v>
      </c>
      <c r="B4026" s="65" t="s">
        <v>4610</v>
      </c>
      <c r="C4026" s="65" t="s">
        <v>793</v>
      </c>
    </row>
    <row r="4027" spans="1:3" hidden="1">
      <c r="A4027" s="65">
        <v>9005694</v>
      </c>
      <c r="B4027" s="65" t="s">
        <v>4611</v>
      </c>
      <c r="C4027" s="65" t="s">
        <v>793</v>
      </c>
    </row>
    <row r="4028" spans="1:3" hidden="1">
      <c r="A4028" s="65">
        <v>9005695</v>
      </c>
      <c r="B4028" s="65" t="s">
        <v>4612</v>
      </c>
      <c r="C4028" s="65" t="s">
        <v>809</v>
      </c>
    </row>
    <row r="4029" spans="1:3" hidden="1">
      <c r="A4029" s="65">
        <v>9005696</v>
      </c>
      <c r="B4029" s="65" t="s">
        <v>4613</v>
      </c>
      <c r="C4029" s="65" t="s">
        <v>827</v>
      </c>
    </row>
    <row r="4030" spans="1:3" hidden="1">
      <c r="A4030" s="65">
        <v>9005697</v>
      </c>
      <c r="B4030" s="65" t="s">
        <v>4614</v>
      </c>
      <c r="C4030" s="65" t="s">
        <v>1181</v>
      </c>
    </row>
    <row r="4031" spans="1:3" hidden="1">
      <c r="A4031" s="65">
        <v>9005698</v>
      </c>
      <c r="B4031" s="65" t="s">
        <v>4615</v>
      </c>
      <c r="C4031" s="65" t="s">
        <v>793</v>
      </c>
    </row>
    <row r="4032" spans="1:3" hidden="1">
      <c r="A4032" s="65">
        <v>9005699</v>
      </c>
      <c r="B4032" s="65" t="s">
        <v>4616</v>
      </c>
      <c r="C4032" s="65" t="s">
        <v>793</v>
      </c>
    </row>
    <row r="4033" spans="1:3" hidden="1">
      <c r="A4033" s="65">
        <v>9005700</v>
      </c>
      <c r="B4033" s="65" t="s">
        <v>4617</v>
      </c>
      <c r="C4033" s="65" t="s">
        <v>793</v>
      </c>
    </row>
    <row r="4034" spans="1:3" hidden="1">
      <c r="A4034" s="65">
        <v>9005701</v>
      </c>
      <c r="B4034" s="65" t="s">
        <v>4618</v>
      </c>
      <c r="C4034" s="65" t="s">
        <v>793</v>
      </c>
    </row>
    <row r="4035" spans="1:3" hidden="1">
      <c r="A4035" s="65">
        <v>9005702</v>
      </c>
      <c r="B4035" s="65" t="s">
        <v>4619</v>
      </c>
      <c r="C4035" s="65" t="s">
        <v>738</v>
      </c>
    </row>
    <row r="4036" spans="1:3" hidden="1">
      <c r="A4036" s="65">
        <v>9005703</v>
      </c>
      <c r="B4036" s="65" t="s">
        <v>4620</v>
      </c>
      <c r="C4036" s="65" t="s">
        <v>738</v>
      </c>
    </row>
    <row r="4037" spans="1:3" hidden="1">
      <c r="A4037" s="65">
        <v>9005704</v>
      </c>
      <c r="B4037" s="65" t="s">
        <v>4621</v>
      </c>
      <c r="C4037" s="65" t="s">
        <v>809</v>
      </c>
    </row>
    <row r="4038" spans="1:3" hidden="1">
      <c r="A4038" s="65">
        <v>9005705</v>
      </c>
      <c r="B4038" s="65" t="s">
        <v>4622</v>
      </c>
      <c r="C4038" s="65" t="s">
        <v>809</v>
      </c>
    </row>
    <row r="4039" spans="1:3" hidden="1">
      <c r="A4039" s="65">
        <v>9005706</v>
      </c>
      <c r="B4039" s="65" t="s">
        <v>4623</v>
      </c>
      <c r="C4039" s="65" t="s">
        <v>793</v>
      </c>
    </row>
    <row r="4040" spans="1:3" hidden="1">
      <c r="A4040" s="65">
        <v>9005707</v>
      </c>
      <c r="B4040" s="65" t="s">
        <v>4624</v>
      </c>
      <c r="C4040" s="65" t="s">
        <v>793</v>
      </c>
    </row>
    <row r="4041" spans="1:3" hidden="1">
      <c r="A4041" s="65">
        <v>9005708</v>
      </c>
      <c r="B4041" s="65" t="s">
        <v>4625</v>
      </c>
      <c r="C4041" s="65" t="s">
        <v>793</v>
      </c>
    </row>
    <row r="4042" spans="1:3" hidden="1">
      <c r="A4042" s="65">
        <v>9005709</v>
      </c>
      <c r="B4042" s="65" t="s">
        <v>4626</v>
      </c>
      <c r="C4042" s="65" t="s">
        <v>793</v>
      </c>
    </row>
    <row r="4043" spans="1:3" hidden="1">
      <c r="A4043" s="65">
        <v>9005710</v>
      </c>
      <c r="B4043" s="65" t="s">
        <v>4627</v>
      </c>
      <c r="C4043" s="65" t="s">
        <v>793</v>
      </c>
    </row>
    <row r="4044" spans="1:3" hidden="1">
      <c r="A4044" s="65">
        <v>9005711</v>
      </c>
      <c r="B4044" s="65" t="s">
        <v>4628</v>
      </c>
      <c r="C4044" s="65" t="s">
        <v>793</v>
      </c>
    </row>
    <row r="4045" spans="1:3" hidden="1">
      <c r="A4045" s="65">
        <v>9005712</v>
      </c>
      <c r="B4045" s="65" t="s">
        <v>4629</v>
      </c>
      <c r="C4045" s="65" t="s">
        <v>793</v>
      </c>
    </row>
    <row r="4046" spans="1:3" hidden="1">
      <c r="A4046" s="65">
        <v>9005713</v>
      </c>
      <c r="B4046" s="65" t="s">
        <v>4630</v>
      </c>
      <c r="C4046" s="65" t="s">
        <v>793</v>
      </c>
    </row>
    <row r="4047" spans="1:3" hidden="1">
      <c r="A4047" s="65">
        <v>9005714</v>
      </c>
      <c r="B4047" s="65" t="s">
        <v>4631</v>
      </c>
      <c r="C4047" s="65" t="s">
        <v>793</v>
      </c>
    </row>
    <row r="4048" spans="1:3" hidden="1">
      <c r="A4048" s="65">
        <v>9005715</v>
      </c>
      <c r="B4048" s="65" t="s">
        <v>4632</v>
      </c>
      <c r="C4048" s="65" t="s">
        <v>777</v>
      </c>
    </row>
    <row r="4049" spans="1:3" hidden="1">
      <c r="A4049" s="65">
        <v>9005716</v>
      </c>
      <c r="B4049" s="65" t="s">
        <v>4633</v>
      </c>
      <c r="C4049" s="65" t="s">
        <v>809</v>
      </c>
    </row>
    <row r="4050" spans="1:3" hidden="1">
      <c r="A4050" s="65">
        <v>9005717</v>
      </c>
      <c r="B4050" s="65" t="s">
        <v>4634</v>
      </c>
      <c r="C4050" s="65" t="s">
        <v>775</v>
      </c>
    </row>
    <row r="4051" spans="1:3" hidden="1">
      <c r="A4051" s="65">
        <v>9005718</v>
      </c>
      <c r="B4051" s="65" t="s">
        <v>4635</v>
      </c>
      <c r="C4051" s="65" t="s">
        <v>793</v>
      </c>
    </row>
    <row r="4052" spans="1:3" hidden="1">
      <c r="A4052" s="65">
        <v>9005719</v>
      </c>
      <c r="B4052" s="65" t="s">
        <v>4636</v>
      </c>
      <c r="C4052" s="65" t="s">
        <v>793</v>
      </c>
    </row>
    <row r="4053" spans="1:3" hidden="1">
      <c r="A4053" s="65">
        <v>9005720</v>
      </c>
      <c r="B4053" s="65" t="s">
        <v>4637</v>
      </c>
      <c r="C4053" s="65" t="s">
        <v>793</v>
      </c>
    </row>
    <row r="4054" spans="1:3" hidden="1">
      <c r="A4054" s="65">
        <v>9005721</v>
      </c>
      <c r="B4054" s="65" t="s">
        <v>4638</v>
      </c>
      <c r="C4054" s="65" t="s">
        <v>793</v>
      </c>
    </row>
    <row r="4055" spans="1:3" hidden="1">
      <c r="A4055" s="65">
        <v>9005722</v>
      </c>
      <c r="B4055" s="65" t="s">
        <v>4639</v>
      </c>
      <c r="C4055" s="65" t="s">
        <v>793</v>
      </c>
    </row>
    <row r="4056" spans="1:3" hidden="1">
      <c r="A4056" s="65">
        <v>9005723</v>
      </c>
      <c r="B4056" s="65" t="s">
        <v>4640</v>
      </c>
      <c r="C4056" s="65" t="s">
        <v>793</v>
      </c>
    </row>
    <row r="4057" spans="1:3" hidden="1">
      <c r="A4057" s="65">
        <v>9005724</v>
      </c>
      <c r="B4057" s="65" t="s">
        <v>4641</v>
      </c>
      <c r="C4057" s="65" t="s">
        <v>793</v>
      </c>
    </row>
    <row r="4058" spans="1:3" hidden="1">
      <c r="A4058" s="65">
        <v>9005725</v>
      </c>
      <c r="B4058" s="65" t="s">
        <v>4642</v>
      </c>
      <c r="C4058" s="65" t="s">
        <v>809</v>
      </c>
    </row>
    <row r="4059" spans="1:3" hidden="1">
      <c r="A4059" s="65">
        <v>9005726</v>
      </c>
      <c r="B4059" s="65" t="s">
        <v>4643</v>
      </c>
      <c r="C4059" s="65" t="s">
        <v>809</v>
      </c>
    </row>
    <row r="4060" spans="1:3" hidden="1">
      <c r="A4060" s="65">
        <v>9005727</v>
      </c>
      <c r="B4060" s="65" t="s">
        <v>4644</v>
      </c>
      <c r="C4060" s="65" t="s">
        <v>809</v>
      </c>
    </row>
    <row r="4061" spans="1:3" hidden="1">
      <c r="A4061" s="65">
        <v>9005728</v>
      </c>
      <c r="B4061" s="65" t="s">
        <v>4645</v>
      </c>
      <c r="C4061" s="65" t="s">
        <v>809</v>
      </c>
    </row>
    <row r="4062" spans="1:3" hidden="1">
      <c r="A4062" s="65">
        <v>9005729</v>
      </c>
      <c r="B4062" s="65" t="s">
        <v>4646</v>
      </c>
      <c r="C4062" s="65" t="s">
        <v>809</v>
      </c>
    </row>
    <row r="4063" spans="1:3" hidden="1">
      <c r="A4063" s="65">
        <v>9005730</v>
      </c>
      <c r="B4063" s="65" t="s">
        <v>4647</v>
      </c>
      <c r="C4063" s="65" t="s">
        <v>793</v>
      </c>
    </row>
    <row r="4064" spans="1:3" hidden="1">
      <c r="A4064" s="65">
        <v>9005731</v>
      </c>
      <c r="B4064" s="65" t="s">
        <v>4648</v>
      </c>
      <c r="C4064" s="65" t="s">
        <v>809</v>
      </c>
    </row>
    <row r="4065" spans="1:3" hidden="1">
      <c r="A4065" s="65">
        <v>9005732</v>
      </c>
      <c r="B4065" s="65" t="s">
        <v>4649</v>
      </c>
      <c r="C4065" s="65" t="s">
        <v>793</v>
      </c>
    </row>
    <row r="4066" spans="1:3" hidden="1">
      <c r="A4066" s="65">
        <v>9005733</v>
      </c>
      <c r="B4066" s="65" t="s">
        <v>4650</v>
      </c>
      <c r="C4066" s="65" t="s">
        <v>809</v>
      </c>
    </row>
    <row r="4067" spans="1:3" hidden="1">
      <c r="A4067" s="65">
        <v>9005734</v>
      </c>
      <c r="B4067" s="65" t="s">
        <v>4651</v>
      </c>
      <c r="C4067" s="65" t="s">
        <v>809</v>
      </c>
    </row>
    <row r="4068" spans="1:3" hidden="1">
      <c r="A4068" s="65">
        <v>9005735</v>
      </c>
      <c r="B4068" s="65" t="s">
        <v>4652</v>
      </c>
      <c r="C4068" s="65" t="s">
        <v>793</v>
      </c>
    </row>
    <row r="4069" spans="1:3" hidden="1">
      <c r="A4069" s="65">
        <v>9005736</v>
      </c>
      <c r="B4069" s="65" t="s">
        <v>4653</v>
      </c>
      <c r="C4069" s="65" t="s">
        <v>793</v>
      </c>
    </row>
    <row r="4070" spans="1:3" hidden="1">
      <c r="A4070" s="65">
        <v>9005737</v>
      </c>
      <c r="B4070" s="65" t="s">
        <v>4654</v>
      </c>
      <c r="C4070" s="65" t="s">
        <v>793</v>
      </c>
    </row>
    <row r="4071" spans="1:3" hidden="1">
      <c r="A4071" s="65">
        <v>9005738</v>
      </c>
      <c r="B4071" s="65" t="s">
        <v>4655</v>
      </c>
      <c r="C4071" s="65" t="s">
        <v>793</v>
      </c>
    </row>
    <row r="4072" spans="1:3" hidden="1">
      <c r="A4072" s="65">
        <v>9005739</v>
      </c>
      <c r="B4072" s="65" t="s">
        <v>4656</v>
      </c>
      <c r="C4072" s="65" t="s">
        <v>793</v>
      </c>
    </row>
    <row r="4073" spans="1:3" hidden="1">
      <c r="A4073" s="65">
        <v>9005740</v>
      </c>
      <c r="B4073" s="65" t="s">
        <v>4657</v>
      </c>
      <c r="C4073" s="65" t="s">
        <v>793</v>
      </c>
    </row>
    <row r="4074" spans="1:3" hidden="1">
      <c r="A4074" s="65">
        <v>9005741</v>
      </c>
      <c r="B4074" s="65" t="s">
        <v>4658</v>
      </c>
      <c r="C4074" s="65" t="s">
        <v>793</v>
      </c>
    </row>
    <row r="4075" spans="1:3" hidden="1">
      <c r="A4075" s="65">
        <v>9005742</v>
      </c>
      <c r="B4075" s="65" t="s">
        <v>4659</v>
      </c>
      <c r="C4075" s="65" t="s">
        <v>793</v>
      </c>
    </row>
    <row r="4076" spans="1:3" hidden="1">
      <c r="A4076" s="65">
        <v>9005743</v>
      </c>
      <c r="B4076" s="65" t="s">
        <v>4660</v>
      </c>
      <c r="C4076" s="65" t="s">
        <v>793</v>
      </c>
    </row>
    <row r="4077" spans="1:3" hidden="1">
      <c r="A4077" s="65">
        <v>9005744</v>
      </c>
      <c r="B4077" s="65" t="s">
        <v>4661</v>
      </c>
      <c r="C4077" s="65" t="s">
        <v>793</v>
      </c>
    </row>
    <row r="4078" spans="1:3" hidden="1">
      <c r="A4078" s="65">
        <v>9005745</v>
      </c>
      <c r="B4078" s="65" t="s">
        <v>4662</v>
      </c>
      <c r="C4078" s="65" t="s">
        <v>809</v>
      </c>
    </row>
    <row r="4079" spans="1:3" hidden="1">
      <c r="A4079" s="65">
        <v>9005746</v>
      </c>
      <c r="B4079" s="65" t="s">
        <v>4663</v>
      </c>
      <c r="C4079" s="65" t="s">
        <v>809</v>
      </c>
    </row>
    <row r="4080" spans="1:3" hidden="1">
      <c r="A4080" s="65">
        <v>9005747</v>
      </c>
      <c r="B4080" s="65" t="s">
        <v>4664</v>
      </c>
      <c r="C4080" s="65" t="s">
        <v>793</v>
      </c>
    </row>
    <row r="4081" spans="1:3" hidden="1">
      <c r="A4081" s="65">
        <v>9005748</v>
      </c>
      <c r="B4081" s="65" t="s">
        <v>4665</v>
      </c>
      <c r="C4081" s="65" t="s">
        <v>809</v>
      </c>
    </row>
    <row r="4082" spans="1:3" hidden="1">
      <c r="A4082" s="65">
        <v>9005749</v>
      </c>
      <c r="B4082" s="65" t="s">
        <v>4666</v>
      </c>
      <c r="C4082" s="65" t="s">
        <v>809</v>
      </c>
    </row>
    <row r="4083" spans="1:3" hidden="1">
      <c r="A4083" s="65">
        <v>9005750</v>
      </c>
      <c r="B4083" s="65" t="s">
        <v>4667</v>
      </c>
      <c r="C4083" s="65" t="s">
        <v>793</v>
      </c>
    </row>
    <row r="4084" spans="1:3" hidden="1">
      <c r="A4084" s="65">
        <v>9005751</v>
      </c>
      <c r="B4084" s="65" t="s">
        <v>4668</v>
      </c>
      <c r="C4084" s="65" t="s">
        <v>793</v>
      </c>
    </row>
    <row r="4085" spans="1:3" hidden="1">
      <c r="A4085" s="65">
        <v>9005752</v>
      </c>
      <c r="B4085" s="65" t="s">
        <v>4669</v>
      </c>
      <c r="C4085" s="65" t="s">
        <v>793</v>
      </c>
    </row>
    <row r="4086" spans="1:3" hidden="1">
      <c r="A4086" s="65">
        <v>9005753</v>
      </c>
      <c r="B4086" s="65" t="s">
        <v>4670</v>
      </c>
      <c r="C4086" s="65" t="s">
        <v>738</v>
      </c>
    </row>
    <row r="4087" spans="1:3" hidden="1">
      <c r="A4087" s="65">
        <v>9005754</v>
      </c>
      <c r="B4087" s="65" t="s">
        <v>4671</v>
      </c>
      <c r="C4087" s="65" t="s">
        <v>1181</v>
      </c>
    </row>
    <row r="4088" spans="1:3" hidden="1">
      <c r="A4088" s="65">
        <v>9005755</v>
      </c>
      <c r="B4088" s="65" t="s">
        <v>4672</v>
      </c>
      <c r="C4088" s="65" t="s">
        <v>1181</v>
      </c>
    </row>
    <row r="4089" spans="1:3" hidden="1">
      <c r="A4089" s="65">
        <v>9005756</v>
      </c>
      <c r="B4089" s="65" t="s">
        <v>4673</v>
      </c>
      <c r="C4089" s="65" t="s">
        <v>1181</v>
      </c>
    </row>
    <row r="4090" spans="1:3" hidden="1">
      <c r="A4090" s="65">
        <v>9005757</v>
      </c>
      <c r="B4090" s="65" t="s">
        <v>4674</v>
      </c>
      <c r="C4090" s="65" t="s">
        <v>1181</v>
      </c>
    </row>
    <row r="4091" spans="1:3" hidden="1">
      <c r="A4091" s="65">
        <v>9005758</v>
      </c>
      <c r="B4091" s="65" t="s">
        <v>4675</v>
      </c>
      <c r="C4091" s="65" t="s">
        <v>1181</v>
      </c>
    </row>
    <row r="4092" spans="1:3" hidden="1">
      <c r="A4092" s="65">
        <v>9005759</v>
      </c>
      <c r="B4092" s="65" t="s">
        <v>4676</v>
      </c>
      <c r="C4092" s="65" t="s">
        <v>1181</v>
      </c>
    </row>
    <row r="4093" spans="1:3" hidden="1">
      <c r="A4093" s="65">
        <v>9005760</v>
      </c>
      <c r="B4093" s="65" t="s">
        <v>4677</v>
      </c>
      <c r="C4093" s="65" t="s">
        <v>1181</v>
      </c>
    </row>
    <row r="4094" spans="1:3" hidden="1">
      <c r="A4094" s="65">
        <v>9005761</v>
      </c>
      <c r="B4094" s="65" t="s">
        <v>4678</v>
      </c>
      <c r="C4094" s="65" t="s">
        <v>1181</v>
      </c>
    </row>
    <row r="4095" spans="1:3" hidden="1">
      <c r="A4095" s="65">
        <v>9005762</v>
      </c>
      <c r="B4095" s="65" t="s">
        <v>4679</v>
      </c>
      <c r="C4095" s="65" t="s">
        <v>1181</v>
      </c>
    </row>
    <row r="4096" spans="1:3" hidden="1">
      <c r="A4096" s="65">
        <v>9005763</v>
      </c>
      <c r="B4096" s="65" t="s">
        <v>4680</v>
      </c>
      <c r="C4096" s="65" t="s">
        <v>793</v>
      </c>
    </row>
    <row r="4097" spans="1:3" hidden="1">
      <c r="A4097" s="65">
        <v>9005764</v>
      </c>
      <c r="B4097" s="65" t="s">
        <v>4681</v>
      </c>
      <c r="C4097" s="65" t="s">
        <v>793</v>
      </c>
    </row>
    <row r="4098" spans="1:3" hidden="1">
      <c r="A4098" s="65">
        <v>9005765</v>
      </c>
      <c r="B4098" s="65" t="s">
        <v>4682</v>
      </c>
      <c r="C4098" s="65" t="s">
        <v>793</v>
      </c>
    </row>
    <row r="4099" spans="1:3" hidden="1">
      <c r="A4099" s="65">
        <v>9005766</v>
      </c>
      <c r="B4099" s="65" t="s">
        <v>4683</v>
      </c>
      <c r="C4099" s="65" t="s">
        <v>793</v>
      </c>
    </row>
    <row r="4100" spans="1:3" hidden="1">
      <c r="A4100" s="65">
        <v>9005767</v>
      </c>
      <c r="B4100" s="65" t="s">
        <v>4684</v>
      </c>
      <c r="C4100" s="65" t="s">
        <v>793</v>
      </c>
    </row>
    <row r="4101" spans="1:3" hidden="1">
      <c r="A4101" s="65">
        <v>9005768</v>
      </c>
      <c r="B4101" s="65" t="s">
        <v>4685</v>
      </c>
      <c r="C4101" s="65" t="s">
        <v>779</v>
      </c>
    </row>
    <row r="4102" spans="1:3" hidden="1">
      <c r="A4102" s="65">
        <v>9005769</v>
      </c>
      <c r="B4102" s="65" t="s">
        <v>4686</v>
      </c>
      <c r="C4102" s="65" t="s">
        <v>779</v>
      </c>
    </row>
    <row r="4103" spans="1:3" hidden="1">
      <c r="A4103" s="65">
        <v>9005770</v>
      </c>
      <c r="B4103" s="65" t="s">
        <v>4687</v>
      </c>
      <c r="C4103" s="65" t="s">
        <v>809</v>
      </c>
    </row>
    <row r="4104" spans="1:3" hidden="1">
      <c r="A4104" s="65">
        <v>9005771</v>
      </c>
      <c r="B4104" s="65" t="s">
        <v>4688</v>
      </c>
      <c r="C4104" s="65" t="s">
        <v>793</v>
      </c>
    </row>
    <row r="4105" spans="1:3" hidden="1">
      <c r="A4105" s="65">
        <v>9005772</v>
      </c>
      <c r="B4105" s="65" t="s">
        <v>4689</v>
      </c>
      <c r="C4105" s="65" t="s">
        <v>793</v>
      </c>
    </row>
    <row r="4106" spans="1:3" hidden="1">
      <c r="A4106" s="65">
        <v>9005773</v>
      </c>
      <c r="B4106" s="65" t="s">
        <v>4690</v>
      </c>
      <c r="C4106" s="65" t="s">
        <v>793</v>
      </c>
    </row>
    <row r="4107" spans="1:3" hidden="1">
      <c r="A4107" s="65">
        <v>9005774</v>
      </c>
      <c r="B4107" s="65" t="s">
        <v>4691</v>
      </c>
      <c r="C4107" s="65" t="s">
        <v>793</v>
      </c>
    </row>
    <row r="4108" spans="1:3" hidden="1">
      <c r="A4108" s="65">
        <v>9005775</v>
      </c>
      <c r="B4108" s="65" t="s">
        <v>4692</v>
      </c>
      <c r="C4108" s="65" t="s">
        <v>793</v>
      </c>
    </row>
    <row r="4109" spans="1:3" hidden="1">
      <c r="A4109" s="65">
        <v>9005776</v>
      </c>
      <c r="B4109" s="65" t="s">
        <v>4693</v>
      </c>
      <c r="C4109" s="65" t="s">
        <v>793</v>
      </c>
    </row>
    <row r="4110" spans="1:3" hidden="1">
      <c r="A4110" s="65">
        <v>9005777</v>
      </c>
      <c r="B4110" s="65" t="s">
        <v>4694</v>
      </c>
      <c r="C4110" s="65" t="s">
        <v>793</v>
      </c>
    </row>
    <row r="4111" spans="1:3" hidden="1">
      <c r="A4111" s="65">
        <v>9005778</v>
      </c>
      <c r="B4111" s="65" t="s">
        <v>4695</v>
      </c>
      <c r="C4111" s="65" t="s">
        <v>809</v>
      </c>
    </row>
    <row r="4112" spans="1:3" hidden="1">
      <c r="A4112" s="65">
        <v>9005779</v>
      </c>
      <c r="B4112" s="65" t="s">
        <v>4696</v>
      </c>
      <c r="C4112" s="65" t="s">
        <v>809</v>
      </c>
    </row>
    <row r="4113" spans="1:3" hidden="1">
      <c r="A4113" s="65">
        <v>9005780</v>
      </c>
      <c r="B4113" s="65" t="s">
        <v>4697</v>
      </c>
      <c r="C4113" s="65" t="s">
        <v>793</v>
      </c>
    </row>
    <row r="4114" spans="1:3" hidden="1">
      <c r="A4114" s="65">
        <v>9005781</v>
      </c>
      <c r="B4114" s="65" t="s">
        <v>4698</v>
      </c>
      <c r="C4114" s="65" t="s">
        <v>793</v>
      </c>
    </row>
    <row r="4115" spans="1:3" hidden="1">
      <c r="A4115" s="65">
        <v>9005782</v>
      </c>
      <c r="B4115" s="65" t="s">
        <v>4699</v>
      </c>
      <c r="C4115" s="65" t="s">
        <v>793</v>
      </c>
    </row>
    <row r="4116" spans="1:3" hidden="1">
      <c r="A4116" s="65">
        <v>9005783</v>
      </c>
      <c r="B4116" s="65" t="s">
        <v>4700</v>
      </c>
      <c r="C4116" s="65" t="s">
        <v>793</v>
      </c>
    </row>
    <row r="4117" spans="1:3" hidden="1">
      <c r="A4117" s="65">
        <v>9005784</v>
      </c>
      <c r="B4117" s="65" t="s">
        <v>4701</v>
      </c>
      <c r="C4117" s="65" t="s">
        <v>793</v>
      </c>
    </row>
    <row r="4118" spans="1:3" hidden="1">
      <c r="A4118" s="65">
        <v>9005785</v>
      </c>
      <c r="B4118" s="65" t="s">
        <v>4702</v>
      </c>
      <c r="C4118" s="65" t="s">
        <v>793</v>
      </c>
    </row>
    <row r="4119" spans="1:3" hidden="1">
      <c r="A4119" s="65">
        <v>9005786</v>
      </c>
      <c r="B4119" s="65" t="s">
        <v>4703</v>
      </c>
      <c r="C4119" s="65" t="s">
        <v>793</v>
      </c>
    </row>
    <row r="4120" spans="1:3" hidden="1">
      <c r="A4120" s="65">
        <v>9005787</v>
      </c>
      <c r="B4120" s="65" t="s">
        <v>4704</v>
      </c>
      <c r="C4120" s="65" t="s">
        <v>793</v>
      </c>
    </row>
    <row r="4121" spans="1:3" hidden="1">
      <c r="A4121" s="65">
        <v>9005788</v>
      </c>
      <c r="B4121" s="65" t="s">
        <v>4705</v>
      </c>
      <c r="C4121" s="65" t="s">
        <v>793</v>
      </c>
    </row>
    <row r="4122" spans="1:3" hidden="1">
      <c r="A4122" s="65">
        <v>9005789</v>
      </c>
      <c r="B4122" s="65" t="s">
        <v>4706</v>
      </c>
      <c r="C4122" s="65" t="s">
        <v>793</v>
      </c>
    </row>
    <row r="4123" spans="1:3" hidden="1">
      <c r="A4123" s="65">
        <v>9005790</v>
      </c>
      <c r="B4123" s="65" t="s">
        <v>4707</v>
      </c>
      <c r="C4123" s="65" t="s">
        <v>793</v>
      </c>
    </row>
    <row r="4124" spans="1:3" hidden="1">
      <c r="A4124" s="65">
        <v>9005791</v>
      </c>
      <c r="B4124" s="65" t="s">
        <v>4708</v>
      </c>
      <c r="C4124" s="65" t="s">
        <v>793</v>
      </c>
    </row>
    <row r="4125" spans="1:3" hidden="1">
      <c r="A4125" s="65">
        <v>9005792</v>
      </c>
      <c r="B4125" s="65" t="s">
        <v>4709</v>
      </c>
      <c r="C4125" s="65" t="s">
        <v>793</v>
      </c>
    </row>
    <row r="4126" spans="1:3" hidden="1">
      <c r="A4126" s="65">
        <v>9005793</v>
      </c>
      <c r="B4126" s="65" t="s">
        <v>4710</v>
      </c>
      <c r="C4126" s="65" t="s">
        <v>793</v>
      </c>
    </row>
    <row r="4127" spans="1:3" hidden="1">
      <c r="A4127" s="65">
        <v>9005794</v>
      </c>
      <c r="B4127" s="65" t="s">
        <v>4711</v>
      </c>
      <c r="C4127" s="65" t="s">
        <v>793</v>
      </c>
    </row>
    <row r="4128" spans="1:3" hidden="1">
      <c r="A4128" s="65">
        <v>9005795</v>
      </c>
      <c r="B4128" s="65" t="s">
        <v>4712</v>
      </c>
      <c r="C4128" s="65" t="s">
        <v>809</v>
      </c>
    </row>
    <row r="4129" spans="1:3" hidden="1">
      <c r="A4129" s="65">
        <v>9005796</v>
      </c>
      <c r="B4129" s="65" t="s">
        <v>4713</v>
      </c>
      <c r="C4129" s="65" t="s">
        <v>809</v>
      </c>
    </row>
    <row r="4130" spans="1:3" hidden="1">
      <c r="A4130" s="65">
        <v>9005797</v>
      </c>
      <c r="B4130" s="65" t="s">
        <v>4714</v>
      </c>
      <c r="C4130" s="65" t="s">
        <v>809</v>
      </c>
    </row>
    <row r="4131" spans="1:3" hidden="1">
      <c r="A4131" s="65">
        <v>9005798</v>
      </c>
      <c r="B4131" s="65" t="s">
        <v>4715</v>
      </c>
      <c r="C4131" s="65" t="s">
        <v>809</v>
      </c>
    </row>
    <row r="4132" spans="1:3" hidden="1">
      <c r="A4132" s="65">
        <v>9005799</v>
      </c>
      <c r="B4132" s="65" t="s">
        <v>4716</v>
      </c>
      <c r="C4132" s="65" t="s">
        <v>809</v>
      </c>
    </row>
    <row r="4133" spans="1:3" hidden="1">
      <c r="A4133" s="65">
        <v>9005800</v>
      </c>
      <c r="B4133" s="65" t="s">
        <v>4717</v>
      </c>
      <c r="C4133" s="65" t="s">
        <v>793</v>
      </c>
    </row>
    <row r="4134" spans="1:3" hidden="1">
      <c r="A4134" s="65">
        <v>9005801</v>
      </c>
      <c r="B4134" s="65" t="s">
        <v>4718</v>
      </c>
      <c r="C4134" s="65" t="s">
        <v>809</v>
      </c>
    </row>
    <row r="4135" spans="1:3" hidden="1">
      <c r="A4135" s="65">
        <v>9005802</v>
      </c>
      <c r="B4135" s="65" t="s">
        <v>4719</v>
      </c>
      <c r="C4135" s="65" t="s">
        <v>793</v>
      </c>
    </row>
    <row r="4136" spans="1:3" hidden="1">
      <c r="A4136" s="65">
        <v>9005803</v>
      </c>
      <c r="B4136" s="65" t="s">
        <v>4720</v>
      </c>
      <c r="C4136" s="65" t="s">
        <v>809</v>
      </c>
    </row>
    <row r="4137" spans="1:3" hidden="1">
      <c r="A4137" s="65">
        <v>9005804</v>
      </c>
      <c r="B4137" s="65" t="s">
        <v>4721</v>
      </c>
      <c r="C4137" s="65" t="s">
        <v>809</v>
      </c>
    </row>
    <row r="4138" spans="1:3" hidden="1">
      <c r="A4138" s="65">
        <v>9005805</v>
      </c>
      <c r="B4138" s="65" t="s">
        <v>4722</v>
      </c>
      <c r="C4138" s="65" t="s">
        <v>793</v>
      </c>
    </row>
    <row r="4139" spans="1:3" hidden="1">
      <c r="A4139" s="65">
        <v>9005806</v>
      </c>
      <c r="B4139" s="65" t="s">
        <v>4723</v>
      </c>
      <c r="C4139" s="65" t="s">
        <v>793</v>
      </c>
    </row>
    <row r="4140" spans="1:3" hidden="1">
      <c r="A4140" s="65">
        <v>9005807</v>
      </c>
      <c r="B4140" s="65" t="s">
        <v>4724</v>
      </c>
      <c r="C4140" s="65" t="s">
        <v>809</v>
      </c>
    </row>
    <row r="4141" spans="1:3" hidden="1">
      <c r="A4141" s="65">
        <v>9005808</v>
      </c>
      <c r="B4141" s="65" t="s">
        <v>4725</v>
      </c>
      <c r="C4141" s="65" t="s">
        <v>793</v>
      </c>
    </row>
    <row r="4142" spans="1:3" hidden="1">
      <c r="A4142" s="65">
        <v>9005809</v>
      </c>
      <c r="B4142" s="65" t="s">
        <v>4726</v>
      </c>
      <c r="C4142" s="65" t="s">
        <v>793</v>
      </c>
    </row>
    <row r="4143" spans="1:3" hidden="1">
      <c r="A4143" s="65">
        <v>9005810</v>
      </c>
      <c r="B4143" s="65" t="s">
        <v>4727</v>
      </c>
      <c r="C4143" s="65" t="s">
        <v>793</v>
      </c>
    </row>
    <row r="4144" spans="1:3" hidden="1">
      <c r="A4144" s="65">
        <v>9005811</v>
      </c>
      <c r="B4144" s="65" t="s">
        <v>4728</v>
      </c>
      <c r="C4144" s="65" t="s">
        <v>793</v>
      </c>
    </row>
    <row r="4145" spans="1:3" hidden="1">
      <c r="A4145" s="65">
        <v>9005812</v>
      </c>
      <c r="B4145" s="65" t="s">
        <v>4729</v>
      </c>
      <c r="C4145" s="65" t="s">
        <v>793</v>
      </c>
    </row>
    <row r="4146" spans="1:3" hidden="1">
      <c r="A4146" s="65">
        <v>9005813</v>
      </c>
      <c r="B4146" s="65" t="s">
        <v>4730</v>
      </c>
      <c r="C4146" s="65" t="s">
        <v>809</v>
      </c>
    </row>
    <row r="4147" spans="1:3" hidden="1">
      <c r="A4147" s="65">
        <v>9005814</v>
      </c>
      <c r="B4147" s="65" t="s">
        <v>4731</v>
      </c>
      <c r="C4147" s="65" t="s">
        <v>1181</v>
      </c>
    </row>
    <row r="4148" spans="1:3" hidden="1">
      <c r="A4148" s="65">
        <v>9005815</v>
      </c>
      <c r="B4148" s="65" t="s">
        <v>4732</v>
      </c>
      <c r="C4148" s="65" t="s">
        <v>1181</v>
      </c>
    </row>
    <row r="4149" spans="1:3" hidden="1">
      <c r="A4149" s="65">
        <v>9005816</v>
      </c>
      <c r="B4149" s="65" t="s">
        <v>4733</v>
      </c>
      <c r="C4149" s="65" t="s">
        <v>1181</v>
      </c>
    </row>
    <row r="4150" spans="1:3" hidden="1">
      <c r="A4150" s="65">
        <v>9005817</v>
      </c>
      <c r="B4150" s="65" t="s">
        <v>4734</v>
      </c>
      <c r="C4150" s="65" t="s">
        <v>1181</v>
      </c>
    </row>
    <row r="4151" spans="1:3" hidden="1">
      <c r="A4151" s="65">
        <v>9005818</v>
      </c>
      <c r="B4151" s="65" t="s">
        <v>4735</v>
      </c>
      <c r="C4151" s="65" t="s">
        <v>1181</v>
      </c>
    </row>
    <row r="4152" spans="1:3" hidden="1">
      <c r="A4152" s="65">
        <v>9005819</v>
      </c>
      <c r="B4152" s="65" t="s">
        <v>4736</v>
      </c>
      <c r="C4152" s="65" t="s">
        <v>1181</v>
      </c>
    </row>
    <row r="4153" spans="1:3" hidden="1">
      <c r="A4153" s="65">
        <v>9005820</v>
      </c>
      <c r="B4153" s="65" t="s">
        <v>4737</v>
      </c>
      <c r="C4153" s="65" t="s">
        <v>1181</v>
      </c>
    </row>
    <row r="4154" spans="1:3" hidden="1">
      <c r="A4154" s="65">
        <v>9005821</v>
      </c>
      <c r="B4154" s="65" t="s">
        <v>4738</v>
      </c>
      <c r="C4154" s="65" t="s">
        <v>1181</v>
      </c>
    </row>
    <row r="4155" spans="1:3" hidden="1">
      <c r="A4155" s="65">
        <v>9005822</v>
      </c>
      <c r="B4155" s="65" t="s">
        <v>4739</v>
      </c>
      <c r="C4155" s="65" t="s">
        <v>1181</v>
      </c>
    </row>
    <row r="4156" spans="1:3" hidden="1">
      <c r="A4156" s="65">
        <v>9005823</v>
      </c>
      <c r="B4156" s="65" t="s">
        <v>4740</v>
      </c>
      <c r="C4156" s="65" t="s">
        <v>1181</v>
      </c>
    </row>
    <row r="4157" spans="1:3" hidden="1">
      <c r="A4157" s="65">
        <v>9005824</v>
      </c>
      <c r="B4157" s="65" t="s">
        <v>4741</v>
      </c>
      <c r="C4157" s="65" t="s">
        <v>1181</v>
      </c>
    </row>
    <row r="4158" spans="1:3" hidden="1">
      <c r="A4158" s="65">
        <v>9005825</v>
      </c>
      <c r="B4158" s="65" t="s">
        <v>4742</v>
      </c>
      <c r="C4158" s="65" t="s">
        <v>1181</v>
      </c>
    </row>
    <row r="4159" spans="1:3" hidden="1">
      <c r="A4159" s="65">
        <v>9005826</v>
      </c>
      <c r="B4159" s="65" t="s">
        <v>4743</v>
      </c>
      <c r="C4159" s="65" t="s">
        <v>1181</v>
      </c>
    </row>
    <row r="4160" spans="1:3" hidden="1">
      <c r="A4160" s="65">
        <v>9005827</v>
      </c>
      <c r="B4160" s="65" t="s">
        <v>4744</v>
      </c>
      <c r="C4160" s="65" t="s">
        <v>793</v>
      </c>
    </row>
    <row r="4161" spans="1:3" hidden="1">
      <c r="A4161" s="65">
        <v>9005828</v>
      </c>
      <c r="B4161" s="65" t="s">
        <v>4745</v>
      </c>
      <c r="C4161" s="65" t="s">
        <v>793</v>
      </c>
    </row>
    <row r="4162" spans="1:3" hidden="1">
      <c r="A4162" s="65">
        <v>9005829</v>
      </c>
      <c r="B4162" s="65" t="s">
        <v>4746</v>
      </c>
      <c r="C4162" s="65" t="s">
        <v>793</v>
      </c>
    </row>
    <row r="4163" spans="1:3" hidden="1">
      <c r="A4163" s="65">
        <v>9005830</v>
      </c>
      <c r="B4163" s="65" t="s">
        <v>4747</v>
      </c>
      <c r="C4163" s="65" t="s">
        <v>793</v>
      </c>
    </row>
    <row r="4164" spans="1:3" hidden="1">
      <c r="A4164" s="65">
        <v>9005831</v>
      </c>
      <c r="B4164" s="65" t="s">
        <v>4748</v>
      </c>
      <c r="C4164" s="65" t="s">
        <v>793</v>
      </c>
    </row>
    <row r="4165" spans="1:3" hidden="1">
      <c r="A4165" s="65">
        <v>9005832</v>
      </c>
      <c r="B4165" s="65" t="s">
        <v>4749</v>
      </c>
      <c r="C4165" s="65" t="s">
        <v>793</v>
      </c>
    </row>
    <row r="4166" spans="1:3" hidden="1">
      <c r="A4166" s="65">
        <v>9005833</v>
      </c>
      <c r="B4166" s="65" t="s">
        <v>4750</v>
      </c>
      <c r="C4166" s="65" t="s">
        <v>1101</v>
      </c>
    </row>
    <row r="4167" spans="1:3" hidden="1">
      <c r="A4167" s="65">
        <v>9005834</v>
      </c>
      <c r="B4167" s="65" t="s">
        <v>4751</v>
      </c>
      <c r="C4167" s="65" t="s">
        <v>695</v>
      </c>
    </row>
    <row r="4168" spans="1:3" hidden="1">
      <c r="A4168" s="65">
        <v>9005835</v>
      </c>
      <c r="B4168" s="65" t="s">
        <v>4752</v>
      </c>
      <c r="C4168" s="65" t="s">
        <v>738</v>
      </c>
    </row>
    <row r="4169" spans="1:3" hidden="1">
      <c r="A4169" s="65">
        <v>9005836</v>
      </c>
      <c r="B4169" s="65" t="s">
        <v>4753</v>
      </c>
      <c r="C4169" s="65" t="s">
        <v>900</v>
      </c>
    </row>
    <row r="4170" spans="1:3" hidden="1">
      <c r="A4170" s="65">
        <v>9005837</v>
      </c>
      <c r="B4170" s="65" t="s">
        <v>4754</v>
      </c>
      <c r="C4170" s="65" t="s">
        <v>793</v>
      </c>
    </row>
    <row r="4171" spans="1:3" hidden="1">
      <c r="A4171" s="65">
        <v>9005838</v>
      </c>
      <c r="B4171" s="65" t="s">
        <v>4755</v>
      </c>
      <c r="C4171" s="65" t="s">
        <v>793</v>
      </c>
    </row>
    <row r="4172" spans="1:3" hidden="1">
      <c r="A4172" s="65">
        <v>9005839</v>
      </c>
      <c r="B4172" s="65" t="s">
        <v>4756</v>
      </c>
      <c r="C4172" s="65" t="s">
        <v>809</v>
      </c>
    </row>
    <row r="4173" spans="1:3" hidden="1">
      <c r="A4173" s="65">
        <v>9005840</v>
      </c>
      <c r="B4173" s="65" t="s">
        <v>4757</v>
      </c>
      <c r="C4173" s="65" t="s">
        <v>793</v>
      </c>
    </row>
    <row r="4174" spans="1:3" hidden="1">
      <c r="A4174" s="65">
        <v>9005841</v>
      </c>
      <c r="B4174" s="65" t="s">
        <v>4758</v>
      </c>
      <c r="C4174" s="65" t="s">
        <v>793</v>
      </c>
    </row>
    <row r="4175" spans="1:3" hidden="1">
      <c r="A4175" s="65">
        <v>9005842</v>
      </c>
      <c r="B4175" s="65" t="s">
        <v>4759</v>
      </c>
      <c r="C4175" s="65" t="s">
        <v>793</v>
      </c>
    </row>
    <row r="4176" spans="1:3" hidden="1">
      <c r="A4176" s="65">
        <v>9005843</v>
      </c>
      <c r="B4176" s="65" t="s">
        <v>4760</v>
      </c>
      <c r="C4176" s="65" t="s">
        <v>809</v>
      </c>
    </row>
    <row r="4177" spans="1:3" hidden="1">
      <c r="A4177" s="65">
        <v>9005844</v>
      </c>
      <c r="B4177" s="65" t="s">
        <v>4761</v>
      </c>
      <c r="C4177" s="65" t="s">
        <v>793</v>
      </c>
    </row>
    <row r="4178" spans="1:3" hidden="1">
      <c r="A4178" s="65">
        <v>9005845</v>
      </c>
      <c r="B4178" s="65" t="s">
        <v>4762</v>
      </c>
      <c r="C4178" s="65" t="s">
        <v>793</v>
      </c>
    </row>
    <row r="4179" spans="1:3" hidden="1">
      <c r="A4179" s="65">
        <v>9005846</v>
      </c>
      <c r="B4179" s="65" t="s">
        <v>4763</v>
      </c>
      <c r="C4179" s="65" t="s">
        <v>793</v>
      </c>
    </row>
    <row r="4180" spans="1:3" hidden="1">
      <c r="A4180" s="65">
        <v>9005847</v>
      </c>
      <c r="B4180" s="65" t="s">
        <v>4764</v>
      </c>
      <c r="C4180" s="65" t="s">
        <v>793</v>
      </c>
    </row>
    <row r="4181" spans="1:3" hidden="1">
      <c r="A4181" s="65">
        <v>9005848</v>
      </c>
      <c r="B4181" s="65" t="s">
        <v>4765</v>
      </c>
      <c r="C4181" s="65" t="s">
        <v>809</v>
      </c>
    </row>
    <row r="4182" spans="1:3" hidden="1">
      <c r="A4182" s="65">
        <v>9005849</v>
      </c>
      <c r="B4182" s="65" t="s">
        <v>4766</v>
      </c>
      <c r="C4182" s="65" t="s">
        <v>809</v>
      </c>
    </row>
    <row r="4183" spans="1:3" hidden="1">
      <c r="A4183" s="65">
        <v>9005850</v>
      </c>
      <c r="B4183" s="65" t="s">
        <v>4767</v>
      </c>
      <c r="C4183" s="65" t="s">
        <v>809</v>
      </c>
    </row>
    <row r="4184" spans="1:3" hidden="1">
      <c r="A4184" s="65">
        <v>9005851</v>
      </c>
      <c r="B4184" s="65" t="s">
        <v>4768</v>
      </c>
      <c r="C4184" s="65" t="s">
        <v>809</v>
      </c>
    </row>
    <row r="4185" spans="1:3" hidden="1">
      <c r="A4185" s="65">
        <v>9005852</v>
      </c>
      <c r="B4185" s="65" t="s">
        <v>4769</v>
      </c>
      <c r="C4185" s="65" t="s">
        <v>793</v>
      </c>
    </row>
    <row r="4186" spans="1:3" hidden="1">
      <c r="A4186" s="65">
        <v>9005853</v>
      </c>
      <c r="B4186" s="65" t="s">
        <v>4770</v>
      </c>
      <c r="C4186" s="65" t="s">
        <v>793</v>
      </c>
    </row>
    <row r="4187" spans="1:3" hidden="1">
      <c r="A4187" s="65">
        <v>9005854</v>
      </c>
      <c r="B4187" s="65" t="s">
        <v>4771</v>
      </c>
      <c r="C4187" s="65" t="s">
        <v>793</v>
      </c>
    </row>
    <row r="4188" spans="1:3" hidden="1">
      <c r="A4188" s="65">
        <v>9005855</v>
      </c>
      <c r="B4188" s="65" t="s">
        <v>4772</v>
      </c>
      <c r="C4188" s="65" t="s">
        <v>793</v>
      </c>
    </row>
    <row r="4189" spans="1:3" hidden="1">
      <c r="A4189" s="65">
        <v>9005856</v>
      </c>
      <c r="B4189" s="65" t="s">
        <v>4773</v>
      </c>
      <c r="C4189" s="65" t="s">
        <v>793</v>
      </c>
    </row>
    <row r="4190" spans="1:3" hidden="1">
      <c r="A4190" s="65">
        <v>9005857</v>
      </c>
      <c r="B4190" s="65" t="s">
        <v>4774</v>
      </c>
      <c r="C4190" s="65" t="s">
        <v>793</v>
      </c>
    </row>
    <row r="4191" spans="1:3" hidden="1">
      <c r="A4191" s="65">
        <v>9005858</v>
      </c>
      <c r="B4191" s="65" t="s">
        <v>4775</v>
      </c>
      <c r="C4191" s="65" t="s">
        <v>793</v>
      </c>
    </row>
    <row r="4192" spans="1:3" hidden="1">
      <c r="A4192" s="65">
        <v>9005859</v>
      </c>
      <c r="B4192" s="65" t="s">
        <v>4776</v>
      </c>
      <c r="C4192" s="65" t="s">
        <v>793</v>
      </c>
    </row>
    <row r="4193" spans="1:3" hidden="1">
      <c r="A4193" s="65">
        <v>9005860</v>
      </c>
      <c r="B4193" s="65" t="s">
        <v>4777</v>
      </c>
      <c r="C4193" s="65" t="s">
        <v>793</v>
      </c>
    </row>
    <row r="4194" spans="1:3" hidden="1">
      <c r="A4194" s="65">
        <v>9005861</v>
      </c>
      <c r="B4194" s="65" t="s">
        <v>4778</v>
      </c>
      <c r="C4194" s="65" t="s">
        <v>664</v>
      </c>
    </row>
    <row r="4195" spans="1:3" hidden="1">
      <c r="A4195" s="65">
        <v>9005862</v>
      </c>
      <c r="B4195" s="65" t="s">
        <v>4779</v>
      </c>
      <c r="C4195" s="65" t="s">
        <v>793</v>
      </c>
    </row>
    <row r="4196" spans="1:3" hidden="1">
      <c r="A4196" s="65">
        <v>9005863</v>
      </c>
      <c r="B4196" s="65" t="s">
        <v>4780</v>
      </c>
      <c r="C4196" s="65" t="s">
        <v>809</v>
      </c>
    </row>
    <row r="4197" spans="1:3" hidden="1">
      <c r="A4197" s="65">
        <v>9005864</v>
      </c>
      <c r="B4197" s="65" t="s">
        <v>4781</v>
      </c>
      <c r="C4197" s="65" t="s">
        <v>809</v>
      </c>
    </row>
    <row r="4198" spans="1:3" hidden="1">
      <c r="A4198" s="65">
        <v>9005865</v>
      </c>
      <c r="B4198" s="65" t="s">
        <v>4782</v>
      </c>
      <c r="C4198" s="65" t="s">
        <v>809</v>
      </c>
    </row>
    <row r="4199" spans="1:3" hidden="1">
      <c r="A4199" s="65">
        <v>9005866</v>
      </c>
      <c r="B4199" s="65" t="s">
        <v>4783</v>
      </c>
      <c r="C4199" s="65" t="s">
        <v>1926</v>
      </c>
    </row>
    <row r="4200" spans="1:3" hidden="1">
      <c r="A4200" s="65">
        <v>9005867</v>
      </c>
      <c r="B4200" s="65" t="s">
        <v>4784</v>
      </c>
      <c r="C4200" s="65" t="s">
        <v>1926</v>
      </c>
    </row>
    <row r="4201" spans="1:3" hidden="1">
      <c r="A4201" s="65">
        <v>9005868</v>
      </c>
      <c r="B4201" s="65" t="s">
        <v>4785</v>
      </c>
      <c r="C4201" s="65" t="s">
        <v>793</v>
      </c>
    </row>
    <row r="4202" spans="1:3" hidden="1">
      <c r="A4202" s="65">
        <v>9005869</v>
      </c>
      <c r="B4202" s="65" t="s">
        <v>4786</v>
      </c>
      <c r="C4202" s="65" t="s">
        <v>793</v>
      </c>
    </row>
    <row r="4203" spans="1:3" hidden="1">
      <c r="A4203" s="65">
        <v>9005870</v>
      </c>
      <c r="B4203" s="65" t="s">
        <v>4787</v>
      </c>
      <c r="C4203" s="65" t="s">
        <v>809</v>
      </c>
    </row>
    <row r="4204" spans="1:3" hidden="1">
      <c r="A4204" s="65">
        <v>9005871</v>
      </c>
      <c r="B4204" s="65" t="s">
        <v>4788</v>
      </c>
      <c r="C4204" s="65" t="s">
        <v>809</v>
      </c>
    </row>
    <row r="4205" spans="1:3" hidden="1">
      <c r="A4205" s="65">
        <v>9005872</v>
      </c>
      <c r="B4205" s="65" t="s">
        <v>4789</v>
      </c>
      <c r="C4205" s="65" t="s">
        <v>809</v>
      </c>
    </row>
    <row r="4206" spans="1:3" hidden="1">
      <c r="A4206" s="65">
        <v>9005873</v>
      </c>
      <c r="B4206" s="65" t="s">
        <v>4790</v>
      </c>
      <c r="C4206" s="65" t="s">
        <v>809</v>
      </c>
    </row>
    <row r="4207" spans="1:3" hidden="1">
      <c r="A4207" s="65">
        <v>9005874</v>
      </c>
      <c r="B4207" s="65" t="s">
        <v>4791</v>
      </c>
      <c r="C4207" s="65" t="s">
        <v>793</v>
      </c>
    </row>
    <row r="4208" spans="1:3" hidden="1">
      <c r="A4208" s="65">
        <v>9005875</v>
      </c>
      <c r="B4208" s="65" t="s">
        <v>4792</v>
      </c>
      <c r="C4208" s="65" t="s">
        <v>809</v>
      </c>
    </row>
    <row r="4209" spans="1:3" hidden="1">
      <c r="A4209" s="65">
        <v>9005876</v>
      </c>
      <c r="B4209" s="65" t="s">
        <v>4793</v>
      </c>
      <c r="C4209" s="65" t="s">
        <v>809</v>
      </c>
    </row>
    <row r="4210" spans="1:3" hidden="1">
      <c r="A4210" s="65">
        <v>9005877</v>
      </c>
      <c r="B4210" s="65" t="s">
        <v>4794</v>
      </c>
      <c r="C4210" s="65" t="s">
        <v>809</v>
      </c>
    </row>
    <row r="4211" spans="1:3" hidden="1">
      <c r="A4211" s="65">
        <v>9005878</v>
      </c>
      <c r="B4211" s="65" t="s">
        <v>4795</v>
      </c>
      <c r="C4211" s="65" t="s">
        <v>809</v>
      </c>
    </row>
    <row r="4212" spans="1:3" hidden="1">
      <c r="A4212" s="65">
        <v>9005879</v>
      </c>
      <c r="B4212" s="65" t="s">
        <v>4796</v>
      </c>
      <c r="C4212" s="65" t="s">
        <v>793</v>
      </c>
    </row>
    <row r="4213" spans="1:3" hidden="1">
      <c r="A4213" s="65">
        <v>9005880</v>
      </c>
      <c r="B4213" s="65" t="s">
        <v>4797</v>
      </c>
      <c r="C4213" s="65" t="s">
        <v>809</v>
      </c>
    </row>
    <row r="4214" spans="1:3" hidden="1">
      <c r="A4214" s="65">
        <v>9005881</v>
      </c>
      <c r="B4214" s="65" t="s">
        <v>4798</v>
      </c>
      <c r="C4214" s="65" t="s">
        <v>809</v>
      </c>
    </row>
    <row r="4215" spans="1:3" hidden="1">
      <c r="A4215" s="65">
        <v>9005882</v>
      </c>
      <c r="B4215" s="65" t="s">
        <v>4799</v>
      </c>
      <c r="C4215" s="65" t="s">
        <v>809</v>
      </c>
    </row>
    <row r="4216" spans="1:3" hidden="1">
      <c r="A4216" s="65">
        <v>9005883</v>
      </c>
      <c r="B4216" s="65" t="s">
        <v>4800</v>
      </c>
      <c r="C4216" s="65" t="s">
        <v>809</v>
      </c>
    </row>
    <row r="4217" spans="1:3" hidden="1">
      <c r="A4217" s="65">
        <v>9005884</v>
      </c>
      <c r="B4217" s="65" t="s">
        <v>4801</v>
      </c>
      <c r="C4217" s="65" t="s">
        <v>793</v>
      </c>
    </row>
    <row r="4218" spans="1:3" hidden="1">
      <c r="A4218" s="65">
        <v>9005885</v>
      </c>
      <c r="B4218" s="65" t="s">
        <v>4802</v>
      </c>
      <c r="C4218" s="65" t="s">
        <v>809</v>
      </c>
    </row>
    <row r="4219" spans="1:3" hidden="1">
      <c r="A4219" s="65">
        <v>9005886</v>
      </c>
      <c r="B4219" s="65" t="s">
        <v>4803</v>
      </c>
      <c r="C4219" s="65" t="s">
        <v>809</v>
      </c>
    </row>
    <row r="4220" spans="1:3" hidden="1">
      <c r="A4220" s="65">
        <v>9005887</v>
      </c>
      <c r="B4220" s="65" t="s">
        <v>4804</v>
      </c>
      <c r="C4220" s="65" t="s">
        <v>793</v>
      </c>
    </row>
    <row r="4221" spans="1:3" hidden="1">
      <c r="A4221" s="65">
        <v>9005888</v>
      </c>
      <c r="B4221" s="65" t="s">
        <v>4805</v>
      </c>
      <c r="C4221" s="65" t="s">
        <v>793</v>
      </c>
    </row>
    <row r="4222" spans="1:3" hidden="1">
      <c r="A4222" s="65">
        <v>9005889</v>
      </c>
      <c r="B4222" s="65" t="s">
        <v>4806</v>
      </c>
      <c r="C4222" s="65" t="s">
        <v>793</v>
      </c>
    </row>
    <row r="4223" spans="1:3" hidden="1">
      <c r="A4223" s="65">
        <v>9005890</v>
      </c>
      <c r="B4223" s="65" t="s">
        <v>4807</v>
      </c>
      <c r="C4223" s="65" t="s">
        <v>793</v>
      </c>
    </row>
    <row r="4224" spans="1:3" hidden="1">
      <c r="A4224" s="65">
        <v>9005891</v>
      </c>
      <c r="B4224" s="65" t="s">
        <v>4808</v>
      </c>
      <c r="C4224" s="65" t="s">
        <v>793</v>
      </c>
    </row>
    <row r="4225" spans="1:3" hidden="1">
      <c r="A4225" s="65">
        <v>9005892</v>
      </c>
      <c r="B4225" s="65" t="s">
        <v>4809</v>
      </c>
      <c r="C4225" s="65" t="s">
        <v>793</v>
      </c>
    </row>
    <row r="4226" spans="1:3" hidden="1">
      <c r="A4226" s="65">
        <v>9005893</v>
      </c>
      <c r="B4226" s="65" t="s">
        <v>4810</v>
      </c>
      <c r="C4226" s="65" t="s">
        <v>793</v>
      </c>
    </row>
    <row r="4227" spans="1:3" hidden="1">
      <c r="A4227" s="65">
        <v>9005894</v>
      </c>
      <c r="B4227" s="65" t="s">
        <v>4811</v>
      </c>
      <c r="C4227" s="65" t="s">
        <v>793</v>
      </c>
    </row>
    <row r="4228" spans="1:3" hidden="1">
      <c r="A4228" s="65">
        <v>9005895</v>
      </c>
      <c r="B4228" s="65" t="s">
        <v>4812</v>
      </c>
      <c r="C4228" s="65" t="s">
        <v>793</v>
      </c>
    </row>
    <row r="4229" spans="1:3" hidden="1">
      <c r="A4229" s="65">
        <v>9005896</v>
      </c>
      <c r="B4229" s="65" t="s">
        <v>4813</v>
      </c>
      <c r="C4229" s="65" t="s">
        <v>793</v>
      </c>
    </row>
    <row r="4230" spans="1:3" hidden="1">
      <c r="A4230" s="65">
        <v>9005897</v>
      </c>
      <c r="B4230" s="65" t="s">
        <v>4814</v>
      </c>
      <c r="C4230" s="65" t="s">
        <v>793</v>
      </c>
    </row>
    <row r="4231" spans="1:3" hidden="1">
      <c r="A4231" s="65">
        <v>9005898</v>
      </c>
      <c r="B4231" s="65" t="s">
        <v>4815</v>
      </c>
      <c r="C4231" s="65" t="s">
        <v>793</v>
      </c>
    </row>
    <row r="4232" spans="1:3" hidden="1">
      <c r="A4232" s="65">
        <v>9005899</v>
      </c>
      <c r="B4232" s="65" t="s">
        <v>4816</v>
      </c>
      <c r="C4232" s="65" t="s">
        <v>793</v>
      </c>
    </row>
    <row r="4233" spans="1:3" hidden="1">
      <c r="A4233" s="65">
        <v>9005900</v>
      </c>
      <c r="B4233" s="65" t="s">
        <v>4817</v>
      </c>
      <c r="C4233" s="65" t="s">
        <v>809</v>
      </c>
    </row>
    <row r="4234" spans="1:3" hidden="1">
      <c r="A4234" s="65">
        <v>9005901</v>
      </c>
      <c r="B4234" s="65" t="s">
        <v>4818</v>
      </c>
      <c r="C4234" s="65" t="s">
        <v>827</v>
      </c>
    </row>
    <row r="4235" spans="1:3" hidden="1">
      <c r="A4235" s="65">
        <v>9005902</v>
      </c>
      <c r="B4235" s="65" t="s">
        <v>4819</v>
      </c>
      <c r="C4235" s="65" t="s">
        <v>809</v>
      </c>
    </row>
    <row r="4236" spans="1:3" hidden="1">
      <c r="A4236" s="65">
        <v>9005903</v>
      </c>
      <c r="B4236" s="65" t="s">
        <v>4820</v>
      </c>
      <c r="C4236" s="65" t="s">
        <v>1181</v>
      </c>
    </row>
    <row r="4237" spans="1:3" hidden="1">
      <c r="A4237" s="65">
        <v>9005904</v>
      </c>
      <c r="B4237" s="65" t="s">
        <v>4821</v>
      </c>
      <c r="C4237" s="65" t="s">
        <v>1181</v>
      </c>
    </row>
    <row r="4238" spans="1:3" hidden="1">
      <c r="A4238" s="65">
        <v>9005905</v>
      </c>
      <c r="B4238" s="65" t="s">
        <v>4822</v>
      </c>
      <c r="C4238" s="65" t="s">
        <v>1181</v>
      </c>
    </row>
    <row r="4239" spans="1:3" hidden="1">
      <c r="A4239" s="65">
        <v>9005906</v>
      </c>
      <c r="B4239" s="65" t="s">
        <v>4823</v>
      </c>
      <c r="C4239" s="65" t="s">
        <v>1181</v>
      </c>
    </row>
    <row r="4240" spans="1:3" hidden="1">
      <c r="A4240" s="65">
        <v>9005907</v>
      </c>
      <c r="B4240" s="65" t="s">
        <v>4824</v>
      </c>
      <c r="C4240" s="65" t="s">
        <v>1181</v>
      </c>
    </row>
    <row r="4241" spans="1:3" hidden="1">
      <c r="A4241" s="65">
        <v>9005908</v>
      </c>
      <c r="B4241" s="65" t="s">
        <v>4825</v>
      </c>
      <c r="C4241" s="65" t="s">
        <v>1181</v>
      </c>
    </row>
    <row r="4242" spans="1:3" hidden="1">
      <c r="A4242" s="65">
        <v>9005909</v>
      </c>
      <c r="B4242" s="65" t="s">
        <v>4826</v>
      </c>
      <c r="C4242" s="65" t="s">
        <v>1181</v>
      </c>
    </row>
    <row r="4243" spans="1:3" hidden="1">
      <c r="A4243" s="65">
        <v>9005910</v>
      </c>
      <c r="B4243" s="65" t="s">
        <v>4827</v>
      </c>
      <c r="C4243" s="65" t="s">
        <v>1181</v>
      </c>
    </row>
    <row r="4244" spans="1:3" hidden="1">
      <c r="A4244" s="65">
        <v>9005911</v>
      </c>
      <c r="B4244" s="65" t="s">
        <v>4828</v>
      </c>
      <c r="C4244" s="65" t="s">
        <v>1181</v>
      </c>
    </row>
    <row r="4245" spans="1:3" hidden="1">
      <c r="A4245" s="65">
        <v>9005912</v>
      </c>
      <c r="B4245" s="65" t="s">
        <v>4829</v>
      </c>
      <c r="C4245" s="65" t="s">
        <v>1181</v>
      </c>
    </row>
    <row r="4246" spans="1:3" hidden="1">
      <c r="A4246" s="65">
        <v>9005913</v>
      </c>
      <c r="B4246" s="65" t="s">
        <v>4830</v>
      </c>
      <c r="C4246" s="65" t="s">
        <v>1181</v>
      </c>
    </row>
    <row r="4247" spans="1:3" hidden="1">
      <c r="A4247" s="65">
        <v>9005914</v>
      </c>
      <c r="B4247" s="65" t="s">
        <v>4831</v>
      </c>
      <c r="C4247" s="65" t="s">
        <v>1181</v>
      </c>
    </row>
    <row r="4248" spans="1:3" hidden="1">
      <c r="A4248" s="65">
        <v>9005915</v>
      </c>
      <c r="B4248" s="65" t="s">
        <v>4832</v>
      </c>
      <c r="C4248" s="65" t="s">
        <v>1181</v>
      </c>
    </row>
    <row r="4249" spans="1:3" hidden="1">
      <c r="A4249" s="65">
        <v>9005916</v>
      </c>
      <c r="B4249" s="65" t="s">
        <v>4833</v>
      </c>
      <c r="C4249" s="65" t="s">
        <v>1181</v>
      </c>
    </row>
    <row r="4250" spans="1:3" hidden="1">
      <c r="A4250" s="65">
        <v>9005917</v>
      </c>
      <c r="B4250" s="65" t="s">
        <v>4834</v>
      </c>
      <c r="C4250" s="65" t="s">
        <v>1181</v>
      </c>
    </row>
    <row r="4251" spans="1:3" hidden="1">
      <c r="A4251" s="65">
        <v>9005918</v>
      </c>
      <c r="B4251" s="65" t="s">
        <v>4835</v>
      </c>
      <c r="C4251" s="65" t="s">
        <v>1181</v>
      </c>
    </row>
    <row r="4252" spans="1:3" hidden="1">
      <c r="A4252" s="65">
        <v>9005919</v>
      </c>
      <c r="B4252" s="65" t="s">
        <v>4836</v>
      </c>
      <c r="C4252" s="65" t="s">
        <v>1181</v>
      </c>
    </row>
    <row r="4253" spans="1:3" hidden="1">
      <c r="A4253" s="65">
        <v>9005920</v>
      </c>
      <c r="B4253" s="65" t="s">
        <v>4837</v>
      </c>
      <c r="C4253" s="65" t="s">
        <v>1181</v>
      </c>
    </row>
    <row r="4254" spans="1:3" hidden="1">
      <c r="A4254" s="65">
        <v>9005921</v>
      </c>
      <c r="B4254" s="65" t="s">
        <v>4838</v>
      </c>
      <c r="C4254" s="65" t="s">
        <v>1181</v>
      </c>
    </row>
    <row r="4255" spans="1:3" hidden="1">
      <c r="A4255" s="65">
        <v>9005922</v>
      </c>
      <c r="B4255" s="65" t="s">
        <v>4839</v>
      </c>
      <c r="C4255" s="65" t="s">
        <v>1181</v>
      </c>
    </row>
    <row r="4256" spans="1:3" hidden="1">
      <c r="A4256" s="65">
        <v>9005923</v>
      </c>
      <c r="B4256" s="65" t="s">
        <v>4840</v>
      </c>
      <c r="C4256" s="65" t="s">
        <v>1181</v>
      </c>
    </row>
    <row r="4257" spans="1:3" hidden="1">
      <c r="A4257" s="65">
        <v>9005924</v>
      </c>
      <c r="B4257" s="65" t="s">
        <v>4841</v>
      </c>
      <c r="C4257" s="65" t="s">
        <v>1181</v>
      </c>
    </row>
    <row r="4258" spans="1:3" hidden="1">
      <c r="A4258" s="65">
        <v>9005925</v>
      </c>
      <c r="B4258" s="65" t="s">
        <v>4842</v>
      </c>
      <c r="C4258" s="65" t="s">
        <v>1181</v>
      </c>
    </row>
    <row r="4259" spans="1:3" hidden="1">
      <c r="A4259" s="65">
        <v>9005926</v>
      </c>
      <c r="B4259" s="65" t="s">
        <v>4843</v>
      </c>
      <c r="C4259" s="65" t="s">
        <v>1181</v>
      </c>
    </row>
    <row r="4260" spans="1:3" hidden="1">
      <c r="A4260" s="65">
        <v>9005927</v>
      </c>
      <c r="B4260" s="65" t="s">
        <v>4844</v>
      </c>
      <c r="C4260" s="65" t="s">
        <v>793</v>
      </c>
    </row>
    <row r="4261" spans="1:3" hidden="1">
      <c r="A4261" s="65">
        <v>9005928</v>
      </c>
      <c r="B4261" s="65" t="s">
        <v>4845</v>
      </c>
      <c r="C4261" s="65" t="s">
        <v>793</v>
      </c>
    </row>
    <row r="4262" spans="1:3" hidden="1">
      <c r="A4262" s="65">
        <v>9005929</v>
      </c>
      <c r="B4262" s="65" t="s">
        <v>4846</v>
      </c>
      <c r="C4262" s="65" t="s">
        <v>793</v>
      </c>
    </row>
    <row r="4263" spans="1:3" hidden="1">
      <c r="A4263" s="65">
        <v>9005930</v>
      </c>
      <c r="B4263" s="65" t="s">
        <v>4847</v>
      </c>
      <c r="C4263" s="65" t="s">
        <v>793</v>
      </c>
    </row>
    <row r="4264" spans="1:3" hidden="1">
      <c r="A4264" s="65">
        <v>9005931</v>
      </c>
      <c r="B4264" s="65" t="s">
        <v>4848</v>
      </c>
      <c r="C4264" s="65" t="s">
        <v>793</v>
      </c>
    </row>
    <row r="4265" spans="1:3" hidden="1">
      <c r="A4265" s="65">
        <v>9005932</v>
      </c>
      <c r="B4265" s="65" t="s">
        <v>4849</v>
      </c>
      <c r="C4265" s="65" t="s">
        <v>793</v>
      </c>
    </row>
    <row r="4266" spans="1:3" hidden="1">
      <c r="A4266" s="65">
        <v>9005933</v>
      </c>
      <c r="B4266" s="65" t="s">
        <v>4850</v>
      </c>
      <c r="C4266" s="65" t="s">
        <v>793</v>
      </c>
    </row>
    <row r="4267" spans="1:3" hidden="1">
      <c r="A4267" s="65">
        <v>9005934</v>
      </c>
      <c r="B4267" s="65" t="s">
        <v>4851</v>
      </c>
      <c r="C4267" s="65" t="s">
        <v>793</v>
      </c>
    </row>
    <row r="4268" spans="1:3" hidden="1">
      <c r="A4268" s="65">
        <v>9005935</v>
      </c>
      <c r="B4268" s="65" t="s">
        <v>4852</v>
      </c>
      <c r="C4268" s="65" t="s">
        <v>793</v>
      </c>
    </row>
    <row r="4269" spans="1:3" hidden="1">
      <c r="A4269" s="65">
        <v>9005936</v>
      </c>
      <c r="B4269" s="65" t="s">
        <v>4853</v>
      </c>
      <c r="C4269" s="65" t="s">
        <v>793</v>
      </c>
    </row>
    <row r="4270" spans="1:3" hidden="1">
      <c r="A4270" s="65">
        <v>9005937</v>
      </c>
      <c r="B4270" s="65" t="s">
        <v>4854</v>
      </c>
      <c r="C4270" s="65" t="s">
        <v>793</v>
      </c>
    </row>
    <row r="4271" spans="1:3" hidden="1">
      <c r="A4271" s="65">
        <v>9005938</v>
      </c>
      <c r="B4271" s="65" t="s">
        <v>4855</v>
      </c>
      <c r="C4271" s="65" t="s">
        <v>793</v>
      </c>
    </row>
    <row r="4272" spans="1:3" hidden="1">
      <c r="A4272" s="65">
        <v>9005939</v>
      </c>
      <c r="B4272" s="65" t="s">
        <v>4856</v>
      </c>
      <c r="C4272" s="65" t="s">
        <v>793</v>
      </c>
    </row>
    <row r="4273" spans="1:3" hidden="1">
      <c r="A4273" s="65">
        <v>9005940</v>
      </c>
      <c r="B4273" s="65" t="s">
        <v>4857</v>
      </c>
      <c r="C4273" s="65" t="s">
        <v>738</v>
      </c>
    </row>
    <row r="4274" spans="1:3" hidden="1">
      <c r="A4274" s="65">
        <v>9005941</v>
      </c>
      <c r="B4274" s="65" t="s">
        <v>4858</v>
      </c>
      <c r="C4274" s="65" t="s">
        <v>738</v>
      </c>
    </row>
    <row r="4275" spans="1:3" hidden="1">
      <c r="A4275" s="65">
        <v>9005942</v>
      </c>
      <c r="B4275" s="65" t="s">
        <v>4859</v>
      </c>
      <c r="C4275" s="65" t="s">
        <v>695</v>
      </c>
    </row>
    <row r="4276" spans="1:3" hidden="1">
      <c r="A4276" s="65">
        <v>9005943</v>
      </c>
      <c r="B4276" s="65" t="s">
        <v>4860</v>
      </c>
      <c r="C4276" s="65" t="s">
        <v>738</v>
      </c>
    </row>
    <row r="4277" spans="1:3" hidden="1">
      <c r="A4277" s="65">
        <v>9005944</v>
      </c>
      <c r="B4277" s="65" t="s">
        <v>4861</v>
      </c>
      <c r="C4277" s="65" t="s">
        <v>1101</v>
      </c>
    </row>
    <row r="4278" spans="1:3" hidden="1">
      <c r="A4278" s="65">
        <v>9005945</v>
      </c>
      <c r="B4278" s="65" t="s">
        <v>4862</v>
      </c>
      <c r="C4278" s="65" t="s">
        <v>695</v>
      </c>
    </row>
    <row r="4279" spans="1:3" hidden="1">
      <c r="A4279" s="65">
        <v>9005946</v>
      </c>
      <c r="B4279" s="65" t="s">
        <v>4863</v>
      </c>
      <c r="C4279" s="65" t="s">
        <v>1101</v>
      </c>
    </row>
    <row r="4280" spans="1:3" hidden="1">
      <c r="A4280" s="65">
        <v>9005947</v>
      </c>
      <c r="B4280" s="65" t="s">
        <v>4864</v>
      </c>
      <c r="C4280" s="65" t="s">
        <v>695</v>
      </c>
    </row>
    <row r="4281" spans="1:3" hidden="1">
      <c r="A4281" s="65">
        <v>9005948</v>
      </c>
      <c r="B4281" s="65" t="s">
        <v>4865</v>
      </c>
      <c r="C4281" s="65" t="s">
        <v>900</v>
      </c>
    </row>
    <row r="4282" spans="1:3" hidden="1">
      <c r="A4282" s="65">
        <v>9005949</v>
      </c>
      <c r="B4282" s="65" t="s">
        <v>4866</v>
      </c>
      <c r="C4282" s="65" t="s">
        <v>900</v>
      </c>
    </row>
    <row r="4283" spans="1:3" hidden="1">
      <c r="A4283" s="65">
        <v>9005950</v>
      </c>
      <c r="B4283" s="65" t="s">
        <v>4867</v>
      </c>
      <c r="C4283" s="65" t="s">
        <v>900</v>
      </c>
    </row>
    <row r="4284" spans="1:3" hidden="1">
      <c r="A4284" s="65">
        <v>9005951</v>
      </c>
      <c r="B4284" s="65" t="s">
        <v>4868</v>
      </c>
      <c r="C4284" s="65" t="s">
        <v>793</v>
      </c>
    </row>
    <row r="4285" spans="1:3" hidden="1">
      <c r="A4285" s="65">
        <v>9005952</v>
      </c>
      <c r="B4285" s="65" t="s">
        <v>4869</v>
      </c>
      <c r="C4285" s="65" t="s">
        <v>793</v>
      </c>
    </row>
    <row r="4286" spans="1:3" hidden="1">
      <c r="A4286" s="65">
        <v>9005953</v>
      </c>
      <c r="B4286" s="65" t="s">
        <v>4870</v>
      </c>
      <c r="C4286" s="65" t="s">
        <v>809</v>
      </c>
    </row>
    <row r="4287" spans="1:3" hidden="1">
      <c r="A4287" s="65">
        <v>9005954</v>
      </c>
      <c r="B4287" s="65" t="s">
        <v>4871</v>
      </c>
      <c r="C4287" s="65" t="s">
        <v>809</v>
      </c>
    </row>
    <row r="4288" spans="1:3" hidden="1">
      <c r="A4288" s="65">
        <v>9005955</v>
      </c>
      <c r="B4288" s="65" t="s">
        <v>4872</v>
      </c>
      <c r="C4288" s="65" t="s">
        <v>809</v>
      </c>
    </row>
    <row r="4289" spans="1:3" hidden="1">
      <c r="A4289" s="65">
        <v>9005956</v>
      </c>
      <c r="B4289" s="65" t="s">
        <v>4873</v>
      </c>
      <c r="C4289" s="65" t="s">
        <v>809</v>
      </c>
    </row>
    <row r="4290" spans="1:3" hidden="1">
      <c r="A4290" s="65">
        <v>9005957</v>
      </c>
      <c r="B4290" s="65" t="s">
        <v>4874</v>
      </c>
      <c r="C4290" s="65" t="s">
        <v>809</v>
      </c>
    </row>
    <row r="4291" spans="1:3" hidden="1">
      <c r="A4291" s="65">
        <v>9005958</v>
      </c>
      <c r="B4291" s="65" t="s">
        <v>4875</v>
      </c>
      <c r="C4291" s="65" t="s">
        <v>793</v>
      </c>
    </row>
    <row r="4292" spans="1:3" hidden="1">
      <c r="A4292" s="65">
        <v>9005959</v>
      </c>
      <c r="B4292" s="65" t="s">
        <v>4876</v>
      </c>
      <c r="C4292" s="65" t="s">
        <v>809</v>
      </c>
    </row>
    <row r="4293" spans="1:3" hidden="1">
      <c r="A4293" s="65">
        <v>9005960</v>
      </c>
      <c r="B4293" s="65" t="s">
        <v>4877</v>
      </c>
      <c r="C4293" s="65" t="s">
        <v>809</v>
      </c>
    </row>
    <row r="4294" spans="1:3" hidden="1">
      <c r="A4294" s="65">
        <v>9005961</v>
      </c>
      <c r="B4294" s="65" t="s">
        <v>4878</v>
      </c>
      <c r="C4294" s="65" t="s">
        <v>809</v>
      </c>
    </row>
    <row r="4295" spans="1:3" hidden="1">
      <c r="A4295" s="65">
        <v>9005962</v>
      </c>
      <c r="B4295" s="65" t="s">
        <v>4879</v>
      </c>
      <c r="C4295" s="65" t="s">
        <v>809</v>
      </c>
    </row>
    <row r="4296" spans="1:3" hidden="1">
      <c r="A4296" s="65">
        <v>9005963</v>
      </c>
      <c r="B4296" s="65" t="s">
        <v>4880</v>
      </c>
      <c r="C4296" s="65" t="s">
        <v>809</v>
      </c>
    </row>
    <row r="4297" spans="1:3" hidden="1">
      <c r="A4297" s="65">
        <v>9005964</v>
      </c>
      <c r="B4297" s="65" t="s">
        <v>4881</v>
      </c>
      <c r="C4297" s="65" t="s">
        <v>809</v>
      </c>
    </row>
    <row r="4298" spans="1:3" hidden="1">
      <c r="A4298" s="65">
        <v>9005965</v>
      </c>
      <c r="B4298" s="65" t="s">
        <v>4882</v>
      </c>
      <c r="C4298" s="65" t="s">
        <v>809</v>
      </c>
    </row>
    <row r="4299" spans="1:3" hidden="1">
      <c r="A4299" s="65">
        <v>9005966</v>
      </c>
      <c r="B4299" s="65" t="s">
        <v>4883</v>
      </c>
      <c r="C4299" s="65" t="s">
        <v>809</v>
      </c>
    </row>
    <row r="4300" spans="1:3" hidden="1">
      <c r="A4300" s="65">
        <v>9005967</v>
      </c>
      <c r="B4300" s="65" t="s">
        <v>4884</v>
      </c>
      <c r="C4300" s="65" t="s">
        <v>809</v>
      </c>
    </row>
    <row r="4301" spans="1:3" hidden="1">
      <c r="A4301" s="65">
        <v>9005968</v>
      </c>
      <c r="B4301" s="65" t="s">
        <v>4885</v>
      </c>
      <c r="C4301" s="65" t="s">
        <v>809</v>
      </c>
    </row>
    <row r="4302" spans="1:3" hidden="1">
      <c r="A4302" s="65">
        <v>9005969</v>
      </c>
      <c r="B4302" s="65" t="s">
        <v>4886</v>
      </c>
      <c r="C4302" s="65" t="s">
        <v>793</v>
      </c>
    </row>
    <row r="4303" spans="1:3" hidden="1">
      <c r="A4303" s="65">
        <v>9005970</v>
      </c>
      <c r="B4303" s="65" t="s">
        <v>4887</v>
      </c>
      <c r="C4303" s="65" t="s">
        <v>793</v>
      </c>
    </row>
    <row r="4304" spans="1:3" hidden="1">
      <c r="A4304" s="65">
        <v>9005971</v>
      </c>
      <c r="B4304" s="65" t="s">
        <v>4888</v>
      </c>
      <c r="C4304" s="65" t="s">
        <v>793</v>
      </c>
    </row>
    <row r="4305" spans="1:3" hidden="1">
      <c r="A4305" s="65">
        <v>9005972</v>
      </c>
      <c r="B4305" s="65" t="s">
        <v>4889</v>
      </c>
      <c r="C4305" s="65" t="s">
        <v>809</v>
      </c>
    </row>
    <row r="4306" spans="1:3" hidden="1">
      <c r="A4306" s="65">
        <v>9005973</v>
      </c>
      <c r="B4306" s="65" t="s">
        <v>4890</v>
      </c>
      <c r="C4306" s="65" t="s">
        <v>793</v>
      </c>
    </row>
    <row r="4307" spans="1:3" hidden="1">
      <c r="A4307" s="65">
        <v>9005974</v>
      </c>
      <c r="B4307" s="65" t="s">
        <v>4891</v>
      </c>
      <c r="C4307" s="65" t="s">
        <v>809</v>
      </c>
    </row>
    <row r="4308" spans="1:3" hidden="1">
      <c r="A4308" s="65">
        <v>9005975</v>
      </c>
      <c r="B4308" s="65" t="s">
        <v>4892</v>
      </c>
      <c r="C4308" s="65" t="s">
        <v>775</v>
      </c>
    </row>
    <row r="4309" spans="1:3" hidden="1">
      <c r="A4309" s="65">
        <v>9005976</v>
      </c>
      <c r="B4309" s="65" t="s">
        <v>4893</v>
      </c>
      <c r="C4309" s="65" t="s">
        <v>775</v>
      </c>
    </row>
    <row r="4310" spans="1:3" hidden="1">
      <c r="A4310" s="65">
        <v>9005977</v>
      </c>
      <c r="B4310" s="65" t="s">
        <v>4894</v>
      </c>
      <c r="C4310" s="65" t="s">
        <v>4895</v>
      </c>
    </row>
    <row r="4311" spans="1:3" hidden="1">
      <c r="A4311" s="65">
        <v>9005978</v>
      </c>
      <c r="B4311" s="65" t="s">
        <v>4896</v>
      </c>
      <c r="C4311" s="65" t="s">
        <v>793</v>
      </c>
    </row>
    <row r="4312" spans="1:3" hidden="1">
      <c r="A4312" s="65">
        <v>9005979</v>
      </c>
      <c r="B4312" s="65" t="s">
        <v>4897</v>
      </c>
      <c r="C4312" s="65" t="s">
        <v>793</v>
      </c>
    </row>
    <row r="4313" spans="1:3" hidden="1">
      <c r="A4313" s="65">
        <v>9005980</v>
      </c>
      <c r="B4313" s="65" t="s">
        <v>4898</v>
      </c>
      <c r="C4313" s="65" t="s">
        <v>793</v>
      </c>
    </row>
    <row r="4314" spans="1:3" hidden="1">
      <c r="A4314" s="65">
        <v>9005981</v>
      </c>
      <c r="B4314" s="65" t="s">
        <v>4899</v>
      </c>
      <c r="C4314" s="65" t="s">
        <v>793</v>
      </c>
    </row>
    <row r="4315" spans="1:3" hidden="1">
      <c r="A4315" s="65">
        <v>9005982</v>
      </c>
      <c r="B4315" s="65" t="s">
        <v>4900</v>
      </c>
      <c r="C4315" s="65" t="s">
        <v>793</v>
      </c>
    </row>
    <row r="4316" spans="1:3" hidden="1">
      <c r="A4316" s="65">
        <v>9005983</v>
      </c>
      <c r="B4316" s="65" t="s">
        <v>4901</v>
      </c>
      <c r="C4316" s="65" t="s">
        <v>793</v>
      </c>
    </row>
    <row r="4317" spans="1:3" hidden="1">
      <c r="A4317" s="65">
        <v>9005984</v>
      </c>
      <c r="B4317" s="65" t="s">
        <v>4902</v>
      </c>
      <c r="C4317" s="65" t="s">
        <v>793</v>
      </c>
    </row>
    <row r="4318" spans="1:3" hidden="1">
      <c r="A4318" s="65">
        <v>9005985</v>
      </c>
      <c r="B4318" s="65" t="s">
        <v>4903</v>
      </c>
      <c r="C4318" s="65" t="s">
        <v>793</v>
      </c>
    </row>
    <row r="4319" spans="1:3" hidden="1">
      <c r="A4319" s="65">
        <v>9005986</v>
      </c>
      <c r="B4319" s="65" t="s">
        <v>4904</v>
      </c>
      <c r="C4319" s="65" t="s">
        <v>793</v>
      </c>
    </row>
    <row r="4320" spans="1:3" hidden="1">
      <c r="A4320" s="65">
        <v>9005987</v>
      </c>
      <c r="B4320" s="65" t="s">
        <v>4905</v>
      </c>
      <c r="C4320" s="65" t="s">
        <v>793</v>
      </c>
    </row>
    <row r="4321" spans="1:3" hidden="1">
      <c r="A4321" s="65">
        <v>9005988</v>
      </c>
      <c r="B4321" s="65" t="s">
        <v>4906</v>
      </c>
      <c r="C4321" s="65" t="s">
        <v>793</v>
      </c>
    </row>
    <row r="4322" spans="1:3" hidden="1">
      <c r="A4322" s="65">
        <v>9005989</v>
      </c>
      <c r="B4322" s="65" t="s">
        <v>4907</v>
      </c>
      <c r="C4322" s="65" t="s">
        <v>793</v>
      </c>
    </row>
    <row r="4323" spans="1:3" hidden="1">
      <c r="A4323" s="65">
        <v>9005990</v>
      </c>
      <c r="B4323" s="65" t="s">
        <v>4908</v>
      </c>
      <c r="C4323" s="65" t="s">
        <v>664</v>
      </c>
    </row>
    <row r="4324" spans="1:3" hidden="1">
      <c r="A4324" s="65">
        <v>9005991</v>
      </c>
      <c r="B4324" s="65" t="s">
        <v>4909</v>
      </c>
      <c r="C4324" s="65" t="s">
        <v>793</v>
      </c>
    </row>
    <row r="4325" spans="1:3" hidden="1">
      <c r="A4325" s="65">
        <v>9005992</v>
      </c>
      <c r="B4325" s="65" t="s">
        <v>4910</v>
      </c>
      <c r="C4325" s="65" t="s">
        <v>793</v>
      </c>
    </row>
    <row r="4326" spans="1:3" hidden="1">
      <c r="A4326" s="65">
        <v>9005993</v>
      </c>
      <c r="B4326" s="65" t="s">
        <v>4911</v>
      </c>
      <c r="C4326" s="65" t="s">
        <v>793</v>
      </c>
    </row>
    <row r="4327" spans="1:3" hidden="1">
      <c r="A4327" s="65">
        <v>9005994</v>
      </c>
      <c r="B4327" s="65" t="s">
        <v>4912</v>
      </c>
      <c r="C4327" s="65" t="s">
        <v>793</v>
      </c>
    </row>
    <row r="4328" spans="1:3" hidden="1">
      <c r="A4328" s="65">
        <v>9005995</v>
      </c>
      <c r="B4328" s="65" t="s">
        <v>4913</v>
      </c>
      <c r="C4328" s="65" t="s">
        <v>793</v>
      </c>
    </row>
    <row r="4329" spans="1:3" hidden="1">
      <c r="A4329" s="65">
        <v>9005996</v>
      </c>
      <c r="B4329" s="65" t="s">
        <v>4914</v>
      </c>
      <c r="C4329" s="65" t="s">
        <v>793</v>
      </c>
    </row>
    <row r="4330" spans="1:3" hidden="1">
      <c r="A4330" s="65">
        <v>9005997</v>
      </c>
      <c r="B4330" s="65" t="s">
        <v>4915</v>
      </c>
      <c r="C4330" s="65" t="s">
        <v>793</v>
      </c>
    </row>
    <row r="4331" spans="1:3" hidden="1">
      <c r="A4331" s="65">
        <v>9005998</v>
      </c>
      <c r="B4331" s="65" t="s">
        <v>4916</v>
      </c>
      <c r="C4331" s="65" t="s">
        <v>793</v>
      </c>
    </row>
    <row r="4332" spans="1:3" hidden="1">
      <c r="A4332" s="65">
        <v>9005999</v>
      </c>
      <c r="B4332" s="65" t="s">
        <v>4917</v>
      </c>
      <c r="C4332" s="65" t="s">
        <v>793</v>
      </c>
    </row>
    <row r="4333" spans="1:3" hidden="1">
      <c r="A4333" s="65">
        <v>9006000</v>
      </c>
      <c r="B4333" s="65" t="s">
        <v>4918</v>
      </c>
      <c r="C4333" s="65" t="s">
        <v>793</v>
      </c>
    </row>
    <row r="4334" spans="1:3" hidden="1">
      <c r="A4334" s="65">
        <v>9006001</v>
      </c>
      <c r="B4334" s="65" t="s">
        <v>4919</v>
      </c>
      <c r="C4334" s="65" t="s">
        <v>793</v>
      </c>
    </row>
    <row r="4335" spans="1:3" hidden="1">
      <c r="A4335" s="65">
        <v>9006002</v>
      </c>
      <c r="B4335" s="65" t="s">
        <v>4920</v>
      </c>
      <c r="C4335" s="65" t="s">
        <v>793</v>
      </c>
    </row>
    <row r="4336" spans="1:3" hidden="1">
      <c r="A4336" s="65">
        <v>9006003</v>
      </c>
      <c r="B4336" s="65" t="s">
        <v>4921</v>
      </c>
      <c r="C4336" s="65" t="s">
        <v>793</v>
      </c>
    </row>
    <row r="4337" spans="1:3" hidden="1">
      <c r="A4337" s="65">
        <v>9006004</v>
      </c>
      <c r="B4337" s="65" t="s">
        <v>4922</v>
      </c>
      <c r="C4337" s="65" t="s">
        <v>793</v>
      </c>
    </row>
    <row r="4338" spans="1:3" hidden="1">
      <c r="A4338" s="65">
        <v>9006005</v>
      </c>
      <c r="B4338" s="65" t="s">
        <v>4923</v>
      </c>
      <c r="C4338" s="65" t="s">
        <v>793</v>
      </c>
    </row>
    <row r="4339" spans="1:3" hidden="1">
      <c r="A4339" s="65">
        <v>9006006</v>
      </c>
      <c r="B4339" s="65" t="s">
        <v>4924</v>
      </c>
      <c r="C4339" s="65" t="s">
        <v>793</v>
      </c>
    </row>
    <row r="4340" spans="1:3" hidden="1">
      <c r="A4340" s="65">
        <v>9006007</v>
      </c>
      <c r="B4340" s="65" t="s">
        <v>4925</v>
      </c>
      <c r="C4340" s="65" t="s">
        <v>793</v>
      </c>
    </row>
    <row r="4341" spans="1:3" hidden="1">
      <c r="A4341" s="65">
        <v>9006008</v>
      </c>
      <c r="B4341" s="65" t="s">
        <v>4926</v>
      </c>
      <c r="C4341" s="65" t="s">
        <v>793</v>
      </c>
    </row>
    <row r="4342" spans="1:3" hidden="1">
      <c r="A4342" s="65">
        <v>9006009</v>
      </c>
      <c r="B4342" s="65" t="s">
        <v>4927</v>
      </c>
      <c r="C4342" s="65" t="s">
        <v>793</v>
      </c>
    </row>
    <row r="4343" spans="1:3" hidden="1">
      <c r="A4343" s="65">
        <v>9006010</v>
      </c>
      <c r="B4343" s="65" t="s">
        <v>4928</v>
      </c>
      <c r="C4343" s="65" t="s">
        <v>793</v>
      </c>
    </row>
    <row r="4344" spans="1:3" hidden="1">
      <c r="A4344" s="65">
        <v>9006011</v>
      </c>
      <c r="B4344" s="65" t="s">
        <v>4929</v>
      </c>
      <c r="C4344" s="65" t="s">
        <v>809</v>
      </c>
    </row>
    <row r="4345" spans="1:3" hidden="1">
      <c r="A4345" s="65">
        <v>9006012</v>
      </c>
      <c r="B4345" s="65" t="s">
        <v>4930</v>
      </c>
      <c r="C4345" s="65" t="s">
        <v>809</v>
      </c>
    </row>
    <row r="4346" spans="1:3" hidden="1">
      <c r="A4346" s="65">
        <v>9006013</v>
      </c>
      <c r="B4346" s="65" t="s">
        <v>4931</v>
      </c>
      <c r="C4346" s="65" t="s">
        <v>809</v>
      </c>
    </row>
    <row r="4347" spans="1:3" hidden="1">
      <c r="A4347" s="65">
        <v>9006014</v>
      </c>
      <c r="B4347" s="65" t="s">
        <v>4932</v>
      </c>
      <c r="C4347" s="65" t="s">
        <v>809</v>
      </c>
    </row>
    <row r="4348" spans="1:3" hidden="1">
      <c r="A4348" s="65">
        <v>9006015</v>
      </c>
      <c r="B4348" s="65" t="s">
        <v>4933</v>
      </c>
      <c r="C4348" s="65" t="s">
        <v>809</v>
      </c>
    </row>
    <row r="4349" spans="1:3" hidden="1">
      <c r="A4349" s="65">
        <v>9006016</v>
      </c>
      <c r="B4349" s="65" t="s">
        <v>4934</v>
      </c>
      <c r="C4349" s="65" t="s">
        <v>809</v>
      </c>
    </row>
    <row r="4350" spans="1:3" hidden="1">
      <c r="A4350" s="65">
        <v>9006017</v>
      </c>
      <c r="B4350" s="65" t="s">
        <v>4935</v>
      </c>
      <c r="C4350" s="65" t="s">
        <v>809</v>
      </c>
    </row>
    <row r="4351" spans="1:3" hidden="1">
      <c r="A4351" s="65">
        <v>9006018</v>
      </c>
      <c r="B4351" s="65" t="s">
        <v>4936</v>
      </c>
      <c r="C4351" s="65" t="s">
        <v>793</v>
      </c>
    </row>
    <row r="4352" spans="1:3" hidden="1">
      <c r="A4352" s="65">
        <v>9006019</v>
      </c>
      <c r="B4352" s="65" t="s">
        <v>4937</v>
      </c>
      <c r="C4352" s="65" t="s">
        <v>793</v>
      </c>
    </row>
    <row r="4353" spans="1:3" hidden="1">
      <c r="A4353" s="65">
        <v>9006020</v>
      </c>
      <c r="B4353" s="65" t="s">
        <v>4938</v>
      </c>
      <c r="C4353" s="65" t="s">
        <v>793</v>
      </c>
    </row>
    <row r="4354" spans="1:3" hidden="1">
      <c r="A4354" s="65">
        <v>9006021</v>
      </c>
      <c r="B4354" s="65" t="s">
        <v>4939</v>
      </c>
      <c r="C4354" s="65" t="s">
        <v>793</v>
      </c>
    </row>
    <row r="4355" spans="1:3" hidden="1">
      <c r="A4355" s="65">
        <v>9006022</v>
      </c>
      <c r="B4355" s="65" t="s">
        <v>4940</v>
      </c>
      <c r="C4355" s="65" t="s">
        <v>793</v>
      </c>
    </row>
    <row r="4356" spans="1:3" hidden="1">
      <c r="A4356" s="65">
        <v>9006023</v>
      </c>
      <c r="B4356" s="65" t="s">
        <v>4941</v>
      </c>
      <c r="C4356" s="65" t="s">
        <v>793</v>
      </c>
    </row>
    <row r="4357" spans="1:3" hidden="1">
      <c r="A4357" s="65">
        <v>9006024</v>
      </c>
      <c r="B4357" s="65" t="s">
        <v>4942</v>
      </c>
      <c r="C4357" s="65" t="s">
        <v>793</v>
      </c>
    </row>
    <row r="4358" spans="1:3" hidden="1">
      <c r="A4358" s="65">
        <v>9006025</v>
      </c>
      <c r="B4358" s="65" t="s">
        <v>4943</v>
      </c>
      <c r="C4358" s="65" t="s">
        <v>793</v>
      </c>
    </row>
    <row r="4359" spans="1:3" hidden="1">
      <c r="A4359" s="65">
        <v>9006026</v>
      </c>
      <c r="B4359" s="65" t="s">
        <v>4944</v>
      </c>
      <c r="C4359" s="65" t="s">
        <v>793</v>
      </c>
    </row>
    <row r="4360" spans="1:3" hidden="1">
      <c r="A4360" s="65">
        <v>9006027</v>
      </c>
      <c r="B4360" s="65" t="s">
        <v>4945</v>
      </c>
      <c r="C4360" s="65" t="s">
        <v>793</v>
      </c>
    </row>
    <row r="4361" spans="1:3" hidden="1">
      <c r="A4361" s="65">
        <v>9006028</v>
      </c>
      <c r="B4361" s="65" t="s">
        <v>4946</v>
      </c>
      <c r="C4361" s="65" t="s">
        <v>809</v>
      </c>
    </row>
    <row r="4362" spans="1:3" hidden="1">
      <c r="A4362" s="65">
        <v>9006029</v>
      </c>
      <c r="B4362" s="65" t="s">
        <v>4947</v>
      </c>
      <c r="C4362" s="65" t="s">
        <v>809</v>
      </c>
    </row>
    <row r="4363" spans="1:3" hidden="1">
      <c r="A4363" s="65">
        <v>9006030</v>
      </c>
      <c r="B4363" s="65" t="s">
        <v>4948</v>
      </c>
      <c r="C4363" s="65" t="s">
        <v>809</v>
      </c>
    </row>
    <row r="4364" spans="1:3" hidden="1">
      <c r="A4364" s="65">
        <v>9006031</v>
      </c>
      <c r="B4364" s="65" t="s">
        <v>4949</v>
      </c>
      <c r="C4364" s="65" t="s">
        <v>809</v>
      </c>
    </row>
    <row r="4365" spans="1:3" hidden="1">
      <c r="A4365" s="65">
        <v>9006032</v>
      </c>
      <c r="B4365" s="65" t="s">
        <v>4950</v>
      </c>
      <c r="C4365" s="65" t="s">
        <v>809</v>
      </c>
    </row>
    <row r="4366" spans="1:3" hidden="1">
      <c r="A4366" s="65">
        <v>9006033</v>
      </c>
      <c r="B4366" s="65" t="s">
        <v>4951</v>
      </c>
      <c r="C4366" s="65" t="s">
        <v>809</v>
      </c>
    </row>
    <row r="4367" spans="1:3" hidden="1">
      <c r="A4367" s="65">
        <v>9006034</v>
      </c>
      <c r="B4367" s="65" t="s">
        <v>4952</v>
      </c>
      <c r="C4367" s="65" t="s">
        <v>809</v>
      </c>
    </row>
    <row r="4368" spans="1:3" hidden="1">
      <c r="A4368" s="65">
        <v>9006035</v>
      </c>
      <c r="B4368" s="65" t="s">
        <v>4953</v>
      </c>
      <c r="C4368" s="65" t="s">
        <v>809</v>
      </c>
    </row>
    <row r="4369" spans="1:3" hidden="1">
      <c r="A4369" s="65">
        <v>9006036</v>
      </c>
      <c r="B4369" s="65" t="s">
        <v>4954</v>
      </c>
      <c r="C4369" s="65" t="s">
        <v>809</v>
      </c>
    </row>
    <row r="4370" spans="1:3" hidden="1">
      <c r="A4370" s="65">
        <v>9006037</v>
      </c>
      <c r="B4370" s="65" t="s">
        <v>4955</v>
      </c>
      <c r="C4370" s="65" t="s">
        <v>809</v>
      </c>
    </row>
    <row r="4371" spans="1:3" hidden="1">
      <c r="A4371" s="65">
        <v>9006038</v>
      </c>
      <c r="B4371" s="65" t="s">
        <v>4956</v>
      </c>
      <c r="C4371" s="65" t="s">
        <v>809</v>
      </c>
    </row>
    <row r="4372" spans="1:3" hidden="1">
      <c r="A4372" s="65">
        <v>9006039</v>
      </c>
      <c r="B4372" s="65" t="s">
        <v>4957</v>
      </c>
      <c r="C4372" s="65" t="s">
        <v>809</v>
      </c>
    </row>
    <row r="4373" spans="1:3" hidden="1">
      <c r="A4373" s="65">
        <v>9006040</v>
      </c>
      <c r="B4373" s="65" t="s">
        <v>4958</v>
      </c>
      <c r="C4373" s="65" t="s">
        <v>809</v>
      </c>
    </row>
    <row r="4374" spans="1:3" hidden="1">
      <c r="A4374" s="65">
        <v>9006041</v>
      </c>
      <c r="B4374" s="65" t="s">
        <v>4959</v>
      </c>
      <c r="C4374" s="65" t="s">
        <v>809</v>
      </c>
    </row>
    <row r="4375" spans="1:3" hidden="1">
      <c r="A4375" s="65">
        <v>9006042</v>
      </c>
      <c r="B4375" s="65" t="s">
        <v>4960</v>
      </c>
      <c r="C4375" s="65" t="s">
        <v>809</v>
      </c>
    </row>
    <row r="4376" spans="1:3" hidden="1">
      <c r="A4376" s="65">
        <v>9006043</v>
      </c>
      <c r="B4376" s="65" t="s">
        <v>4961</v>
      </c>
      <c r="C4376" s="65" t="s">
        <v>809</v>
      </c>
    </row>
    <row r="4377" spans="1:3" hidden="1">
      <c r="A4377" s="65">
        <v>9006044</v>
      </c>
      <c r="B4377" s="65" t="s">
        <v>4962</v>
      </c>
      <c r="C4377" s="65" t="s">
        <v>809</v>
      </c>
    </row>
    <row r="4378" spans="1:3" hidden="1">
      <c r="A4378" s="65">
        <v>9006045</v>
      </c>
      <c r="B4378" s="65" t="s">
        <v>4963</v>
      </c>
      <c r="C4378" s="65" t="s">
        <v>809</v>
      </c>
    </row>
    <row r="4379" spans="1:3" hidden="1">
      <c r="A4379" s="65">
        <v>9006046</v>
      </c>
      <c r="B4379" s="65" t="s">
        <v>4964</v>
      </c>
      <c r="C4379" s="65" t="s">
        <v>793</v>
      </c>
    </row>
    <row r="4380" spans="1:3" hidden="1">
      <c r="A4380" s="65">
        <v>9006047</v>
      </c>
      <c r="B4380" s="65" t="s">
        <v>4965</v>
      </c>
      <c r="C4380" s="65" t="s">
        <v>809</v>
      </c>
    </row>
    <row r="4381" spans="1:3" hidden="1">
      <c r="A4381" s="65">
        <v>9006048</v>
      </c>
      <c r="B4381" s="65" t="s">
        <v>4966</v>
      </c>
      <c r="C4381" s="65" t="s">
        <v>809</v>
      </c>
    </row>
    <row r="4382" spans="1:3" hidden="1">
      <c r="A4382" s="65">
        <v>9006049</v>
      </c>
      <c r="B4382" s="65" t="s">
        <v>4967</v>
      </c>
      <c r="C4382" s="65" t="s">
        <v>809</v>
      </c>
    </row>
    <row r="4383" spans="1:3" hidden="1">
      <c r="A4383" s="65">
        <v>9006050</v>
      </c>
      <c r="B4383" s="65" t="s">
        <v>4968</v>
      </c>
      <c r="C4383" s="65" t="s">
        <v>809</v>
      </c>
    </row>
    <row r="4384" spans="1:3" hidden="1">
      <c r="A4384" s="65">
        <v>9006051</v>
      </c>
      <c r="B4384" s="65" t="s">
        <v>4969</v>
      </c>
      <c r="C4384" s="65" t="s">
        <v>809</v>
      </c>
    </row>
    <row r="4385" spans="1:3" hidden="1">
      <c r="A4385" s="65">
        <v>9006052</v>
      </c>
      <c r="B4385" s="65" t="s">
        <v>4970</v>
      </c>
      <c r="C4385" s="65" t="s">
        <v>809</v>
      </c>
    </row>
    <row r="4386" spans="1:3" hidden="1">
      <c r="A4386" s="65">
        <v>9006053</v>
      </c>
      <c r="B4386" s="65" t="s">
        <v>4971</v>
      </c>
      <c r="C4386" s="65" t="s">
        <v>809</v>
      </c>
    </row>
    <row r="4387" spans="1:3" hidden="1">
      <c r="A4387" s="65">
        <v>9006054</v>
      </c>
      <c r="B4387" s="65" t="s">
        <v>4972</v>
      </c>
      <c r="C4387" s="65" t="s">
        <v>809</v>
      </c>
    </row>
    <row r="4388" spans="1:3" hidden="1">
      <c r="A4388" s="65">
        <v>9006055</v>
      </c>
      <c r="B4388" s="65" t="s">
        <v>4973</v>
      </c>
      <c r="C4388" s="65" t="s">
        <v>809</v>
      </c>
    </row>
    <row r="4389" spans="1:3" hidden="1">
      <c r="A4389" s="65">
        <v>9006056</v>
      </c>
      <c r="B4389" s="65" t="s">
        <v>4974</v>
      </c>
      <c r="C4389" s="65" t="s">
        <v>809</v>
      </c>
    </row>
    <row r="4390" spans="1:3" hidden="1">
      <c r="A4390" s="65">
        <v>9006057</v>
      </c>
      <c r="B4390" s="65" t="s">
        <v>4975</v>
      </c>
      <c r="C4390" s="65" t="s">
        <v>809</v>
      </c>
    </row>
    <row r="4391" spans="1:3" hidden="1">
      <c r="A4391" s="65">
        <v>9006058</v>
      </c>
      <c r="B4391" s="65" t="s">
        <v>4976</v>
      </c>
      <c r="C4391" s="65" t="s">
        <v>809</v>
      </c>
    </row>
    <row r="4392" spans="1:3" hidden="1">
      <c r="A4392" s="65">
        <v>9006059</v>
      </c>
      <c r="B4392" s="65" t="s">
        <v>4977</v>
      </c>
      <c r="C4392" s="65" t="s">
        <v>809</v>
      </c>
    </row>
    <row r="4393" spans="1:3" hidden="1">
      <c r="A4393" s="65">
        <v>9006060</v>
      </c>
      <c r="B4393" s="65" t="s">
        <v>4978</v>
      </c>
      <c r="C4393" s="65" t="s">
        <v>809</v>
      </c>
    </row>
    <row r="4394" spans="1:3" hidden="1">
      <c r="A4394" s="65">
        <v>9006061</v>
      </c>
      <c r="B4394" s="65" t="s">
        <v>4979</v>
      </c>
      <c r="C4394" s="65" t="s">
        <v>809</v>
      </c>
    </row>
    <row r="4395" spans="1:3" hidden="1">
      <c r="A4395" s="65">
        <v>9006062</v>
      </c>
      <c r="B4395" s="65" t="s">
        <v>4980</v>
      </c>
      <c r="C4395" s="65" t="s">
        <v>809</v>
      </c>
    </row>
    <row r="4396" spans="1:3" hidden="1">
      <c r="A4396" s="65">
        <v>9006063</v>
      </c>
      <c r="B4396" s="65" t="s">
        <v>4981</v>
      </c>
      <c r="C4396" s="65" t="s">
        <v>809</v>
      </c>
    </row>
    <row r="4397" spans="1:3" hidden="1">
      <c r="A4397" s="65">
        <v>9006064</v>
      </c>
      <c r="B4397" s="65" t="s">
        <v>4982</v>
      </c>
      <c r="C4397" s="65" t="s">
        <v>809</v>
      </c>
    </row>
    <row r="4398" spans="1:3" hidden="1">
      <c r="A4398" s="65">
        <v>9006065</v>
      </c>
      <c r="B4398" s="65" t="s">
        <v>4983</v>
      </c>
      <c r="C4398" s="65" t="s">
        <v>793</v>
      </c>
    </row>
    <row r="4399" spans="1:3" hidden="1">
      <c r="A4399" s="65">
        <v>9006066</v>
      </c>
      <c r="B4399" s="65" t="s">
        <v>4984</v>
      </c>
      <c r="C4399" s="65" t="s">
        <v>809</v>
      </c>
    </row>
    <row r="4400" spans="1:3" hidden="1">
      <c r="A4400" s="65">
        <v>9006067</v>
      </c>
      <c r="B4400" s="65" t="s">
        <v>4985</v>
      </c>
      <c r="C4400" s="65" t="s">
        <v>809</v>
      </c>
    </row>
    <row r="4401" spans="1:3" hidden="1">
      <c r="A4401" s="65">
        <v>9006068</v>
      </c>
      <c r="B4401" s="65" t="s">
        <v>4986</v>
      </c>
      <c r="C4401" s="65" t="s">
        <v>809</v>
      </c>
    </row>
    <row r="4402" spans="1:3" hidden="1">
      <c r="A4402" s="65">
        <v>9006069</v>
      </c>
      <c r="B4402" s="65" t="s">
        <v>4987</v>
      </c>
      <c r="C4402" s="65" t="s">
        <v>809</v>
      </c>
    </row>
    <row r="4403" spans="1:3" hidden="1">
      <c r="A4403" s="65">
        <v>9006070</v>
      </c>
      <c r="B4403" s="65" t="s">
        <v>4988</v>
      </c>
      <c r="C4403" s="65" t="s">
        <v>793</v>
      </c>
    </row>
    <row r="4404" spans="1:3" hidden="1">
      <c r="A4404" s="65">
        <v>9006071</v>
      </c>
      <c r="B4404" s="65" t="s">
        <v>4989</v>
      </c>
      <c r="C4404" s="65" t="s">
        <v>793</v>
      </c>
    </row>
    <row r="4405" spans="1:3" hidden="1">
      <c r="A4405" s="65">
        <v>9006072</v>
      </c>
      <c r="B4405" s="65" t="s">
        <v>4990</v>
      </c>
      <c r="C4405" s="65" t="s">
        <v>793</v>
      </c>
    </row>
    <row r="4406" spans="1:3" hidden="1">
      <c r="A4406" s="65">
        <v>9006073</v>
      </c>
      <c r="B4406" s="65" t="s">
        <v>4991</v>
      </c>
      <c r="C4406" s="65" t="s">
        <v>793</v>
      </c>
    </row>
    <row r="4407" spans="1:3" hidden="1">
      <c r="A4407" s="65">
        <v>9006074</v>
      </c>
      <c r="B4407" s="65" t="s">
        <v>4992</v>
      </c>
      <c r="C4407" s="65" t="s">
        <v>793</v>
      </c>
    </row>
    <row r="4408" spans="1:3" hidden="1">
      <c r="A4408" s="65">
        <v>9006075</v>
      </c>
      <c r="B4408" s="65" t="s">
        <v>4993</v>
      </c>
      <c r="C4408" s="65" t="s">
        <v>793</v>
      </c>
    </row>
    <row r="4409" spans="1:3" hidden="1">
      <c r="A4409" s="65">
        <v>9006076</v>
      </c>
      <c r="B4409" s="65" t="s">
        <v>4994</v>
      </c>
      <c r="C4409" s="65" t="s">
        <v>793</v>
      </c>
    </row>
    <row r="4410" spans="1:3" hidden="1">
      <c r="A4410" s="65">
        <v>9006077</v>
      </c>
      <c r="B4410" s="65" t="s">
        <v>4995</v>
      </c>
      <c r="C4410" s="65" t="s">
        <v>793</v>
      </c>
    </row>
    <row r="4411" spans="1:3" hidden="1">
      <c r="A4411" s="65">
        <v>9006078</v>
      </c>
      <c r="B4411" s="65" t="s">
        <v>4996</v>
      </c>
      <c r="C4411" s="65" t="s">
        <v>793</v>
      </c>
    </row>
    <row r="4412" spans="1:3" hidden="1">
      <c r="A4412" s="65">
        <v>9006079</v>
      </c>
      <c r="B4412" s="65" t="s">
        <v>4997</v>
      </c>
      <c r="C4412" s="65" t="s">
        <v>793</v>
      </c>
    </row>
    <row r="4413" spans="1:3" hidden="1">
      <c r="A4413" s="65">
        <v>9006080</v>
      </c>
      <c r="B4413" s="65" t="s">
        <v>4998</v>
      </c>
      <c r="C4413" s="65" t="s">
        <v>793</v>
      </c>
    </row>
    <row r="4414" spans="1:3" hidden="1">
      <c r="A4414" s="65">
        <v>9006081</v>
      </c>
      <c r="B4414" s="65" t="s">
        <v>4999</v>
      </c>
      <c r="C4414" s="65" t="s">
        <v>1181</v>
      </c>
    </row>
    <row r="4415" spans="1:3" hidden="1">
      <c r="A4415" s="65">
        <v>9006082</v>
      </c>
      <c r="B4415" s="65" t="s">
        <v>5000</v>
      </c>
      <c r="C4415" s="65" t="s">
        <v>793</v>
      </c>
    </row>
    <row r="4416" spans="1:3" hidden="1">
      <c r="A4416" s="65">
        <v>9006083</v>
      </c>
      <c r="B4416" s="65" t="s">
        <v>5001</v>
      </c>
      <c r="C4416" s="65" t="s">
        <v>793</v>
      </c>
    </row>
    <row r="4417" spans="1:3" hidden="1">
      <c r="A4417" s="65">
        <v>9006084</v>
      </c>
      <c r="B4417" s="65" t="s">
        <v>5002</v>
      </c>
      <c r="C4417" s="65" t="s">
        <v>793</v>
      </c>
    </row>
    <row r="4418" spans="1:3" hidden="1">
      <c r="A4418" s="65">
        <v>9006085</v>
      </c>
      <c r="B4418" s="65" t="s">
        <v>5003</v>
      </c>
      <c r="C4418" s="65" t="s">
        <v>809</v>
      </c>
    </row>
    <row r="4419" spans="1:3" hidden="1">
      <c r="A4419" s="65">
        <v>9006086</v>
      </c>
      <c r="B4419" s="65" t="s">
        <v>5004</v>
      </c>
      <c r="C4419" s="65" t="s">
        <v>809</v>
      </c>
    </row>
    <row r="4420" spans="1:3" hidden="1">
      <c r="A4420" s="65">
        <v>9006087</v>
      </c>
      <c r="B4420" s="65" t="s">
        <v>5005</v>
      </c>
      <c r="C4420" s="65" t="s">
        <v>793</v>
      </c>
    </row>
    <row r="4421" spans="1:3" hidden="1">
      <c r="A4421" s="65">
        <v>9006088</v>
      </c>
      <c r="B4421" s="65" t="s">
        <v>5006</v>
      </c>
      <c r="C4421" s="65" t="s">
        <v>793</v>
      </c>
    </row>
    <row r="4422" spans="1:3" hidden="1">
      <c r="A4422" s="65">
        <v>9006089</v>
      </c>
      <c r="B4422" s="65" t="s">
        <v>5007</v>
      </c>
      <c r="C4422" s="65" t="s">
        <v>793</v>
      </c>
    </row>
    <row r="4423" spans="1:3" hidden="1">
      <c r="A4423" s="65">
        <v>9006090</v>
      </c>
      <c r="B4423" s="65" t="s">
        <v>5008</v>
      </c>
      <c r="C4423" s="65" t="s">
        <v>793</v>
      </c>
    </row>
    <row r="4424" spans="1:3" hidden="1">
      <c r="A4424" s="65">
        <v>9006091</v>
      </c>
      <c r="B4424" s="65" t="s">
        <v>5009</v>
      </c>
      <c r="C4424" s="65" t="s">
        <v>827</v>
      </c>
    </row>
    <row r="4425" spans="1:3" hidden="1">
      <c r="A4425" s="65">
        <v>9006092</v>
      </c>
      <c r="B4425" s="65" t="s">
        <v>5010</v>
      </c>
      <c r="C4425" s="65" t="s">
        <v>827</v>
      </c>
    </row>
    <row r="4426" spans="1:3" hidden="1">
      <c r="A4426" s="65">
        <v>9006093</v>
      </c>
      <c r="B4426" s="65" t="s">
        <v>5011</v>
      </c>
      <c r="C4426" s="65" t="s">
        <v>1181</v>
      </c>
    </row>
    <row r="4427" spans="1:3" hidden="1">
      <c r="A4427" s="65">
        <v>9006094</v>
      </c>
      <c r="B4427" s="65" t="s">
        <v>5012</v>
      </c>
      <c r="C4427" s="65" t="s">
        <v>1181</v>
      </c>
    </row>
    <row r="4428" spans="1:3" hidden="1">
      <c r="A4428" s="65">
        <v>9006095</v>
      </c>
      <c r="B4428" s="65" t="s">
        <v>5013</v>
      </c>
      <c r="C4428" s="65" t="s">
        <v>1181</v>
      </c>
    </row>
    <row r="4429" spans="1:3" hidden="1">
      <c r="A4429" s="65">
        <v>9006096</v>
      </c>
      <c r="B4429" s="65" t="s">
        <v>5014</v>
      </c>
      <c r="C4429" s="65" t="s">
        <v>1181</v>
      </c>
    </row>
    <row r="4430" spans="1:3" hidden="1">
      <c r="A4430" s="65">
        <v>9006097</v>
      </c>
      <c r="B4430" s="65" t="s">
        <v>5015</v>
      </c>
      <c r="C4430" s="65" t="s">
        <v>1181</v>
      </c>
    </row>
    <row r="4431" spans="1:3" hidden="1">
      <c r="A4431" s="65">
        <v>9006098</v>
      </c>
      <c r="B4431" s="65" t="s">
        <v>5016</v>
      </c>
      <c r="C4431" s="65" t="s">
        <v>1181</v>
      </c>
    </row>
    <row r="4432" spans="1:3" hidden="1">
      <c r="A4432" s="65">
        <v>9006099</v>
      </c>
      <c r="B4432" s="65" t="s">
        <v>5017</v>
      </c>
      <c r="C4432" s="65" t="s">
        <v>1181</v>
      </c>
    </row>
    <row r="4433" spans="1:3" hidden="1">
      <c r="A4433" s="65">
        <v>9006100</v>
      </c>
      <c r="B4433" s="65" t="s">
        <v>5018</v>
      </c>
      <c r="C4433" s="65" t="s">
        <v>1181</v>
      </c>
    </row>
    <row r="4434" spans="1:3" hidden="1">
      <c r="A4434" s="65">
        <v>9006101</v>
      </c>
      <c r="B4434" s="65" t="s">
        <v>5019</v>
      </c>
      <c r="C4434" s="65" t="s">
        <v>1181</v>
      </c>
    </row>
    <row r="4435" spans="1:3" hidden="1">
      <c r="A4435" s="65">
        <v>9006102</v>
      </c>
      <c r="B4435" s="65" t="s">
        <v>5020</v>
      </c>
      <c r="C4435" s="65" t="s">
        <v>1181</v>
      </c>
    </row>
    <row r="4436" spans="1:3" hidden="1">
      <c r="A4436" s="65">
        <v>9006103</v>
      </c>
      <c r="B4436" s="65" t="s">
        <v>5021</v>
      </c>
      <c r="C4436" s="65" t="s">
        <v>1181</v>
      </c>
    </row>
    <row r="4437" spans="1:3" hidden="1">
      <c r="A4437" s="65">
        <v>9006104</v>
      </c>
      <c r="B4437" s="65" t="s">
        <v>5022</v>
      </c>
      <c r="C4437" s="65" t="s">
        <v>1181</v>
      </c>
    </row>
    <row r="4438" spans="1:3" hidden="1">
      <c r="A4438" s="65">
        <v>9006105</v>
      </c>
      <c r="B4438" s="65" t="s">
        <v>5023</v>
      </c>
      <c r="C4438" s="65" t="s">
        <v>1181</v>
      </c>
    </row>
    <row r="4439" spans="1:3" hidden="1">
      <c r="A4439" s="65">
        <v>9006106</v>
      </c>
      <c r="B4439" s="65" t="s">
        <v>5024</v>
      </c>
      <c r="C4439" s="65" t="s">
        <v>1181</v>
      </c>
    </row>
    <row r="4440" spans="1:3" hidden="1">
      <c r="A4440" s="65">
        <v>9006107</v>
      </c>
      <c r="B4440" s="65" t="s">
        <v>5025</v>
      </c>
      <c r="C4440" s="65" t="s">
        <v>1181</v>
      </c>
    </row>
    <row r="4441" spans="1:3" hidden="1">
      <c r="A4441" s="65">
        <v>9006108</v>
      </c>
      <c r="B4441" s="65" t="s">
        <v>5026</v>
      </c>
      <c r="C4441" s="65" t="s">
        <v>1181</v>
      </c>
    </row>
    <row r="4442" spans="1:3" hidden="1">
      <c r="A4442" s="65">
        <v>9006109</v>
      </c>
      <c r="B4442" s="65" t="s">
        <v>5027</v>
      </c>
      <c r="C4442" s="65" t="s">
        <v>738</v>
      </c>
    </row>
    <row r="4443" spans="1:3" hidden="1">
      <c r="A4443" s="65">
        <v>9006110</v>
      </c>
      <c r="B4443" s="65" t="s">
        <v>5028</v>
      </c>
      <c r="C4443" s="65" t="s">
        <v>793</v>
      </c>
    </row>
    <row r="4444" spans="1:3" hidden="1">
      <c r="A4444" s="65">
        <v>9006111</v>
      </c>
      <c r="B4444" s="65" t="s">
        <v>5029</v>
      </c>
      <c r="C4444" s="65" t="s">
        <v>793</v>
      </c>
    </row>
    <row r="4445" spans="1:3" hidden="1">
      <c r="A4445" s="65">
        <v>9006112</v>
      </c>
      <c r="B4445" s="65" t="s">
        <v>5030</v>
      </c>
      <c r="C4445" s="65" t="s">
        <v>793</v>
      </c>
    </row>
    <row r="4446" spans="1:3" hidden="1">
      <c r="A4446" s="65">
        <v>9006113</v>
      </c>
      <c r="B4446" s="65" t="s">
        <v>5031</v>
      </c>
      <c r="C4446" s="65" t="s">
        <v>809</v>
      </c>
    </row>
    <row r="4447" spans="1:3" hidden="1">
      <c r="A4447" s="65">
        <v>9006114</v>
      </c>
      <c r="B4447" s="65" t="s">
        <v>5032</v>
      </c>
      <c r="C4447" s="65" t="s">
        <v>809</v>
      </c>
    </row>
    <row r="4448" spans="1:3" hidden="1">
      <c r="A4448" s="65">
        <v>9006115</v>
      </c>
      <c r="B4448" s="65" t="s">
        <v>5033</v>
      </c>
      <c r="C4448" s="65" t="s">
        <v>809</v>
      </c>
    </row>
    <row r="4449" spans="1:3" hidden="1">
      <c r="A4449" s="65">
        <v>9006116</v>
      </c>
      <c r="B4449" s="65" t="s">
        <v>5034</v>
      </c>
      <c r="C4449" s="65" t="s">
        <v>809</v>
      </c>
    </row>
    <row r="4450" spans="1:3" hidden="1">
      <c r="A4450" s="65">
        <v>9006117</v>
      </c>
      <c r="B4450" s="65" t="s">
        <v>5035</v>
      </c>
      <c r="C4450" s="65" t="s">
        <v>809</v>
      </c>
    </row>
    <row r="4451" spans="1:3" hidden="1">
      <c r="A4451" s="65">
        <v>9006118</v>
      </c>
      <c r="B4451" s="65" t="s">
        <v>5036</v>
      </c>
      <c r="C4451" s="65" t="s">
        <v>809</v>
      </c>
    </row>
    <row r="4452" spans="1:3" hidden="1">
      <c r="A4452" s="65">
        <v>9006119</v>
      </c>
      <c r="B4452" s="65" t="s">
        <v>5037</v>
      </c>
      <c r="C4452" s="65" t="s">
        <v>809</v>
      </c>
    </row>
    <row r="4453" spans="1:3" hidden="1">
      <c r="A4453" s="65">
        <v>9006120</v>
      </c>
      <c r="B4453" s="65" t="s">
        <v>5038</v>
      </c>
      <c r="C4453" s="65" t="s">
        <v>793</v>
      </c>
    </row>
    <row r="4454" spans="1:3" hidden="1">
      <c r="A4454" s="65">
        <v>9006121</v>
      </c>
      <c r="B4454" s="65" t="s">
        <v>5039</v>
      </c>
      <c r="C4454" s="65" t="s">
        <v>793</v>
      </c>
    </row>
    <row r="4455" spans="1:3" hidden="1">
      <c r="A4455" s="65">
        <v>9006122</v>
      </c>
      <c r="B4455" s="65" t="s">
        <v>5040</v>
      </c>
      <c r="C4455" s="65" t="s">
        <v>793</v>
      </c>
    </row>
    <row r="4456" spans="1:3" hidden="1">
      <c r="A4456" s="65">
        <v>9006123</v>
      </c>
      <c r="B4456" s="65" t="s">
        <v>5041</v>
      </c>
      <c r="C4456" s="65" t="s">
        <v>664</v>
      </c>
    </row>
    <row r="4457" spans="1:3" hidden="1">
      <c r="A4457" s="65">
        <v>9006124</v>
      </c>
      <c r="B4457" s="65" t="s">
        <v>5042</v>
      </c>
      <c r="C4457" s="65" t="s">
        <v>779</v>
      </c>
    </row>
    <row r="4458" spans="1:3" hidden="1">
      <c r="A4458" s="65">
        <v>9006125</v>
      </c>
      <c r="B4458" s="65" t="s">
        <v>5043</v>
      </c>
      <c r="C4458" s="65" t="s">
        <v>793</v>
      </c>
    </row>
    <row r="4459" spans="1:3" hidden="1">
      <c r="A4459" s="65">
        <v>9006126</v>
      </c>
      <c r="B4459" s="65" t="s">
        <v>5044</v>
      </c>
      <c r="C4459" s="65" t="s">
        <v>793</v>
      </c>
    </row>
    <row r="4460" spans="1:3" hidden="1">
      <c r="A4460" s="65">
        <v>9006127</v>
      </c>
      <c r="B4460" s="65" t="s">
        <v>5045</v>
      </c>
      <c r="C4460" s="65" t="s">
        <v>1181</v>
      </c>
    </row>
    <row r="4461" spans="1:3" hidden="1">
      <c r="A4461" s="65">
        <v>9006128</v>
      </c>
      <c r="B4461" s="65" t="s">
        <v>5046</v>
      </c>
      <c r="C4461" s="65" t="s">
        <v>793</v>
      </c>
    </row>
    <row r="4462" spans="1:3" hidden="1">
      <c r="A4462" s="65">
        <v>9006129</v>
      </c>
      <c r="B4462" s="65" t="s">
        <v>5047</v>
      </c>
      <c r="C4462" s="65" t="s">
        <v>1181</v>
      </c>
    </row>
    <row r="4463" spans="1:3" hidden="1">
      <c r="A4463" s="65">
        <v>9006130</v>
      </c>
      <c r="B4463" s="65" t="s">
        <v>5048</v>
      </c>
      <c r="C4463" s="65" t="s">
        <v>1181</v>
      </c>
    </row>
    <row r="4464" spans="1:3" hidden="1">
      <c r="A4464" s="65">
        <v>9006131</v>
      </c>
      <c r="B4464" s="65" t="s">
        <v>5049</v>
      </c>
      <c r="C4464" s="65" t="s">
        <v>1181</v>
      </c>
    </row>
    <row r="4465" spans="1:3" hidden="1">
      <c r="A4465" s="65">
        <v>9006132</v>
      </c>
      <c r="B4465" s="65" t="s">
        <v>5050</v>
      </c>
      <c r="C4465" s="65" t="s">
        <v>793</v>
      </c>
    </row>
    <row r="4466" spans="1:3" hidden="1">
      <c r="A4466" s="65">
        <v>9006133</v>
      </c>
      <c r="B4466" s="65" t="s">
        <v>5051</v>
      </c>
      <c r="C4466" s="65" t="s">
        <v>793</v>
      </c>
    </row>
    <row r="4467" spans="1:3" hidden="1">
      <c r="A4467" s="65">
        <v>9006134</v>
      </c>
      <c r="B4467" s="65" t="s">
        <v>5052</v>
      </c>
      <c r="C4467" s="65" t="s">
        <v>793</v>
      </c>
    </row>
    <row r="4468" spans="1:3" hidden="1">
      <c r="A4468" s="65">
        <v>9006135</v>
      </c>
      <c r="B4468" s="65" t="s">
        <v>5053</v>
      </c>
      <c r="C4468" s="65" t="s">
        <v>793</v>
      </c>
    </row>
    <row r="4469" spans="1:3" hidden="1">
      <c r="A4469" s="65">
        <v>9006136</v>
      </c>
      <c r="B4469" s="65" t="s">
        <v>5054</v>
      </c>
      <c r="C4469" s="65" t="s">
        <v>793</v>
      </c>
    </row>
    <row r="4470" spans="1:3" hidden="1">
      <c r="A4470" s="65">
        <v>9006137</v>
      </c>
      <c r="B4470" s="65" t="s">
        <v>5055</v>
      </c>
      <c r="C4470" s="65" t="s">
        <v>793</v>
      </c>
    </row>
    <row r="4471" spans="1:3" hidden="1">
      <c r="A4471" s="65">
        <v>9006138</v>
      </c>
      <c r="B4471" s="65" t="s">
        <v>5056</v>
      </c>
      <c r="C4471" s="65" t="s">
        <v>793</v>
      </c>
    </row>
    <row r="4472" spans="1:3" hidden="1">
      <c r="A4472" s="65">
        <v>9006139</v>
      </c>
      <c r="B4472" s="65" t="s">
        <v>5057</v>
      </c>
      <c r="C4472" s="65" t="s">
        <v>793</v>
      </c>
    </row>
    <row r="4473" spans="1:3" hidden="1">
      <c r="A4473" s="65">
        <v>9006140</v>
      </c>
      <c r="B4473" s="65" t="s">
        <v>5058</v>
      </c>
      <c r="C4473" s="65" t="s">
        <v>793</v>
      </c>
    </row>
    <row r="4474" spans="1:3" hidden="1">
      <c r="A4474" s="65">
        <v>9006141</v>
      </c>
      <c r="B4474" s="65" t="s">
        <v>5059</v>
      </c>
      <c r="C4474" s="65" t="s">
        <v>793</v>
      </c>
    </row>
    <row r="4475" spans="1:3" hidden="1">
      <c r="A4475" s="65">
        <v>9006142</v>
      </c>
      <c r="B4475" s="65" t="s">
        <v>5060</v>
      </c>
      <c r="C4475" s="65" t="s">
        <v>793</v>
      </c>
    </row>
    <row r="4476" spans="1:3" hidden="1">
      <c r="A4476" s="65">
        <v>9006143</v>
      </c>
      <c r="B4476" s="65" t="s">
        <v>5061</v>
      </c>
      <c r="C4476" s="65" t="s">
        <v>793</v>
      </c>
    </row>
    <row r="4477" spans="1:3" hidden="1">
      <c r="A4477" s="65">
        <v>9006144</v>
      </c>
      <c r="B4477" s="65" t="s">
        <v>5062</v>
      </c>
      <c r="C4477" s="65" t="s">
        <v>793</v>
      </c>
    </row>
    <row r="4478" spans="1:3" hidden="1">
      <c r="A4478" s="65">
        <v>9006145</v>
      </c>
      <c r="B4478" s="65" t="s">
        <v>5063</v>
      </c>
      <c r="C4478" s="65" t="s">
        <v>793</v>
      </c>
    </row>
    <row r="4479" spans="1:3" hidden="1">
      <c r="A4479" s="65">
        <v>9006146</v>
      </c>
      <c r="B4479" s="65" t="s">
        <v>5064</v>
      </c>
      <c r="C4479" s="65" t="s">
        <v>793</v>
      </c>
    </row>
    <row r="4480" spans="1:3" hidden="1">
      <c r="A4480" s="65">
        <v>9006147</v>
      </c>
      <c r="B4480" s="65" t="s">
        <v>5065</v>
      </c>
      <c r="C4480" s="65" t="s">
        <v>1101</v>
      </c>
    </row>
    <row r="4481" spans="1:3" hidden="1">
      <c r="A4481" s="65">
        <v>9006148</v>
      </c>
      <c r="B4481" s="65" t="s">
        <v>5066</v>
      </c>
      <c r="C4481" s="65" t="s">
        <v>695</v>
      </c>
    </row>
    <row r="4482" spans="1:3" hidden="1">
      <c r="A4482" s="65">
        <v>9006149</v>
      </c>
      <c r="B4482" s="65" t="s">
        <v>5067</v>
      </c>
      <c r="C4482" s="65" t="s">
        <v>5068</v>
      </c>
    </row>
    <row r="4483" spans="1:3" hidden="1">
      <c r="A4483" s="65">
        <v>9006150</v>
      </c>
      <c r="B4483" s="65" t="s">
        <v>5069</v>
      </c>
      <c r="C4483" s="65" t="s">
        <v>738</v>
      </c>
    </row>
    <row r="4484" spans="1:3" hidden="1">
      <c r="A4484" s="65">
        <v>9006151</v>
      </c>
      <c r="B4484" s="65" t="s">
        <v>5070</v>
      </c>
      <c r="C4484" s="65" t="s">
        <v>1101</v>
      </c>
    </row>
    <row r="4485" spans="1:3" hidden="1">
      <c r="A4485" s="65">
        <v>9006152</v>
      </c>
      <c r="B4485" s="65" t="s">
        <v>5071</v>
      </c>
      <c r="C4485" s="65" t="s">
        <v>793</v>
      </c>
    </row>
    <row r="4486" spans="1:3" hidden="1">
      <c r="A4486" s="65">
        <v>9006153</v>
      </c>
      <c r="B4486" s="65" t="s">
        <v>5072</v>
      </c>
      <c r="C4486" s="65" t="s">
        <v>793</v>
      </c>
    </row>
    <row r="4487" spans="1:3" hidden="1">
      <c r="A4487" s="65">
        <v>9006154</v>
      </c>
      <c r="B4487" s="65" t="s">
        <v>5073</v>
      </c>
      <c r="C4487" s="65" t="s">
        <v>793</v>
      </c>
    </row>
    <row r="4488" spans="1:3" hidden="1">
      <c r="A4488" s="65">
        <v>9006155</v>
      </c>
      <c r="B4488" s="65" t="s">
        <v>5074</v>
      </c>
      <c r="C4488" s="65" t="s">
        <v>809</v>
      </c>
    </row>
    <row r="4489" spans="1:3" hidden="1">
      <c r="A4489" s="65">
        <v>9006156</v>
      </c>
      <c r="B4489" s="65" t="s">
        <v>5075</v>
      </c>
      <c r="C4489" s="65" t="s">
        <v>809</v>
      </c>
    </row>
    <row r="4490" spans="1:3" hidden="1">
      <c r="A4490" s="65">
        <v>9006157</v>
      </c>
      <c r="B4490" s="65" t="s">
        <v>5076</v>
      </c>
      <c r="C4490" s="65" t="s">
        <v>809</v>
      </c>
    </row>
    <row r="4491" spans="1:3" hidden="1">
      <c r="A4491" s="65">
        <v>9006158</v>
      </c>
      <c r="B4491" s="65" t="s">
        <v>5077</v>
      </c>
      <c r="C4491" s="65" t="s">
        <v>809</v>
      </c>
    </row>
    <row r="4492" spans="1:3" hidden="1">
      <c r="A4492" s="65">
        <v>9006159</v>
      </c>
      <c r="B4492" s="65" t="s">
        <v>5078</v>
      </c>
      <c r="C4492" s="65" t="s">
        <v>809</v>
      </c>
    </row>
    <row r="4493" spans="1:3" hidden="1">
      <c r="A4493" s="65">
        <v>9006160</v>
      </c>
      <c r="B4493" s="65" t="s">
        <v>5079</v>
      </c>
      <c r="C4493" s="65" t="s">
        <v>809</v>
      </c>
    </row>
    <row r="4494" spans="1:3" hidden="1">
      <c r="A4494" s="65">
        <v>9006161</v>
      </c>
      <c r="B4494" s="65" t="s">
        <v>5080</v>
      </c>
      <c r="C4494" s="65" t="s">
        <v>809</v>
      </c>
    </row>
    <row r="4495" spans="1:3" hidden="1">
      <c r="A4495" s="65">
        <v>9006162</v>
      </c>
      <c r="B4495" s="65" t="s">
        <v>5081</v>
      </c>
      <c r="C4495" s="65" t="s">
        <v>809</v>
      </c>
    </row>
    <row r="4496" spans="1:3" hidden="1">
      <c r="A4496" s="65">
        <v>9006163</v>
      </c>
      <c r="B4496" s="65" t="s">
        <v>5082</v>
      </c>
      <c r="C4496" s="65" t="s">
        <v>809</v>
      </c>
    </row>
    <row r="4497" spans="1:3" hidden="1">
      <c r="A4497" s="65">
        <v>9006164</v>
      </c>
      <c r="B4497" s="65" t="s">
        <v>5083</v>
      </c>
      <c r="C4497" s="65" t="s">
        <v>809</v>
      </c>
    </row>
    <row r="4498" spans="1:3" hidden="1">
      <c r="A4498" s="65">
        <v>9006165</v>
      </c>
      <c r="B4498" s="65" t="s">
        <v>5084</v>
      </c>
      <c r="C4498" s="65" t="s">
        <v>809</v>
      </c>
    </row>
    <row r="4499" spans="1:3" hidden="1">
      <c r="A4499" s="65">
        <v>9006166</v>
      </c>
      <c r="B4499" s="65" t="s">
        <v>5085</v>
      </c>
      <c r="C4499" s="65" t="s">
        <v>809</v>
      </c>
    </row>
    <row r="4500" spans="1:3" hidden="1">
      <c r="A4500" s="65">
        <v>9006167</v>
      </c>
      <c r="B4500" s="65" t="s">
        <v>5086</v>
      </c>
      <c r="C4500" s="65" t="s">
        <v>809</v>
      </c>
    </row>
    <row r="4501" spans="1:3" hidden="1">
      <c r="A4501" s="65">
        <v>9006168</v>
      </c>
      <c r="B4501" s="65" t="s">
        <v>5087</v>
      </c>
      <c r="C4501" s="65" t="s">
        <v>809</v>
      </c>
    </row>
    <row r="4502" spans="1:3" hidden="1">
      <c r="A4502" s="65">
        <v>9006169</v>
      </c>
      <c r="B4502" s="65" t="s">
        <v>5088</v>
      </c>
      <c r="C4502" s="65" t="s">
        <v>809</v>
      </c>
    </row>
    <row r="4503" spans="1:3" hidden="1">
      <c r="A4503" s="65">
        <v>9006170</v>
      </c>
      <c r="B4503" s="65" t="s">
        <v>5089</v>
      </c>
      <c r="C4503" s="65" t="s">
        <v>809</v>
      </c>
    </row>
    <row r="4504" spans="1:3" hidden="1">
      <c r="A4504" s="65">
        <v>9006171</v>
      </c>
      <c r="B4504" s="65" t="s">
        <v>5090</v>
      </c>
      <c r="C4504" s="65" t="s">
        <v>793</v>
      </c>
    </row>
    <row r="4505" spans="1:3" hidden="1">
      <c r="A4505" s="65">
        <v>9006172</v>
      </c>
      <c r="B4505" s="65" t="s">
        <v>5091</v>
      </c>
      <c r="C4505" s="65" t="s">
        <v>793</v>
      </c>
    </row>
    <row r="4506" spans="1:3" hidden="1">
      <c r="A4506" s="65">
        <v>9006173</v>
      </c>
      <c r="B4506" s="65" t="s">
        <v>5092</v>
      </c>
      <c r="C4506" s="65" t="s">
        <v>809</v>
      </c>
    </row>
    <row r="4507" spans="1:3" hidden="1">
      <c r="A4507" s="65">
        <v>9006174</v>
      </c>
      <c r="B4507" s="65" t="s">
        <v>5093</v>
      </c>
      <c r="C4507" s="65" t="s">
        <v>793</v>
      </c>
    </row>
    <row r="4508" spans="1:3" hidden="1">
      <c r="A4508" s="65">
        <v>9006175</v>
      </c>
      <c r="B4508" s="65" t="s">
        <v>5094</v>
      </c>
      <c r="C4508" s="65" t="s">
        <v>793</v>
      </c>
    </row>
    <row r="4509" spans="1:3" hidden="1">
      <c r="A4509" s="65">
        <v>9006176</v>
      </c>
      <c r="B4509" s="65" t="s">
        <v>5095</v>
      </c>
      <c r="C4509" s="65" t="s">
        <v>793</v>
      </c>
    </row>
    <row r="4510" spans="1:3" hidden="1">
      <c r="A4510" s="65">
        <v>9006177</v>
      </c>
      <c r="B4510" s="65" t="s">
        <v>5096</v>
      </c>
      <c r="C4510" s="65" t="s">
        <v>793</v>
      </c>
    </row>
    <row r="4511" spans="1:3" hidden="1">
      <c r="A4511" s="65">
        <v>9006178</v>
      </c>
      <c r="B4511" s="65" t="s">
        <v>5097</v>
      </c>
      <c r="C4511" s="65" t="s">
        <v>809</v>
      </c>
    </row>
    <row r="4512" spans="1:3" hidden="1">
      <c r="A4512" s="65">
        <v>9006179</v>
      </c>
      <c r="B4512" s="65" t="s">
        <v>5098</v>
      </c>
      <c r="C4512" s="65" t="s">
        <v>809</v>
      </c>
    </row>
    <row r="4513" spans="1:3" hidden="1">
      <c r="A4513" s="65">
        <v>9006180</v>
      </c>
      <c r="B4513" s="65" t="s">
        <v>5099</v>
      </c>
      <c r="C4513" s="65" t="s">
        <v>809</v>
      </c>
    </row>
    <row r="4514" spans="1:3" hidden="1">
      <c r="A4514" s="65">
        <v>9006181</v>
      </c>
      <c r="B4514" s="65" t="s">
        <v>5100</v>
      </c>
      <c r="C4514" s="65" t="s">
        <v>775</v>
      </c>
    </row>
    <row r="4515" spans="1:3" hidden="1">
      <c r="A4515" s="65">
        <v>9006182</v>
      </c>
      <c r="B4515" s="65" t="s">
        <v>5101</v>
      </c>
      <c r="C4515" s="65" t="s">
        <v>775</v>
      </c>
    </row>
    <row r="4516" spans="1:3" hidden="1">
      <c r="A4516" s="65">
        <v>9006183</v>
      </c>
      <c r="B4516" s="65" t="s">
        <v>5102</v>
      </c>
      <c r="C4516" s="65" t="s">
        <v>4895</v>
      </c>
    </row>
    <row r="4517" spans="1:3" hidden="1">
      <c r="A4517" s="65">
        <v>9006184</v>
      </c>
      <c r="B4517" s="65" t="s">
        <v>5103</v>
      </c>
      <c r="C4517" s="65" t="s">
        <v>793</v>
      </c>
    </row>
    <row r="4518" spans="1:3" hidden="1">
      <c r="A4518" s="65">
        <v>9006185</v>
      </c>
      <c r="B4518" s="65" t="s">
        <v>5104</v>
      </c>
      <c r="C4518" s="65" t="s">
        <v>4895</v>
      </c>
    </row>
    <row r="4519" spans="1:3" hidden="1">
      <c r="A4519" s="65">
        <v>9006186</v>
      </c>
      <c r="B4519" s="65" t="s">
        <v>5105</v>
      </c>
      <c r="C4519" s="65" t="s">
        <v>793</v>
      </c>
    </row>
    <row r="4520" spans="1:3" hidden="1">
      <c r="A4520" s="65">
        <v>9006187</v>
      </c>
      <c r="B4520" s="65" t="s">
        <v>5106</v>
      </c>
      <c r="C4520" s="65" t="s">
        <v>793</v>
      </c>
    </row>
    <row r="4521" spans="1:3" hidden="1">
      <c r="A4521" s="65">
        <v>9006188</v>
      </c>
      <c r="B4521" s="65" t="s">
        <v>5107</v>
      </c>
      <c r="C4521" s="65" t="s">
        <v>793</v>
      </c>
    </row>
    <row r="4522" spans="1:3" hidden="1">
      <c r="A4522" s="65">
        <v>9006189</v>
      </c>
      <c r="B4522" s="65" t="s">
        <v>5108</v>
      </c>
      <c r="C4522" s="65" t="s">
        <v>793</v>
      </c>
    </row>
    <row r="4523" spans="1:3" hidden="1">
      <c r="A4523" s="65">
        <v>9006190</v>
      </c>
      <c r="B4523" s="65" t="s">
        <v>5109</v>
      </c>
      <c r="C4523" s="65" t="s">
        <v>793</v>
      </c>
    </row>
    <row r="4524" spans="1:3" hidden="1">
      <c r="A4524" s="65">
        <v>9006191</v>
      </c>
      <c r="B4524" s="65" t="s">
        <v>5110</v>
      </c>
      <c r="C4524" s="65" t="s">
        <v>793</v>
      </c>
    </row>
    <row r="4525" spans="1:3" hidden="1">
      <c r="A4525" s="65">
        <v>9006192</v>
      </c>
      <c r="B4525" s="65" t="s">
        <v>5111</v>
      </c>
      <c r="C4525" s="65" t="s">
        <v>664</v>
      </c>
    </row>
    <row r="4526" spans="1:3" hidden="1">
      <c r="A4526" s="65">
        <v>9006193</v>
      </c>
      <c r="B4526" s="65" t="s">
        <v>5112</v>
      </c>
      <c r="C4526" s="65" t="s">
        <v>793</v>
      </c>
    </row>
    <row r="4527" spans="1:3" hidden="1">
      <c r="A4527" s="65">
        <v>9006194</v>
      </c>
      <c r="B4527" s="65" t="s">
        <v>5113</v>
      </c>
      <c r="C4527" s="65" t="s">
        <v>793</v>
      </c>
    </row>
    <row r="4528" spans="1:3" hidden="1">
      <c r="A4528" s="65">
        <v>9006195</v>
      </c>
      <c r="B4528" s="65" t="s">
        <v>5114</v>
      </c>
      <c r="C4528" s="65" t="s">
        <v>793</v>
      </c>
    </row>
    <row r="4529" spans="1:3" hidden="1">
      <c r="A4529" s="65">
        <v>9006196</v>
      </c>
      <c r="B4529" s="65" t="s">
        <v>5115</v>
      </c>
      <c r="C4529" s="65" t="s">
        <v>793</v>
      </c>
    </row>
    <row r="4530" spans="1:3" hidden="1">
      <c r="A4530" s="65">
        <v>9006197</v>
      </c>
      <c r="B4530" s="65" t="s">
        <v>5116</v>
      </c>
      <c r="C4530" s="65" t="s">
        <v>793</v>
      </c>
    </row>
    <row r="4531" spans="1:3" hidden="1">
      <c r="A4531" s="65">
        <v>9006198</v>
      </c>
      <c r="B4531" s="65" t="s">
        <v>5117</v>
      </c>
      <c r="C4531" s="65" t="s">
        <v>793</v>
      </c>
    </row>
    <row r="4532" spans="1:3" hidden="1">
      <c r="A4532" s="65">
        <v>9006199</v>
      </c>
      <c r="B4532" s="65" t="s">
        <v>5118</v>
      </c>
      <c r="C4532" s="65" t="s">
        <v>793</v>
      </c>
    </row>
    <row r="4533" spans="1:3" hidden="1">
      <c r="A4533" s="65">
        <v>9006200</v>
      </c>
      <c r="B4533" s="65" t="s">
        <v>5119</v>
      </c>
      <c r="C4533" s="65" t="s">
        <v>793</v>
      </c>
    </row>
    <row r="4534" spans="1:3" hidden="1">
      <c r="A4534" s="65">
        <v>9006201</v>
      </c>
      <c r="B4534" s="65" t="s">
        <v>5120</v>
      </c>
      <c r="C4534" s="65" t="s">
        <v>793</v>
      </c>
    </row>
    <row r="4535" spans="1:3" hidden="1">
      <c r="A4535" s="65">
        <v>9006202</v>
      </c>
      <c r="B4535" s="65" t="s">
        <v>5121</v>
      </c>
      <c r="C4535" s="65" t="s">
        <v>793</v>
      </c>
    </row>
    <row r="4536" spans="1:3" hidden="1">
      <c r="A4536" s="65">
        <v>9006203</v>
      </c>
      <c r="B4536" s="65" t="s">
        <v>5122</v>
      </c>
      <c r="C4536" s="65" t="s">
        <v>793</v>
      </c>
    </row>
    <row r="4537" spans="1:3" hidden="1">
      <c r="A4537" s="65">
        <v>9006204</v>
      </c>
      <c r="B4537" s="65" t="s">
        <v>5123</v>
      </c>
      <c r="C4537" s="65" t="s">
        <v>793</v>
      </c>
    </row>
    <row r="4538" spans="1:3" hidden="1">
      <c r="A4538" s="65">
        <v>9006205</v>
      </c>
      <c r="B4538" s="65" t="s">
        <v>5124</v>
      </c>
      <c r="C4538" s="65" t="s">
        <v>793</v>
      </c>
    </row>
    <row r="4539" spans="1:3" hidden="1">
      <c r="A4539" s="65">
        <v>9006206</v>
      </c>
      <c r="B4539" s="65" t="s">
        <v>5125</v>
      </c>
      <c r="C4539" s="65" t="s">
        <v>738</v>
      </c>
    </row>
    <row r="4540" spans="1:3" hidden="1">
      <c r="A4540" s="65">
        <v>9006207</v>
      </c>
      <c r="B4540" s="65" t="s">
        <v>5126</v>
      </c>
      <c r="C4540" s="65" t="s">
        <v>793</v>
      </c>
    </row>
    <row r="4541" spans="1:3" hidden="1">
      <c r="A4541" s="65">
        <v>9006208</v>
      </c>
      <c r="B4541" s="65" t="s">
        <v>5127</v>
      </c>
      <c r="C4541" s="65" t="s">
        <v>793</v>
      </c>
    </row>
    <row r="4542" spans="1:3" hidden="1">
      <c r="A4542" s="65">
        <v>9006209</v>
      </c>
      <c r="B4542" s="65" t="s">
        <v>5128</v>
      </c>
      <c r="C4542" s="65" t="s">
        <v>793</v>
      </c>
    </row>
    <row r="4543" spans="1:3" hidden="1">
      <c r="A4543" s="65">
        <v>9006210</v>
      </c>
      <c r="B4543" s="65" t="s">
        <v>5129</v>
      </c>
      <c r="C4543" s="65" t="s">
        <v>793</v>
      </c>
    </row>
    <row r="4544" spans="1:3" hidden="1">
      <c r="A4544" s="65">
        <v>9006211</v>
      </c>
      <c r="B4544" s="65" t="s">
        <v>5130</v>
      </c>
      <c r="C4544" s="65" t="s">
        <v>793</v>
      </c>
    </row>
    <row r="4545" spans="1:3" hidden="1">
      <c r="A4545" s="65">
        <v>9006212</v>
      </c>
      <c r="B4545" s="65" t="s">
        <v>5131</v>
      </c>
      <c r="C4545" s="65" t="s">
        <v>793</v>
      </c>
    </row>
    <row r="4546" spans="1:3" hidden="1">
      <c r="A4546" s="65">
        <v>9006213</v>
      </c>
      <c r="B4546" s="65" t="s">
        <v>5132</v>
      </c>
      <c r="C4546" s="65" t="s">
        <v>793</v>
      </c>
    </row>
    <row r="4547" spans="1:3" hidden="1">
      <c r="A4547" s="65">
        <v>9006214</v>
      </c>
      <c r="B4547" s="65" t="s">
        <v>5133</v>
      </c>
      <c r="C4547" s="65" t="s">
        <v>793</v>
      </c>
    </row>
    <row r="4548" spans="1:3" hidden="1">
      <c r="A4548" s="65">
        <v>9006215</v>
      </c>
      <c r="B4548" s="65" t="s">
        <v>5134</v>
      </c>
      <c r="C4548" s="65" t="s">
        <v>793</v>
      </c>
    </row>
    <row r="4549" spans="1:3" hidden="1">
      <c r="A4549" s="65">
        <v>9006216</v>
      </c>
      <c r="B4549" s="65" t="s">
        <v>5135</v>
      </c>
      <c r="C4549" s="65" t="s">
        <v>793</v>
      </c>
    </row>
    <row r="4550" spans="1:3" hidden="1">
      <c r="A4550" s="65">
        <v>9006217</v>
      </c>
      <c r="B4550" s="65" t="s">
        <v>5136</v>
      </c>
      <c r="C4550" s="65" t="s">
        <v>793</v>
      </c>
    </row>
    <row r="4551" spans="1:3" hidden="1">
      <c r="A4551" s="65">
        <v>9006218</v>
      </c>
      <c r="B4551" s="65" t="s">
        <v>5137</v>
      </c>
      <c r="C4551" s="65" t="s">
        <v>793</v>
      </c>
    </row>
    <row r="4552" spans="1:3" hidden="1">
      <c r="A4552" s="65">
        <v>9006219</v>
      </c>
      <c r="B4552" s="65" t="s">
        <v>5138</v>
      </c>
      <c r="C4552" s="65" t="s">
        <v>793</v>
      </c>
    </row>
    <row r="4553" spans="1:3" hidden="1">
      <c r="A4553" s="65">
        <v>9006220</v>
      </c>
      <c r="B4553" s="65" t="s">
        <v>5139</v>
      </c>
      <c r="C4553" s="65" t="s">
        <v>809</v>
      </c>
    </row>
    <row r="4554" spans="1:3" hidden="1">
      <c r="A4554" s="65">
        <v>9006221</v>
      </c>
      <c r="B4554" s="65" t="s">
        <v>5140</v>
      </c>
      <c r="C4554" s="65" t="s">
        <v>809</v>
      </c>
    </row>
    <row r="4555" spans="1:3" hidden="1">
      <c r="A4555" s="65">
        <v>9006222</v>
      </c>
      <c r="B4555" s="65" t="s">
        <v>5141</v>
      </c>
      <c r="C4555" s="65" t="s">
        <v>809</v>
      </c>
    </row>
    <row r="4556" spans="1:3" hidden="1">
      <c r="A4556" s="65">
        <v>9006223</v>
      </c>
      <c r="B4556" s="65" t="s">
        <v>5142</v>
      </c>
      <c r="C4556" s="65" t="s">
        <v>809</v>
      </c>
    </row>
    <row r="4557" spans="1:3" hidden="1">
      <c r="A4557" s="65">
        <v>9006224</v>
      </c>
      <c r="B4557" s="65" t="s">
        <v>5143</v>
      </c>
      <c r="C4557" s="65" t="s">
        <v>809</v>
      </c>
    </row>
    <row r="4558" spans="1:3" hidden="1">
      <c r="A4558" s="65">
        <v>9006225</v>
      </c>
      <c r="B4558" s="65" t="s">
        <v>5144</v>
      </c>
      <c r="C4558" s="65" t="s">
        <v>809</v>
      </c>
    </row>
    <row r="4559" spans="1:3" hidden="1">
      <c r="A4559" s="65">
        <v>9006226</v>
      </c>
      <c r="B4559" s="65" t="s">
        <v>5145</v>
      </c>
      <c r="C4559" s="65" t="s">
        <v>809</v>
      </c>
    </row>
    <row r="4560" spans="1:3" hidden="1">
      <c r="A4560" s="65">
        <v>9006227</v>
      </c>
      <c r="B4560" s="65" t="s">
        <v>5146</v>
      </c>
      <c r="C4560" s="65" t="s">
        <v>809</v>
      </c>
    </row>
    <row r="4561" spans="1:3" hidden="1">
      <c r="A4561" s="65">
        <v>9006228</v>
      </c>
      <c r="B4561" s="65" t="s">
        <v>5147</v>
      </c>
      <c r="C4561" s="65" t="s">
        <v>809</v>
      </c>
    </row>
    <row r="4562" spans="1:3" hidden="1">
      <c r="A4562" s="65">
        <v>9006229</v>
      </c>
      <c r="B4562" s="65" t="s">
        <v>5148</v>
      </c>
      <c r="C4562" s="65" t="s">
        <v>809</v>
      </c>
    </row>
    <row r="4563" spans="1:3" hidden="1">
      <c r="A4563" s="65">
        <v>9006230</v>
      </c>
      <c r="B4563" s="65" t="s">
        <v>5149</v>
      </c>
      <c r="C4563" s="65" t="s">
        <v>793</v>
      </c>
    </row>
    <row r="4564" spans="1:3" hidden="1">
      <c r="A4564" s="65">
        <v>9006231</v>
      </c>
      <c r="B4564" s="65" t="s">
        <v>5150</v>
      </c>
      <c r="C4564" s="65" t="s">
        <v>793</v>
      </c>
    </row>
    <row r="4565" spans="1:3" hidden="1">
      <c r="A4565" s="65">
        <v>9006232</v>
      </c>
      <c r="B4565" s="65" t="s">
        <v>5151</v>
      </c>
      <c r="C4565" s="65" t="s">
        <v>793</v>
      </c>
    </row>
    <row r="4566" spans="1:3" hidden="1">
      <c r="A4566" s="65">
        <v>9006233</v>
      </c>
      <c r="B4566" s="65" t="s">
        <v>5152</v>
      </c>
      <c r="C4566" s="65" t="s">
        <v>809</v>
      </c>
    </row>
    <row r="4567" spans="1:3" hidden="1">
      <c r="A4567" s="65">
        <v>9006234</v>
      </c>
      <c r="B4567" s="65" t="s">
        <v>5153</v>
      </c>
      <c r="C4567" s="65" t="s">
        <v>809</v>
      </c>
    </row>
    <row r="4568" spans="1:3" hidden="1">
      <c r="A4568" s="65">
        <v>9006235</v>
      </c>
      <c r="B4568" s="65" t="s">
        <v>5154</v>
      </c>
      <c r="C4568" s="65" t="s">
        <v>809</v>
      </c>
    </row>
    <row r="4569" spans="1:3" hidden="1">
      <c r="A4569" s="65">
        <v>9006236</v>
      </c>
      <c r="B4569" s="65" t="s">
        <v>5155</v>
      </c>
      <c r="C4569" s="65" t="s">
        <v>809</v>
      </c>
    </row>
    <row r="4570" spans="1:3" hidden="1">
      <c r="A4570" s="65">
        <v>9006237</v>
      </c>
      <c r="B4570" s="65" t="s">
        <v>5156</v>
      </c>
      <c r="C4570" s="65" t="s">
        <v>809</v>
      </c>
    </row>
    <row r="4571" spans="1:3" hidden="1">
      <c r="A4571" s="65">
        <v>9006238</v>
      </c>
      <c r="B4571" s="65" t="s">
        <v>5157</v>
      </c>
      <c r="C4571" s="65" t="s">
        <v>793</v>
      </c>
    </row>
    <row r="4572" spans="1:3" hidden="1">
      <c r="A4572" s="65">
        <v>9006239</v>
      </c>
      <c r="B4572" s="65" t="s">
        <v>5158</v>
      </c>
      <c r="C4572" s="65" t="s">
        <v>793</v>
      </c>
    </row>
    <row r="4573" spans="1:3" hidden="1">
      <c r="A4573" s="65">
        <v>9006240</v>
      </c>
      <c r="B4573" s="65" t="s">
        <v>5159</v>
      </c>
      <c r="C4573" s="65" t="s">
        <v>793</v>
      </c>
    </row>
    <row r="4574" spans="1:3" hidden="1">
      <c r="A4574" s="65">
        <v>9006241</v>
      </c>
      <c r="B4574" s="65" t="s">
        <v>5160</v>
      </c>
      <c r="C4574" s="65" t="s">
        <v>809</v>
      </c>
    </row>
    <row r="4575" spans="1:3" hidden="1">
      <c r="A4575" s="65">
        <v>9006242</v>
      </c>
      <c r="B4575" s="65" t="s">
        <v>5161</v>
      </c>
      <c r="C4575" s="65" t="s">
        <v>809</v>
      </c>
    </row>
    <row r="4576" spans="1:3" hidden="1">
      <c r="A4576" s="65">
        <v>9006243</v>
      </c>
      <c r="B4576" s="65" t="s">
        <v>5162</v>
      </c>
      <c r="C4576" s="65" t="s">
        <v>809</v>
      </c>
    </row>
    <row r="4577" spans="1:3" hidden="1">
      <c r="A4577" s="65">
        <v>9006244</v>
      </c>
      <c r="B4577" s="65" t="s">
        <v>5163</v>
      </c>
      <c r="C4577" s="65" t="s">
        <v>809</v>
      </c>
    </row>
    <row r="4578" spans="1:3" hidden="1">
      <c r="A4578" s="65">
        <v>9006245</v>
      </c>
      <c r="B4578" s="65" t="s">
        <v>5164</v>
      </c>
      <c r="C4578" s="65" t="s">
        <v>809</v>
      </c>
    </row>
    <row r="4579" spans="1:3" hidden="1">
      <c r="A4579" s="65">
        <v>9006246</v>
      </c>
      <c r="B4579" s="65" t="s">
        <v>5165</v>
      </c>
      <c r="C4579" s="65" t="s">
        <v>809</v>
      </c>
    </row>
    <row r="4580" spans="1:3" hidden="1">
      <c r="A4580" s="65">
        <v>9006247</v>
      </c>
      <c r="B4580" s="65" t="s">
        <v>5166</v>
      </c>
      <c r="C4580" s="65" t="s">
        <v>809</v>
      </c>
    </row>
    <row r="4581" spans="1:3" hidden="1">
      <c r="A4581" s="65">
        <v>9006248</v>
      </c>
      <c r="B4581" s="65" t="s">
        <v>5167</v>
      </c>
      <c r="C4581" s="65" t="s">
        <v>809</v>
      </c>
    </row>
    <row r="4582" spans="1:3" hidden="1">
      <c r="A4582" s="65">
        <v>9006249</v>
      </c>
      <c r="B4582" s="65" t="s">
        <v>5168</v>
      </c>
      <c r="C4582" s="65" t="s">
        <v>809</v>
      </c>
    </row>
    <row r="4583" spans="1:3" hidden="1">
      <c r="A4583" s="65">
        <v>9006250</v>
      </c>
      <c r="B4583" s="65" t="s">
        <v>5169</v>
      </c>
      <c r="C4583" s="65" t="s">
        <v>793</v>
      </c>
    </row>
    <row r="4584" spans="1:3" hidden="1">
      <c r="A4584" s="65">
        <v>9006251</v>
      </c>
      <c r="B4584" s="65" t="s">
        <v>5170</v>
      </c>
      <c r="C4584" s="65" t="s">
        <v>793</v>
      </c>
    </row>
    <row r="4585" spans="1:3" hidden="1">
      <c r="A4585" s="65">
        <v>9006252</v>
      </c>
      <c r="B4585" s="65" t="s">
        <v>5171</v>
      </c>
      <c r="C4585" s="65" t="s">
        <v>793</v>
      </c>
    </row>
    <row r="4586" spans="1:3" hidden="1">
      <c r="A4586" s="65">
        <v>9006253</v>
      </c>
      <c r="B4586" s="65" t="s">
        <v>5172</v>
      </c>
      <c r="C4586" s="65" t="s">
        <v>793</v>
      </c>
    </row>
    <row r="4587" spans="1:3" hidden="1">
      <c r="A4587" s="65">
        <v>9006254</v>
      </c>
      <c r="B4587" s="65" t="s">
        <v>5173</v>
      </c>
      <c r="C4587" s="65" t="s">
        <v>793</v>
      </c>
    </row>
    <row r="4588" spans="1:3" hidden="1">
      <c r="A4588" s="65">
        <v>9006255</v>
      </c>
      <c r="B4588" s="65" t="s">
        <v>5174</v>
      </c>
      <c r="C4588" s="65" t="s">
        <v>793</v>
      </c>
    </row>
    <row r="4589" spans="1:3" hidden="1">
      <c r="A4589" s="65">
        <v>9006256</v>
      </c>
      <c r="B4589" s="65" t="s">
        <v>5175</v>
      </c>
      <c r="C4589" s="65" t="s">
        <v>793</v>
      </c>
    </row>
    <row r="4590" spans="1:3" hidden="1">
      <c r="A4590" s="65">
        <v>9006257</v>
      </c>
      <c r="B4590" s="65" t="s">
        <v>5176</v>
      </c>
      <c r="C4590" s="65" t="s">
        <v>793</v>
      </c>
    </row>
    <row r="4591" spans="1:3" hidden="1">
      <c r="A4591" s="65">
        <v>9006258</v>
      </c>
      <c r="B4591" s="65" t="s">
        <v>5177</v>
      </c>
      <c r="C4591" s="65" t="s">
        <v>793</v>
      </c>
    </row>
    <row r="4592" spans="1:3" hidden="1">
      <c r="A4592" s="65">
        <v>9006259</v>
      </c>
      <c r="B4592" s="65" t="s">
        <v>5178</v>
      </c>
      <c r="C4592" s="65" t="s">
        <v>793</v>
      </c>
    </row>
    <row r="4593" spans="1:3" hidden="1">
      <c r="A4593" s="65">
        <v>9006260</v>
      </c>
      <c r="B4593" s="65" t="s">
        <v>5179</v>
      </c>
      <c r="C4593" s="65" t="s">
        <v>793</v>
      </c>
    </row>
    <row r="4594" spans="1:3" hidden="1">
      <c r="A4594" s="65">
        <v>9006261</v>
      </c>
      <c r="B4594" s="65" t="s">
        <v>5180</v>
      </c>
      <c r="C4594" s="65" t="s">
        <v>793</v>
      </c>
    </row>
    <row r="4595" spans="1:3" hidden="1">
      <c r="A4595" s="65">
        <v>9006262</v>
      </c>
      <c r="B4595" s="65" t="s">
        <v>5181</v>
      </c>
      <c r="C4595" s="65" t="s">
        <v>793</v>
      </c>
    </row>
    <row r="4596" spans="1:3" hidden="1">
      <c r="A4596" s="65">
        <v>9006263</v>
      </c>
      <c r="B4596" s="65" t="s">
        <v>5182</v>
      </c>
      <c r="C4596" s="65" t="s">
        <v>793</v>
      </c>
    </row>
    <row r="4597" spans="1:3" hidden="1">
      <c r="A4597" s="65">
        <v>9006264</v>
      </c>
      <c r="B4597" s="65" t="s">
        <v>5183</v>
      </c>
      <c r="C4597" s="65" t="s">
        <v>793</v>
      </c>
    </row>
    <row r="4598" spans="1:3" hidden="1">
      <c r="A4598" s="65">
        <v>9006265</v>
      </c>
      <c r="B4598" s="65" t="s">
        <v>5184</v>
      </c>
      <c r="C4598" s="65" t="s">
        <v>793</v>
      </c>
    </row>
    <row r="4599" spans="1:3" hidden="1">
      <c r="A4599" s="65">
        <v>9006266</v>
      </c>
      <c r="B4599" s="65" t="s">
        <v>5185</v>
      </c>
      <c r="C4599" s="65" t="s">
        <v>793</v>
      </c>
    </row>
    <row r="4600" spans="1:3" hidden="1">
      <c r="A4600" s="65">
        <v>9006267</v>
      </c>
      <c r="B4600" s="65" t="s">
        <v>5186</v>
      </c>
      <c r="C4600" s="65" t="s">
        <v>793</v>
      </c>
    </row>
    <row r="4601" spans="1:3" hidden="1">
      <c r="A4601" s="65">
        <v>9006268</v>
      </c>
      <c r="B4601" s="65" t="s">
        <v>5187</v>
      </c>
      <c r="C4601" s="65" t="s">
        <v>793</v>
      </c>
    </row>
    <row r="4602" spans="1:3" hidden="1">
      <c r="A4602" s="65">
        <v>9006269</v>
      </c>
      <c r="B4602" s="65" t="s">
        <v>5188</v>
      </c>
      <c r="C4602" s="65" t="s">
        <v>793</v>
      </c>
    </row>
    <row r="4603" spans="1:3" hidden="1">
      <c r="A4603" s="65">
        <v>9006270</v>
      </c>
      <c r="B4603" s="65" t="s">
        <v>5189</v>
      </c>
      <c r="C4603" s="65" t="s">
        <v>793</v>
      </c>
    </row>
    <row r="4604" spans="1:3" hidden="1">
      <c r="A4604" s="65">
        <v>9006271</v>
      </c>
      <c r="B4604" s="65" t="s">
        <v>5190</v>
      </c>
      <c r="C4604" s="65" t="s">
        <v>793</v>
      </c>
    </row>
    <row r="4605" spans="1:3" hidden="1">
      <c r="A4605" s="65">
        <v>9006272</v>
      </c>
      <c r="B4605" s="65" t="s">
        <v>5191</v>
      </c>
      <c r="C4605" s="65" t="s">
        <v>1181</v>
      </c>
    </row>
    <row r="4606" spans="1:3" hidden="1">
      <c r="A4606" s="65">
        <v>9006273</v>
      </c>
      <c r="B4606" s="65" t="s">
        <v>5192</v>
      </c>
      <c r="C4606" s="65" t="s">
        <v>793</v>
      </c>
    </row>
    <row r="4607" spans="1:3" hidden="1">
      <c r="A4607" s="65">
        <v>9006274</v>
      </c>
      <c r="B4607" s="65" t="s">
        <v>5193</v>
      </c>
      <c r="C4607" s="65" t="s">
        <v>809</v>
      </c>
    </row>
    <row r="4608" spans="1:3" hidden="1">
      <c r="A4608" s="65">
        <v>9006275</v>
      </c>
      <c r="B4608" s="65" t="s">
        <v>5194</v>
      </c>
      <c r="C4608" s="65" t="s">
        <v>793</v>
      </c>
    </row>
    <row r="4609" spans="1:3" hidden="1">
      <c r="A4609" s="65">
        <v>9006276</v>
      </c>
      <c r="B4609" s="65" t="s">
        <v>5195</v>
      </c>
      <c r="C4609" s="65" t="s">
        <v>793</v>
      </c>
    </row>
    <row r="4610" spans="1:3" hidden="1">
      <c r="A4610" s="65">
        <v>9006277</v>
      </c>
      <c r="B4610" s="65" t="s">
        <v>5196</v>
      </c>
      <c r="C4610" s="65" t="s">
        <v>793</v>
      </c>
    </row>
    <row r="4611" spans="1:3" hidden="1">
      <c r="A4611" s="65">
        <v>9006278</v>
      </c>
      <c r="B4611" s="65" t="s">
        <v>5197</v>
      </c>
      <c r="C4611" s="65" t="s">
        <v>1181</v>
      </c>
    </row>
    <row r="4612" spans="1:3" hidden="1">
      <c r="A4612" s="65">
        <v>9006279</v>
      </c>
      <c r="B4612" s="65" t="s">
        <v>5198</v>
      </c>
      <c r="C4612" s="65" t="s">
        <v>809</v>
      </c>
    </row>
    <row r="4613" spans="1:3" hidden="1">
      <c r="A4613" s="65">
        <v>9006280</v>
      </c>
      <c r="B4613" s="65" t="s">
        <v>5199</v>
      </c>
      <c r="C4613" s="65" t="s">
        <v>793</v>
      </c>
    </row>
    <row r="4614" spans="1:3" hidden="1">
      <c r="A4614" s="65">
        <v>9006281</v>
      </c>
      <c r="B4614" s="65" t="s">
        <v>5200</v>
      </c>
      <c r="C4614" s="65" t="s">
        <v>827</v>
      </c>
    </row>
    <row r="4615" spans="1:3" hidden="1">
      <c r="A4615" s="65">
        <v>9006282</v>
      </c>
      <c r="B4615" s="65" t="s">
        <v>5201</v>
      </c>
      <c r="C4615" s="65" t="s">
        <v>827</v>
      </c>
    </row>
    <row r="4616" spans="1:3" hidden="1">
      <c r="A4616" s="65">
        <v>9006283</v>
      </c>
      <c r="B4616" s="65" t="s">
        <v>5202</v>
      </c>
      <c r="C4616" s="65" t="s">
        <v>827</v>
      </c>
    </row>
    <row r="4617" spans="1:3" hidden="1">
      <c r="A4617" s="65">
        <v>9006284</v>
      </c>
      <c r="B4617" s="65" t="s">
        <v>5203</v>
      </c>
      <c r="C4617" s="65" t="s">
        <v>827</v>
      </c>
    </row>
    <row r="4618" spans="1:3" hidden="1">
      <c r="A4618" s="65">
        <v>9006285</v>
      </c>
      <c r="B4618" s="65" t="s">
        <v>5204</v>
      </c>
      <c r="C4618" s="65" t="s">
        <v>827</v>
      </c>
    </row>
    <row r="4619" spans="1:3" hidden="1">
      <c r="A4619" s="65">
        <v>9006286</v>
      </c>
      <c r="B4619" s="65" t="s">
        <v>5205</v>
      </c>
      <c r="C4619" s="65" t="s">
        <v>827</v>
      </c>
    </row>
    <row r="4620" spans="1:3" hidden="1">
      <c r="A4620" s="65">
        <v>9006287</v>
      </c>
      <c r="B4620" s="65" t="s">
        <v>5206</v>
      </c>
      <c r="C4620" s="65" t="s">
        <v>1181</v>
      </c>
    </row>
    <row r="4621" spans="1:3" hidden="1">
      <c r="A4621" s="65">
        <v>9006288</v>
      </c>
      <c r="B4621" s="65" t="s">
        <v>5207</v>
      </c>
      <c r="C4621" s="65" t="s">
        <v>1181</v>
      </c>
    </row>
    <row r="4622" spans="1:3" hidden="1">
      <c r="A4622" s="65">
        <v>9006289</v>
      </c>
      <c r="B4622" s="65" t="s">
        <v>5208</v>
      </c>
      <c r="C4622" s="65" t="s">
        <v>1181</v>
      </c>
    </row>
    <row r="4623" spans="1:3" hidden="1">
      <c r="A4623" s="65">
        <v>9006290</v>
      </c>
      <c r="B4623" s="65" t="s">
        <v>5209</v>
      </c>
      <c r="C4623" s="65" t="s">
        <v>1181</v>
      </c>
    </row>
    <row r="4624" spans="1:3" hidden="1">
      <c r="A4624" s="65">
        <v>9006291</v>
      </c>
      <c r="B4624" s="65" t="s">
        <v>5210</v>
      </c>
      <c r="C4624" s="65" t="s">
        <v>1181</v>
      </c>
    </row>
    <row r="4625" spans="1:3" hidden="1">
      <c r="A4625" s="65">
        <v>9006292</v>
      </c>
      <c r="B4625" s="65" t="s">
        <v>5211</v>
      </c>
      <c r="C4625" s="65" t="s">
        <v>1181</v>
      </c>
    </row>
    <row r="4626" spans="1:3" hidden="1">
      <c r="A4626" s="65">
        <v>9006293</v>
      </c>
      <c r="B4626" s="65" t="s">
        <v>5212</v>
      </c>
      <c r="C4626" s="65" t="s">
        <v>1181</v>
      </c>
    </row>
    <row r="4627" spans="1:3" hidden="1">
      <c r="A4627" s="65">
        <v>9006294</v>
      </c>
      <c r="B4627" s="65" t="s">
        <v>5213</v>
      </c>
      <c r="C4627" s="65" t="s">
        <v>1181</v>
      </c>
    </row>
    <row r="4628" spans="1:3" hidden="1">
      <c r="A4628" s="65">
        <v>9006295</v>
      </c>
      <c r="B4628" s="65" t="s">
        <v>5214</v>
      </c>
      <c r="C4628" s="65" t="s">
        <v>1181</v>
      </c>
    </row>
    <row r="4629" spans="1:3" hidden="1">
      <c r="A4629" s="65">
        <v>9006296</v>
      </c>
      <c r="B4629" s="65" t="s">
        <v>5215</v>
      </c>
      <c r="C4629" s="65" t="s">
        <v>1181</v>
      </c>
    </row>
    <row r="4630" spans="1:3" hidden="1">
      <c r="A4630" s="65">
        <v>9006297</v>
      </c>
      <c r="B4630" s="65" t="s">
        <v>5216</v>
      </c>
      <c r="C4630" s="65" t="s">
        <v>1181</v>
      </c>
    </row>
    <row r="4631" spans="1:3" hidden="1">
      <c r="A4631" s="65">
        <v>9006298</v>
      </c>
      <c r="B4631" s="65" t="s">
        <v>5217</v>
      </c>
      <c r="C4631" s="65" t="s">
        <v>1181</v>
      </c>
    </row>
    <row r="4632" spans="1:3" hidden="1">
      <c r="A4632" s="65">
        <v>9006299</v>
      </c>
      <c r="B4632" s="65" t="s">
        <v>5218</v>
      </c>
      <c r="C4632" s="65" t="s">
        <v>793</v>
      </c>
    </row>
    <row r="4633" spans="1:3" hidden="1">
      <c r="A4633" s="65">
        <v>9006300</v>
      </c>
      <c r="B4633" s="65" t="s">
        <v>5219</v>
      </c>
      <c r="C4633" s="65" t="s">
        <v>793</v>
      </c>
    </row>
    <row r="4634" spans="1:3" hidden="1">
      <c r="A4634" s="65">
        <v>9006301</v>
      </c>
      <c r="B4634" s="65" t="s">
        <v>5220</v>
      </c>
      <c r="C4634" s="65" t="s">
        <v>793</v>
      </c>
    </row>
    <row r="4635" spans="1:3" hidden="1">
      <c r="A4635" s="65">
        <v>9006302</v>
      </c>
      <c r="B4635" s="65" t="s">
        <v>5221</v>
      </c>
      <c r="C4635" s="65" t="s">
        <v>793</v>
      </c>
    </row>
    <row r="4636" spans="1:3" hidden="1">
      <c r="A4636" s="65">
        <v>9006303</v>
      </c>
      <c r="B4636" s="65" t="s">
        <v>5222</v>
      </c>
      <c r="C4636" s="65" t="s">
        <v>793</v>
      </c>
    </row>
    <row r="4637" spans="1:3" hidden="1">
      <c r="A4637" s="65">
        <v>9006304</v>
      </c>
      <c r="B4637" s="65" t="s">
        <v>5223</v>
      </c>
      <c r="C4637" s="65" t="s">
        <v>793</v>
      </c>
    </row>
    <row r="4638" spans="1:3" hidden="1">
      <c r="A4638" s="65">
        <v>9006305</v>
      </c>
      <c r="B4638" s="65" t="s">
        <v>5224</v>
      </c>
      <c r="C4638" s="65" t="s">
        <v>793</v>
      </c>
    </row>
    <row r="4639" spans="1:3" hidden="1">
      <c r="A4639" s="65">
        <v>9006306</v>
      </c>
      <c r="B4639" s="65" t="s">
        <v>5225</v>
      </c>
      <c r="C4639" s="65" t="s">
        <v>793</v>
      </c>
    </row>
    <row r="4640" spans="1:3" hidden="1">
      <c r="A4640" s="65">
        <v>9006307</v>
      </c>
      <c r="B4640" s="65" t="s">
        <v>5226</v>
      </c>
      <c r="C4640" s="65" t="s">
        <v>900</v>
      </c>
    </row>
    <row r="4641" spans="1:3" hidden="1">
      <c r="A4641" s="65">
        <v>9006308</v>
      </c>
      <c r="B4641" s="65" t="s">
        <v>5227</v>
      </c>
      <c r="C4641" s="65" t="s">
        <v>793</v>
      </c>
    </row>
    <row r="4642" spans="1:3" hidden="1">
      <c r="A4642" s="65">
        <v>9006309</v>
      </c>
      <c r="B4642" s="65" t="s">
        <v>5228</v>
      </c>
      <c r="C4642" s="65" t="s">
        <v>793</v>
      </c>
    </row>
    <row r="4643" spans="1:3" hidden="1">
      <c r="A4643" s="65">
        <v>9006310</v>
      </c>
      <c r="B4643" s="65" t="s">
        <v>5229</v>
      </c>
      <c r="C4643" s="65" t="s">
        <v>793</v>
      </c>
    </row>
    <row r="4644" spans="1:3" hidden="1">
      <c r="A4644" s="65">
        <v>9006311</v>
      </c>
      <c r="B4644" s="65" t="s">
        <v>5230</v>
      </c>
      <c r="C4644" s="65" t="s">
        <v>793</v>
      </c>
    </row>
    <row r="4645" spans="1:3" hidden="1">
      <c r="A4645" s="65">
        <v>9006312</v>
      </c>
      <c r="B4645" s="65" t="s">
        <v>5231</v>
      </c>
      <c r="C4645" s="65" t="s">
        <v>793</v>
      </c>
    </row>
    <row r="4646" spans="1:3" hidden="1">
      <c r="A4646" s="65">
        <v>9006313</v>
      </c>
      <c r="B4646" s="65" t="s">
        <v>5232</v>
      </c>
      <c r="C4646" s="65" t="s">
        <v>793</v>
      </c>
    </row>
    <row r="4647" spans="1:3" hidden="1">
      <c r="A4647" s="65">
        <v>9006314</v>
      </c>
      <c r="B4647" s="65" t="s">
        <v>5233</v>
      </c>
      <c r="C4647" s="65" t="s">
        <v>793</v>
      </c>
    </row>
    <row r="4648" spans="1:3" hidden="1">
      <c r="A4648" s="65">
        <v>9006315</v>
      </c>
      <c r="B4648" s="65" t="s">
        <v>5234</v>
      </c>
      <c r="C4648" s="65" t="s">
        <v>793</v>
      </c>
    </row>
    <row r="4649" spans="1:3" hidden="1">
      <c r="A4649" s="65">
        <v>9006316</v>
      </c>
      <c r="B4649" s="65" t="s">
        <v>5235</v>
      </c>
      <c r="C4649" s="65" t="s">
        <v>793</v>
      </c>
    </row>
    <row r="4650" spans="1:3" hidden="1">
      <c r="A4650" s="65">
        <v>9006317</v>
      </c>
      <c r="B4650" s="65" t="s">
        <v>5236</v>
      </c>
      <c r="C4650" s="65" t="s">
        <v>793</v>
      </c>
    </row>
    <row r="4651" spans="1:3" hidden="1">
      <c r="A4651" s="65">
        <v>9006318</v>
      </c>
      <c r="B4651" s="65" t="s">
        <v>5237</v>
      </c>
      <c r="C4651" s="65" t="s">
        <v>793</v>
      </c>
    </row>
    <row r="4652" spans="1:3" hidden="1">
      <c r="A4652" s="65">
        <v>9006319</v>
      </c>
      <c r="B4652" s="65" t="s">
        <v>5238</v>
      </c>
      <c r="C4652" s="65" t="s">
        <v>809</v>
      </c>
    </row>
    <row r="4653" spans="1:3" hidden="1">
      <c r="A4653" s="65">
        <v>9006320</v>
      </c>
      <c r="B4653" s="65" t="s">
        <v>5239</v>
      </c>
      <c r="C4653" s="65" t="s">
        <v>809</v>
      </c>
    </row>
    <row r="4654" spans="1:3" hidden="1">
      <c r="A4654" s="65">
        <v>9006321</v>
      </c>
      <c r="B4654" s="65" t="s">
        <v>5240</v>
      </c>
      <c r="C4654" s="65" t="s">
        <v>809</v>
      </c>
    </row>
    <row r="4655" spans="1:3" hidden="1">
      <c r="A4655" s="65">
        <v>9006322</v>
      </c>
      <c r="B4655" s="65" t="s">
        <v>5241</v>
      </c>
      <c r="C4655" s="65" t="s">
        <v>809</v>
      </c>
    </row>
    <row r="4656" spans="1:3" hidden="1">
      <c r="A4656" s="65">
        <v>9006323</v>
      </c>
      <c r="B4656" s="65" t="s">
        <v>5242</v>
      </c>
      <c r="C4656" s="65" t="s">
        <v>809</v>
      </c>
    </row>
    <row r="4657" spans="1:3" hidden="1">
      <c r="A4657" s="65">
        <v>9006324</v>
      </c>
      <c r="B4657" s="65" t="s">
        <v>5243</v>
      </c>
      <c r="C4657" s="65" t="s">
        <v>793</v>
      </c>
    </row>
    <row r="4658" spans="1:3" hidden="1">
      <c r="A4658" s="65">
        <v>9006325</v>
      </c>
      <c r="B4658" s="65" t="s">
        <v>5244</v>
      </c>
      <c r="C4658" s="65" t="s">
        <v>793</v>
      </c>
    </row>
    <row r="4659" spans="1:3" hidden="1">
      <c r="A4659" s="65">
        <v>9006326</v>
      </c>
      <c r="B4659" s="65" t="s">
        <v>5245</v>
      </c>
      <c r="C4659" s="65" t="s">
        <v>793</v>
      </c>
    </row>
    <row r="4660" spans="1:3" hidden="1">
      <c r="A4660" s="65">
        <v>9006327</v>
      </c>
      <c r="B4660" s="65" t="s">
        <v>5246</v>
      </c>
      <c r="C4660" s="65" t="s">
        <v>793</v>
      </c>
    </row>
    <row r="4661" spans="1:3" hidden="1">
      <c r="A4661" s="65">
        <v>9006328</v>
      </c>
      <c r="B4661" s="65" t="s">
        <v>5247</v>
      </c>
      <c r="C4661" s="65" t="s">
        <v>809</v>
      </c>
    </row>
    <row r="4662" spans="1:3" hidden="1">
      <c r="A4662" s="65">
        <v>9006329</v>
      </c>
      <c r="B4662" s="65" t="s">
        <v>5248</v>
      </c>
      <c r="C4662" s="65" t="s">
        <v>809</v>
      </c>
    </row>
    <row r="4663" spans="1:3" hidden="1">
      <c r="A4663" s="65">
        <v>9006330</v>
      </c>
      <c r="B4663" s="65" t="s">
        <v>5249</v>
      </c>
      <c r="C4663" s="65" t="s">
        <v>809</v>
      </c>
    </row>
    <row r="4664" spans="1:3" hidden="1">
      <c r="A4664" s="65">
        <v>9006331</v>
      </c>
      <c r="B4664" s="65" t="s">
        <v>5250</v>
      </c>
      <c r="C4664" s="65" t="s">
        <v>809</v>
      </c>
    </row>
    <row r="4665" spans="1:3" hidden="1">
      <c r="A4665" s="65">
        <v>9006332</v>
      </c>
      <c r="B4665" s="65" t="s">
        <v>5251</v>
      </c>
      <c r="C4665" s="65" t="s">
        <v>809</v>
      </c>
    </row>
    <row r="4666" spans="1:3" hidden="1">
      <c r="A4666" s="65">
        <v>9006333</v>
      </c>
      <c r="B4666" s="65" t="s">
        <v>5252</v>
      </c>
      <c r="C4666" s="65" t="s">
        <v>793</v>
      </c>
    </row>
    <row r="4667" spans="1:3" hidden="1">
      <c r="A4667" s="65">
        <v>9006334</v>
      </c>
      <c r="B4667" s="65" t="s">
        <v>5253</v>
      </c>
      <c r="C4667" s="65" t="s">
        <v>793</v>
      </c>
    </row>
    <row r="4668" spans="1:3" hidden="1">
      <c r="A4668" s="65">
        <v>9006335</v>
      </c>
      <c r="B4668" s="65" t="s">
        <v>5254</v>
      </c>
      <c r="C4668" s="65" t="s">
        <v>793</v>
      </c>
    </row>
    <row r="4669" spans="1:3" hidden="1">
      <c r="A4669" s="65">
        <v>9006336</v>
      </c>
      <c r="B4669" s="65" t="s">
        <v>5255</v>
      </c>
      <c r="C4669" s="65" t="s">
        <v>793</v>
      </c>
    </row>
    <row r="4670" spans="1:3" hidden="1">
      <c r="A4670" s="65">
        <v>9006337</v>
      </c>
      <c r="B4670" s="65" t="s">
        <v>5256</v>
      </c>
      <c r="C4670" s="65" t="s">
        <v>793</v>
      </c>
    </row>
    <row r="4671" spans="1:3" hidden="1">
      <c r="A4671" s="65">
        <v>9006338</v>
      </c>
      <c r="B4671" s="65" t="s">
        <v>5257</v>
      </c>
      <c r="C4671" s="65" t="s">
        <v>793</v>
      </c>
    </row>
    <row r="4672" spans="1:3" hidden="1">
      <c r="A4672" s="65">
        <v>9006339</v>
      </c>
      <c r="B4672" s="65" t="s">
        <v>5258</v>
      </c>
      <c r="C4672" s="65" t="s">
        <v>793</v>
      </c>
    </row>
    <row r="4673" spans="1:3" hidden="1">
      <c r="A4673" s="65">
        <v>9006340</v>
      </c>
      <c r="B4673" s="65" t="s">
        <v>5259</v>
      </c>
      <c r="C4673" s="65" t="s">
        <v>793</v>
      </c>
    </row>
    <row r="4674" spans="1:3" hidden="1">
      <c r="A4674" s="65">
        <v>9006341</v>
      </c>
      <c r="B4674" s="65" t="s">
        <v>5260</v>
      </c>
      <c r="C4674" s="65" t="s">
        <v>793</v>
      </c>
    </row>
    <row r="4675" spans="1:3" hidden="1">
      <c r="A4675" s="65">
        <v>9006342</v>
      </c>
      <c r="B4675" s="65" t="s">
        <v>5261</v>
      </c>
      <c r="C4675" s="65" t="s">
        <v>793</v>
      </c>
    </row>
    <row r="4676" spans="1:3" hidden="1">
      <c r="A4676" s="65">
        <v>9006343</v>
      </c>
      <c r="B4676" s="65" t="s">
        <v>5262</v>
      </c>
      <c r="C4676" s="65" t="s">
        <v>793</v>
      </c>
    </row>
    <row r="4677" spans="1:3" hidden="1">
      <c r="A4677" s="65">
        <v>9006344</v>
      </c>
      <c r="B4677" s="65" t="s">
        <v>5263</v>
      </c>
      <c r="C4677" s="65" t="s">
        <v>793</v>
      </c>
    </row>
    <row r="4678" spans="1:3" hidden="1">
      <c r="A4678" s="65">
        <v>9006345</v>
      </c>
      <c r="B4678" s="65" t="s">
        <v>5264</v>
      </c>
      <c r="C4678" s="65" t="s">
        <v>793</v>
      </c>
    </row>
    <row r="4679" spans="1:3" hidden="1">
      <c r="A4679" s="65">
        <v>9006346</v>
      </c>
      <c r="B4679" s="65" t="s">
        <v>5265</v>
      </c>
      <c r="C4679" s="65" t="s">
        <v>793</v>
      </c>
    </row>
    <row r="4680" spans="1:3" hidden="1">
      <c r="A4680" s="65">
        <v>9006347</v>
      </c>
      <c r="B4680" s="65" t="s">
        <v>5266</v>
      </c>
      <c r="C4680" s="65" t="s">
        <v>1181</v>
      </c>
    </row>
    <row r="4681" spans="1:3" hidden="1">
      <c r="A4681" s="65">
        <v>9006348</v>
      </c>
      <c r="B4681" s="65" t="s">
        <v>5267</v>
      </c>
      <c r="C4681" s="65" t="s">
        <v>793</v>
      </c>
    </row>
    <row r="4682" spans="1:3" hidden="1">
      <c r="A4682" s="65">
        <v>9006349</v>
      </c>
      <c r="B4682" s="65" t="s">
        <v>5268</v>
      </c>
      <c r="C4682" s="65" t="s">
        <v>793</v>
      </c>
    </row>
    <row r="4683" spans="1:3" hidden="1">
      <c r="A4683" s="65">
        <v>9006350</v>
      </c>
      <c r="B4683" s="65" t="s">
        <v>5269</v>
      </c>
      <c r="C4683" s="65" t="s">
        <v>793</v>
      </c>
    </row>
    <row r="4684" spans="1:3" hidden="1">
      <c r="A4684" s="65">
        <v>9006351</v>
      </c>
      <c r="B4684" s="65" t="s">
        <v>5270</v>
      </c>
      <c r="C4684" s="65" t="s">
        <v>809</v>
      </c>
    </row>
    <row r="4685" spans="1:3" hidden="1">
      <c r="A4685" s="65">
        <v>9006352</v>
      </c>
      <c r="B4685" s="65" t="s">
        <v>5271</v>
      </c>
      <c r="C4685" s="65" t="s">
        <v>809</v>
      </c>
    </row>
    <row r="4686" spans="1:3" hidden="1">
      <c r="A4686" s="65">
        <v>9006353</v>
      </c>
      <c r="B4686" s="65" t="s">
        <v>5272</v>
      </c>
      <c r="C4686" s="65" t="s">
        <v>809</v>
      </c>
    </row>
    <row r="4687" spans="1:3" hidden="1">
      <c r="A4687" s="65">
        <v>9006354</v>
      </c>
      <c r="B4687" s="65" t="s">
        <v>5273</v>
      </c>
      <c r="C4687" s="65" t="s">
        <v>827</v>
      </c>
    </row>
    <row r="4688" spans="1:3" hidden="1">
      <c r="A4688" s="65">
        <v>9006355</v>
      </c>
      <c r="B4688" s="65" t="s">
        <v>5274</v>
      </c>
      <c r="C4688" s="65" t="s">
        <v>827</v>
      </c>
    </row>
    <row r="4689" spans="1:3" hidden="1">
      <c r="A4689" s="65">
        <v>9006356</v>
      </c>
      <c r="B4689" s="65" t="s">
        <v>5275</v>
      </c>
      <c r="C4689" s="65" t="s">
        <v>827</v>
      </c>
    </row>
    <row r="4690" spans="1:3" hidden="1">
      <c r="A4690" s="65">
        <v>9006357</v>
      </c>
      <c r="B4690" s="65" t="s">
        <v>5276</v>
      </c>
      <c r="C4690" s="65" t="s">
        <v>1181</v>
      </c>
    </row>
    <row r="4691" spans="1:3" hidden="1">
      <c r="A4691" s="65">
        <v>9006358</v>
      </c>
      <c r="B4691" s="65" t="s">
        <v>5277</v>
      </c>
      <c r="C4691" s="65" t="s">
        <v>1181</v>
      </c>
    </row>
    <row r="4692" spans="1:3" hidden="1">
      <c r="A4692" s="65">
        <v>9006359</v>
      </c>
      <c r="B4692" s="65" t="s">
        <v>5278</v>
      </c>
      <c r="C4692" s="65" t="s">
        <v>1181</v>
      </c>
    </row>
    <row r="4693" spans="1:3" hidden="1">
      <c r="A4693" s="65">
        <v>9006360</v>
      </c>
      <c r="B4693" s="65" t="s">
        <v>5279</v>
      </c>
      <c r="C4693" s="65" t="s">
        <v>1181</v>
      </c>
    </row>
    <row r="4694" spans="1:3" hidden="1">
      <c r="A4694" s="65">
        <v>9006361</v>
      </c>
      <c r="B4694" s="65" t="s">
        <v>5280</v>
      </c>
      <c r="C4694" s="65" t="s">
        <v>793</v>
      </c>
    </row>
    <row r="4695" spans="1:3" hidden="1">
      <c r="A4695" s="65">
        <v>9006362</v>
      </c>
      <c r="B4695" s="65" t="s">
        <v>5281</v>
      </c>
      <c r="C4695" s="65" t="s">
        <v>793</v>
      </c>
    </row>
    <row r="4696" spans="1:3" hidden="1">
      <c r="A4696" s="65">
        <v>9006363</v>
      </c>
      <c r="B4696" s="65" t="s">
        <v>5282</v>
      </c>
      <c r="C4696" s="65" t="s">
        <v>793</v>
      </c>
    </row>
    <row r="4697" spans="1:3" hidden="1">
      <c r="A4697" s="65">
        <v>9006364</v>
      </c>
      <c r="B4697" s="65" t="s">
        <v>5283</v>
      </c>
      <c r="C4697" s="65" t="s">
        <v>793</v>
      </c>
    </row>
    <row r="4698" spans="1:3" hidden="1">
      <c r="A4698" s="65">
        <v>9006365</v>
      </c>
      <c r="B4698" s="65" t="s">
        <v>5284</v>
      </c>
      <c r="C4698" s="65" t="s">
        <v>793</v>
      </c>
    </row>
    <row r="4699" spans="1:3" hidden="1">
      <c r="A4699" s="65">
        <v>9006366</v>
      </c>
      <c r="B4699" s="65" t="s">
        <v>5285</v>
      </c>
      <c r="C4699" s="65" t="s">
        <v>793</v>
      </c>
    </row>
    <row r="4700" spans="1:3" hidden="1">
      <c r="A4700" s="65">
        <v>9006367</v>
      </c>
      <c r="B4700" s="65" t="s">
        <v>5286</v>
      </c>
      <c r="C4700" s="65" t="s">
        <v>793</v>
      </c>
    </row>
    <row r="4701" spans="1:3" hidden="1">
      <c r="A4701" s="65">
        <v>9006368</v>
      </c>
      <c r="B4701" s="65" t="s">
        <v>5287</v>
      </c>
      <c r="C4701" s="65" t="s">
        <v>793</v>
      </c>
    </row>
    <row r="4702" spans="1:3" hidden="1">
      <c r="A4702" s="65">
        <v>9006369</v>
      </c>
      <c r="B4702" s="65" t="s">
        <v>5288</v>
      </c>
      <c r="C4702" s="65" t="s">
        <v>793</v>
      </c>
    </row>
    <row r="4703" spans="1:3" hidden="1">
      <c r="A4703" s="65">
        <v>9006370</v>
      </c>
      <c r="B4703" s="65" t="s">
        <v>5289</v>
      </c>
      <c r="C4703" s="65" t="s">
        <v>793</v>
      </c>
    </row>
    <row r="4704" spans="1:3" hidden="1">
      <c r="A4704" s="65">
        <v>9006371</v>
      </c>
      <c r="B4704" s="65" t="s">
        <v>5290</v>
      </c>
      <c r="C4704" s="65" t="s">
        <v>793</v>
      </c>
    </row>
    <row r="4705" spans="1:3" hidden="1">
      <c r="A4705" s="65">
        <v>9006372</v>
      </c>
      <c r="B4705" s="65" t="s">
        <v>5291</v>
      </c>
      <c r="C4705" s="65" t="s">
        <v>827</v>
      </c>
    </row>
    <row r="4706" spans="1:3" hidden="1">
      <c r="A4706" s="65">
        <v>9006373</v>
      </c>
      <c r="B4706" s="65" t="s">
        <v>5292</v>
      </c>
      <c r="C4706" s="65" t="s">
        <v>793</v>
      </c>
    </row>
    <row r="4707" spans="1:3" hidden="1">
      <c r="A4707" s="65">
        <v>9006374</v>
      </c>
      <c r="B4707" s="65" t="s">
        <v>5293</v>
      </c>
      <c r="C4707" s="65" t="s">
        <v>793</v>
      </c>
    </row>
    <row r="4708" spans="1:3" hidden="1">
      <c r="A4708" s="65">
        <v>9006375</v>
      </c>
      <c r="B4708" s="65" t="s">
        <v>5294</v>
      </c>
      <c r="C4708" s="65" t="s">
        <v>793</v>
      </c>
    </row>
    <row r="4709" spans="1:3" hidden="1">
      <c r="A4709" s="65">
        <v>9006376</v>
      </c>
      <c r="B4709" s="65" t="s">
        <v>5295</v>
      </c>
      <c r="C4709" s="65" t="s">
        <v>793</v>
      </c>
    </row>
    <row r="4710" spans="1:3" hidden="1">
      <c r="A4710" s="65">
        <v>9006377</v>
      </c>
      <c r="B4710" s="65" t="s">
        <v>5296</v>
      </c>
      <c r="C4710" s="65" t="s">
        <v>1101</v>
      </c>
    </row>
    <row r="4711" spans="1:3" hidden="1">
      <c r="A4711" s="65">
        <v>9006378</v>
      </c>
      <c r="B4711" s="65" t="s">
        <v>5297</v>
      </c>
      <c r="C4711" s="65" t="s">
        <v>5068</v>
      </c>
    </row>
    <row r="4712" spans="1:3" hidden="1">
      <c r="A4712" s="65">
        <v>9006379</v>
      </c>
      <c r="B4712" s="65" t="s">
        <v>5298</v>
      </c>
      <c r="C4712" s="65" t="s">
        <v>793</v>
      </c>
    </row>
    <row r="4713" spans="1:3" hidden="1">
      <c r="A4713" s="65">
        <v>9006380</v>
      </c>
      <c r="B4713" s="65" t="s">
        <v>5299</v>
      </c>
      <c r="C4713" s="65" t="s">
        <v>779</v>
      </c>
    </row>
    <row r="4714" spans="1:3" hidden="1">
      <c r="A4714" s="65">
        <v>9006381</v>
      </c>
      <c r="B4714" s="65" t="s">
        <v>5300</v>
      </c>
      <c r="C4714" s="65" t="s">
        <v>793</v>
      </c>
    </row>
    <row r="4715" spans="1:3" hidden="1">
      <c r="A4715" s="65">
        <v>9006382</v>
      </c>
      <c r="B4715" s="65" t="s">
        <v>5301</v>
      </c>
      <c r="C4715" s="65" t="s">
        <v>793</v>
      </c>
    </row>
    <row r="4716" spans="1:3" hidden="1">
      <c r="A4716" s="65">
        <v>9006383</v>
      </c>
      <c r="B4716" s="65" t="s">
        <v>5302</v>
      </c>
      <c r="C4716" s="65" t="s">
        <v>793</v>
      </c>
    </row>
    <row r="4717" spans="1:3" hidden="1">
      <c r="A4717" s="65">
        <v>9006384</v>
      </c>
      <c r="B4717" s="65" t="s">
        <v>5303</v>
      </c>
      <c r="C4717" s="65" t="s">
        <v>809</v>
      </c>
    </row>
    <row r="4718" spans="1:3" hidden="1">
      <c r="A4718" s="65">
        <v>9006385</v>
      </c>
      <c r="B4718" s="65" t="s">
        <v>5304</v>
      </c>
      <c r="C4718" s="65" t="s">
        <v>809</v>
      </c>
    </row>
    <row r="4719" spans="1:3" hidden="1">
      <c r="A4719" s="65">
        <v>9006386</v>
      </c>
      <c r="B4719" s="65" t="s">
        <v>5305</v>
      </c>
      <c r="C4719" s="65" t="s">
        <v>809</v>
      </c>
    </row>
    <row r="4720" spans="1:3" hidden="1">
      <c r="A4720" s="65">
        <v>9006387</v>
      </c>
      <c r="B4720" s="65" t="s">
        <v>5306</v>
      </c>
      <c r="C4720" s="65" t="s">
        <v>809</v>
      </c>
    </row>
    <row r="4721" spans="1:3" hidden="1">
      <c r="A4721" s="65">
        <v>9006388</v>
      </c>
      <c r="B4721" s="65" t="s">
        <v>5307</v>
      </c>
      <c r="C4721" s="65" t="s">
        <v>809</v>
      </c>
    </row>
    <row r="4722" spans="1:3" hidden="1">
      <c r="A4722" s="65">
        <v>9006389</v>
      </c>
      <c r="B4722" s="65" t="s">
        <v>5308</v>
      </c>
      <c r="C4722" s="65" t="s">
        <v>809</v>
      </c>
    </row>
    <row r="4723" spans="1:3" hidden="1">
      <c r="A4723" s="65">
        <v>9006390</v>
      </c>
      <c r="B4723" s="65" t="s">
        <v>5309</v>
      </c>
      <c r="C4723" s="65" t="s">
        <v>809</v>
      </c>
    </row>
    <row r="4724" spans="1:3" hidden="1">
      <c r="A4724" s="65">
        <v>9006391</v>
      </c>
      <c r="B4724" s="65" t="s">
        <v>5310</v>
      </c>
      <c r="C4724" s="65" t="s">
        <v>809</v>
      </c>
    </row>
    <row r="4725" spans="1:3" hidden="1">
      <c r="A4725" s="65">
        <v>9006392</v>
      </c>
      <c r="B4725" s="65" t="s">
        <v>5311</v>
      </c>
      <c r="C4725" s="65" t="s">
        <v>809</v>
      </c>
    </row>
    <row r="4726" spans="1:3" hidden="1">
      <c r="A4726" s="65">
        <v>9006393</v>
      </c>
      <c r="B4726" s="65" t="s">
        <v>5312</v>
      </c>
      <c r="C4726" s="65" t="s">
        <v>809</v>
      </c>
    </row>
    <row r="4727" spans="1:3" hidden="1">
      <c r="A4727" s="65">
        <v>9006394</v>
      </c>
      <c r="B4727" s="65" t="s">
        <v>5313</v>
      </c>
      <c r="C4727" s="65" t="s">
        <v>809</v>
      </c>
    </row>
    <row r="4728" spans="1:3" hidden="1">
      <c r="A4728" s="65">
        <v>9006395</v>
      </c>
      <c r="B4728" s="65" t="s">
        <v>5314</v>
      </c>
      <c r="C4728" s="65" t="s">
        <v>809</v>
      </c>
    </row>
    <row r="4729" spans="1:3" hidden="1">
      <c r="A4729" s="65">
        <v>9006396</v>
      </c>
      <c r="B4729" s="65" t="s">
        <v>5315</v>
      </c>
      <c r="C4729" s="65" t="s">
        <v>809</v>
      </c>
    </row>
    <row r="4730" spans="1:3" hidden="1">
      <c r="A4730" s="65">
        <v>9006397</v>
      </c>
      <c r="B4730" s="65" t="s">
        <v>5316</v>
      </c>
      <c r="C4730" s="65" t="s">
        <v>809</v>
      </c>
    </row>
    <row r="4731" spans="1:3" hidden="1">
      <c r="A4731" s="65">
        <v>9006398</v>
      </c>
      <c r="B4731" s="65" t="s">
        <v>5317</v>
      </c>
      <c r="C4731" s="65" t="s">
        <v>809</v>
      </c>
    </row>
    <row r="4732" spans="1:3" hidden="1">
      <c r="A4732" s="65">
        <v>9006399</v>
      </c>
      <c r="B4732" s="65" t="s">
        <v>5318</v>
      </c>
      <c r="C4732" s="65" t="s">
        <v>809</v>
      </c>
    </row>
    <row r="4733" spans="1:3" hidden="1">
      <c r="A4733" s="65">
        <v>9006400</v>
      </c>
      <c r="B4733" s="65" t="s">
        <v>5319</v>
      </c>
      <c r="C4733" s="65" t="s">
        <v>809</v>
      </c>
    </row>
    <row r="4734" spans="1:3" hidden="1">
      <c r="A4734" s="65">
        <v>9006401</v>
      </c>
      <c r="B4734" s="65" t="s">
        <v>5320</v>
      </c>
      <c r="C4734" s="65" t="s">
        <v>809</v>
      </c>
    </row>
    <row r="4735" spans="1:3" hidden="1">
      <c r="A4735" s="65">
        <v>9006402</v>
      </c>
      <c r="B4735" s="65" t="s">
        <v>5321</v>
      </c>
      <c r="C4735" s="65" t="s">
        <v>793</v>
      </c>
    </row>
    <row r="4736" spans="1:3" hidden="1">
      <c r="A4736" s="65">
        <v>9006403</v>
      </c>
      <c r="B4736" s="65" t="s">
        <v>5322</v>
      </c>
      <c r="C4736" s="65" t="s">
        <v>900</v>
      </c>
    </row>
    <row r="4737" spans="1:3" hidden="1">
      <c r="A4737" s="65">
        <v>9006404</v>
      </c>
      <c r="B4737" s="65" t="s">
        <v>5323</v>
      </c>
      <c r="C4737" s="65" t="s">
        <v>793</v>
      </c>
    </row>
    <row r="4738" spans="1:3" hidden="1">
      <c r="A4738" s="65">
        <v>9006405</v>
      </c>
      <c r="B4738" s="65" t="s">
        <v>5324</v>
      </c>
      <c r="C4738" s="65" t="s">
        <v>793</v>
      </c>
    </row>
    <row r="4739" spans="1:3" hidden="1">
      <c r="A4739" s="65">
        <v>9006406</v>
      </c>
      <c r="B4739" s="65" t="s">
        <v>5325</v>
      </c>
      <c r="C4739" s="65" t="s">
        <v>793</v>
      </c>
    </row>
    <row r="4740" spans="1:3" hidden="1">
      <c r="A4740" s="65">
        <v>9006407</v>
      </c>
      <c r="B4740" s="65" t="s">
        <v>5326</v>
      </c>
      <c r="C4740" s="65" t="s">
        <v>793</v>
      </c>
    </row>
    <row r="4741" spans="1:3" hidden="1">
      <c r="A4741" s="65">
        <v>9006408</v>
      </c>
      <c r="B4741" s="65" t="s">
        <v>5327</v>
      </c>
      <c r="C4741" s="65" t="s">
        <v>793</v>
      </c>
    </row>
    <row r="4742" spans="1:3" hidden="1">
      <c r="A4742" s="65">
        <v>9006409</v>
      </c>
      <c r="B4742" s="65" t="s">
        <v>5328</v>
      </c>
      <c r="C4742" s="65" t="s">
        <v>793</v>
      </c>
    </row>
    <row r="4743" spans="1:3" hidden="1">
      <c r="A4743" s="65">
        <v>9006410</v>
      </c>
      <c r="B4743" s="65" t="s">
        <v>5329</v>
      </c>
      <c r="C4743" s="65" t="s">
        <v>775</v>
      </c>
    </row>
    <row r="4744" spans="1:3" hidden="1">
      <c r="A4744" s="65">
        <v>9006411</v>
      </c>
      <c r="B4744" s="65" t="s">
        <v>5330</v>
      </c>
      <c r="C4744" s="65" t="s">
        <v>779</v>
      </c>
    </row>
    <row r="4745" spans="1:3" hidden="1">
      <c r="A4745" s="65">
        <v>9006412</v>
      </c>
      <c r="B4745" s="65" t="s">
        <v>5331</v>
      </c>
      <c r="C4745" s="65" t="s">
        <v>793</v>
      </c>
    </row>
    <row r="4746" spans="1:3" hidden="1">
      <c r="A4746" s="65">
        <v>9006413</v>
      </c>
      <c r="B4746" s="65" t="s">
        <v>5332</v>
      </c>
      <c r="C4746" s="65" t="s">
        <v>4895</v>
      </c>
    </row>
    <row r="4747" spans="1:3" hidden="1">
      <c r="A4747" s="65">
        <v>9006414</v>
      </c>
      <c r="B4747" s="65" t="s">
        <v>5333</v>
      </c>
      <c r="C4747" s="65" t="s">
        <v>793</v>
      </c>
    </row>
    <row r="4748" spans="1:3" hidden="1">
      <c r="A4748" s="65">
        <v>9006415</v>
      </c>
      <c r="B4748" s="65" t="s">
        <v>5334</v>
      </c>
      <c r="C4748" s="65" t="s">
        <v>793</v>
      </c>
    </row>
    <row r="4749" spans="1:3" hidden="1">
      <c r="A4749" s="65">
        <v>9006416</v>
      </c>
      <c r="B4749" s="65" t="s">
        <v>5335</v>
      </c>
      <c r="C4749" s="65" t="s">
        <v>793</v>
      </c>
    </row>
    <row r="4750" spans="1:3" hidden="1">
      <c r="A4750" s="65">
        <v>9006417</v>
      </c>
      <c r="B4750" s="65" t="s">
        <v>5336</v>
      </c>
      <c r="C4750" s="65" t="s">
        <v>664</v>
      </c>
    </row>
    <row r="4751" spans="1:3" hidden="1">
      <c r="A4751" s="65">
        <v>9006418</v>
      </c>
      <c r="B4751" s="65" t="s">
        <v>5337</v>
      </c>
      <c r="C4751" s="65" t="s">
        <v>793</v>
      </c>
    </row>
    <row r="4752" spans="1:3" hidden="1">
      <c r="A4752" s="65">
        <v>9006419</v>
      </c>
      <c r="B4752" s="65" t="s">
        <v>5338</v>
      </c>
      <c r="C4752" s="65" t="s">
        <v>793</v>
      </c>
    </row>
    <row r="4753" spans="1:3" hidden="1">
      <c r="A4753" s="65">
        <v>9006420</v>
      </c>
      <c r="B4753" s="65" t="s">
        <v>5339</v>
      </c>
      <c r="C4753" s="65" t="s">
        <v>664</v>
      </c>
    </row>
    <row r="4754" spans="1:3" hidden="1">
      <c r="A4754" s="65">
        <v>9006421</v>
      </c>
      <c r="B4754" s="65" t="s">
        <v>5340</v>
      </c>
      <c r="C4754" s="65" t="s">
        <v>793</v>
      </c>
    </row>
    <row r="4755" spans="1:3" hidden="1">
      <c r="A4755" s="65">
        <v>9006422</v>
      </c>
      <c r="B4755" s="65" t="s">
        <v>5341</v>
      </c>
      <c r="C4755" s="65" t="s">
        <v>793</v>
      </c>
    </row>
    <row r="4756" spans="1:3" hidden="1">
      <c r="A4756" s="65">
        <v>9006423</v>
      </c>
      <c r="B4756" s="65" t="s">
        <v>5342</v>
      </c>
      <c r="C4756" s="65" t="s">
        <v>793</v>
      </c>
    </row>
    <row r="4757" spans="1:3" hidden="1">
      <c r="A4757" s="65">
        <v>9006424</v>
      </c>
      <c r="B4757" s="65" t="s">
        <v>5343</v>
      </c>
      <c r="C4757" s="65" t="s">
        <v>793</v>
      </c>
    </row>
    <row r="4758" spans="1:3" hidden="1">
      <c r="A4758" s="65">
        <v>9006425</v>
      </c>
      <c r="B4758" s="65" t="s">
        <v>5344</v>
      </c>
      <c r="C4758" s="65" t="s">
        <v>793</v>
      </c>
    </row>
    <row r="4759" spans="1:3" hidden="1">
      <c r="A4759" s="65">
        <v>9006426</v>
      </c>
      <c r="B4759" s="65" t="s">
        <v>5345</v>
      </c>
      <c r="C4759" s="65" t="s">
        <v>793</v>
      </c>
    </row>
    <row r="4760" spans="1:3" hidden="1">
      <c r="A4760" s="65">
        <v>9006427</v>
      </c>
      <c r="B4760" s="65" t="s">
        <v>5346</v>
      </c>
      <c r="C4760" s="65" t="s">
        <v>793</v>
      </c>
    </row>
    <row r="4761" spans="1:3" hidden="1">
      <c r="A4761" s="65">
        <v>9006428</v>
      </c>
      <c r="B4761" s="65" t="s">
        <v>5347</v>
      </c>
      <c r="C4761" s="65" t="s">
        <v>793</v>
      </c>
    </row>
    <row r="4762" spans="1:3" hidden="1">
      <c r="A4762" s="65">
        <v>9006429</v>
      </c>
      <c r="B4762" s="65" t="s">
        <v>5348</v>
      </c>
      <c r="C4762" s="65" t="s">
        <v>793</v>
      </c>
    </row>
    <row r="4763" spans="1:3" hidden="1">
      <c r="A4763" s="65">
        <v>9006430</v>
      </c>
      <c r="B4763" s="65" t="s">
        <v>5349</v>
      </c>
      <c r="C4763" s="65" t="s">
        <v>793</v>
      </c>
    </row>
    <row r="4764" spans="1:3" hidden="1">
      <c r="A4764" s="65">
        <v>9006431</v>
      </c>
      <c r="B4764" s="65" t="s">
        <v>5350</v>
      </c>
      <c r="C4764" s="65" t="s">
        <v>793</v>
      </c>
    </row>
    <row r="4765" spans="1:3" hidden="1">
      <c r="A4765" s="65">
        <v>9006432</v>
      </c>
      <c r="B4765" s="65" t="s">
        <v>5351</v>
      </c>
      <c r="C4765" s="65" t="s">
        <v>793</v>
      </c>
    </row>
    <row r="4766" spans="1:3" hidden="1">
      <c r="A4766" s="65">
        <v>9006433</v>
      </c>
      <c r="B4766" s="65" t="s">
        <v>5352</v>
      </c>
      <c r="C4766" s="65" t="s">
        <v>793</v>
      </c>
    </row>
    <row r="4767" spans="1:3" hidden="1">
      <c r="A4767" s="65">
        <v>9006434</v>
      </c>
      <c r="B4767" s="65" t="s">
        <v>5353</v>
      </c>
      <c r="C4767" s="65" t="s">
        <v>793</v>
      </c>
    </row>
    <row r="4768" spans="1:3" hidden="1">
      <c r="A4768" s="65">
        <v>9006435</v>
      </c>
      <c r="B4768" s="65" t="s">
        <v>5354</v>
      </c>
      <c r="C4768" s="65" t="s">
        <v>793</v>
      </c>
    </row>
    <row r="4769" spans="1:3" hidden="1">
      <c r="A4769" s="65">
        <v>9006436</v>
      </c>
      <c r="B4769" s="65" t="s">
        <v>5355</v>
      </c>
      <c r="C4769" s="65" t="s">
        <v>738</v>
      </c>
    </row>
    <row r="4770" spans="1:3" hidden="1">
      <c r="A4770" s="65">
        <v>9006437</v>
      </c>
      <c r="B4770" s="65" t="s">
        <v>5356</v>
      </c>
      <c r="C4770" s="65" t="s">
        <v>793</v>
      </c>
    </row>
    <row r="4771" spans="1:3" hidden="1">
      <c r="A4771" s="65">
        <v>9006438</v>
      </c>
      <c r="B4771" s="65" t="s">
        <v>5357</v>
      </c>
      <c r="C4771" s="65" t="s">
        <v>793</v>
      </c>
    </row>
    <row r="4772" spans="1:3" hidden="1">
      <c r="A4772" s="65">
        <v>9006439</v>
      </c>
      <c r="B4772" s="65" t="s">
        <v>5358</v>
      </c>
      <c r="C4772" s="65" t="s">
        <v>809</v>
      </c>
    </row>
    <row r="4773" spans="1:3" hidden="1">
      <c r="A4773" s="65">
        <v>9006440</v>
      </c>
      <c r="B4773" s="65" t="s">
        <v>5359</v>
      </c>
      <c r="C4773" s="65" t="s">
        <v>809</v>
      </c>
    </row>
    <row r="4774" spans="1:3" hidden="1">
      <c r="A4774" s="65">
        <v>9006441</v>
      </c>
      <c r="B4774" s="65" t="s">
        <v>5360</v>
      </c>
      <c r="C4774" s="65" t="s">
        <v>793</v>
      </c>
    </row>
    <row r="4775" spans="1:3" hidden="1">
      <c r="A4775" s="65">
        <v>9006442</v>
      </c>
      <c r="B4775" s="65" t="s">
        <v>5361</v>
      </c>
      <c r="C4775" s="65" t="s">
        <v>793</v>
      </c>
    </row>
    <row r="4776" spans="1:3" hidden="1">
      <c r="A4776" s="65">
        <v>9006443</v>
      </c>
      <c r="B4776" s="65" t="s">
        <v>5362</v>
      </c>
      <c r="C4776" s="65" t="s">
        <v>793</v>
      </c>
    </row>
    <row r="4777" spans="1:3" hidden="1">
      <c r="A4777" s="65">
        <v>9006444</v>
      </c>
      <c r="B4777" s="65" t="s">
        <v>5363</v>
      </c>
      <c r="C4777" s="65" t="s">
        <v>793</v>
      </c>
    </row>
    <row r="4778" spans="1:3" hidden="1">
      <c r="A4778" s="65">
        <v>9006445</v>
      </c>
      <c r="B4778" s="65" t="s">
        <v>5364</v>
      </c>
      <c r="C4778" s="65" t="s">
        <v>809</v>
      </c>
    </row>
    <row r="4779" spans="1:3" hidden="1">
      <c r="A4779" s="65">
        <v>9006446</v>
      </c>
      <c r="B4779" s="65" t="s">
        <v>5365</v>
      </c>
      <c r="C4779" s="65" t="s">
        <v>809</v>
      </c>
    </row>
    <row r="4780" spans="1:3" hidden="1">
      <c r="A4780" s="65">
        <v>9006447</v>
      </c>
      <c r="B4780" s="65" t="s">
        <v>5366</v>
      </c>
      <c r="C4780" s="65" t="s">
        <v>809</v>
      </c>
    </row>
    <row r="4781" spans="1:3" hidden="1">
      <c r="A4781" s="65">
        <v>9006448</v>
      </c>
      <c r="B4781" s="65" t="s">
        <v>5367</v>
      </c>
      <c r="C4781" s="65" t="s">
        <v>809</v>
      </c>
    </row>
    <row r="4782" spans="1:3" hidden="1">
      <c r="A4782" s="65">
        <v>9006449</v>
      </c>
      <c r="B4782" s="65" t="s">
        <v>5368</v>
      </c>
      <c r="C4782" s="65" t="s">
        <v>809</v>
      </c>
    </row>
    <row r="4783" spans="1:3" hidden="1">
      <c r="A4783" s="65">
        <v>9006450</v>
      </c>
      <c r="B4783" s="65" t="s">
        <v>5369</v>
      </c>
      <c r="C4783" s="65" t="s">
        <v>793</v>
      </c>
    </row>
    <row r="4784" spans="1:3" hidden="1">
      <c r="A4784" s="65">
        <v>9006451</v>
      </c>
      <c r="B4784" s="65" t="s">
        <v>5370</v>
      </c>
      <c r="C4784" s="65" t="s">
        <v>793</v>
      </c>
    </row>
    <row r="4785" spans="1:3" hidden="1">
      <c r="A4785" s="65">
        <v>9006452</v>
      </c>
      <c r="B4785" s="65" t="s">
        <v>5371</v>
      </c>
      <c r="C4785" s="65" t="s">
        <v>793</v>
      </c>
    </row>
    <row r="4786" spans="1:3" hidden="1">
      <c r="A4786" s="65">
        <v>9006453</v>
      </c>
      <c r="B4786" s="65" t="s">
        <v>5372</v>
      </c>
      <c r="C4786" s="65" t="s">
        <v>793</v>
      </c>
    </row>
    <row r="4787" spans="1:3" hidden="1">
      <c r="A4787" s="65">
        <v>9006454</v>
      </c>
      <c r="B4787" s="65" t="s">
        <v>5373</v>
      </c>
      <c r="C4787" s="65" t="s">
        <v>793</v>
      </c>
    </row>
    <row r="4788" spans="1:3" hidden="1">
      <c r="A4788" s="65">
        <v>9006455</v>
      </c>
      <c r="B4788" s="65" t="s">
        <v>5374</v>
      </c>
      <c r="C4788" s="65" t="s">
        <v>809</v>
      </c>
    </row>
    <row r="4789" spans="1:3" hidden="1">
      <c r="A4789" s="65">
        <v>9006456</v>
      </c>
      <c r="B4789" s="65" t="s">
        <v>5375</v>
      </c>
      <c r="C4789" s="65" t="s">
        <v>809</v>
      </c>
    </row>
    <row r="4790" spans="1:3" hidden="1">
      <c r="A4790" s="65">
        <v>9006457</v>
      </c>
      <c r="B4790" s="65" t="s">
        <v>5376</v>
      </c>
      <c r="C4790" s="65" t="s">
        <v>809</v>
      </c>
    </row>
    <row r="4791" spans="1:3" hidden="1">
      <c r="A4791" s="65">
        <v>9006458</v>
      </c>
      <c r="B4791" s="65" t="s">
        <v>5377</v>
      </c>
      <c r="C4791" s="65" t="s">
        <v>809</v>
      </c>
    </row>
    <row r="4792" spans="1:3" hidden="1">
      <c r="A4792" s="65">
        <v>9006459</v>
      </c>
      <c r="B4792" s="65" t="s">
        <v>5378</v>
      </c>
      <c r="C4792" s="65" t="s">
        <v>809</v>
      </c>
    </row>
    <row r="4793" spans="1:3" hidden="1">
      <c r="A4793" s="65">
        <v>9006460</v>
      </c>
      <c r="B4793" s="65" t="s">
        <v>5379</v>
      </c>
      <c r="C4793" s="65" t="s">
        <v>809</v>
      </c>
    </row>
    <row r="4794" spans="1:3" hidden="1">
      <c r="A4794" s="65">
        <v>9006461</v>
      </c>
      <c r="B4794" s="65" t="s">
        <v>5380</v>
      </c>
      <c r="C4794" s="65" t="s">
        <v>793</v>
      </c>
    </row>
    <row r="4795" spans="1:3" hidden="1">
      <c r="A4795" s="65">
        <v>9006462</v>
      </c>
      <c r="B4795" s="65" t="s">
        <v>5381</v>
      </c>
      <c r="C4795" s="65" t="s">
        <v>793</v>
      </c>
    </row>
    <row r="4796" spans="1:3" hidden="1">
      <c r="A4796" s="65">
        <v>9006463</v>
      </c>
      <c r="B4796" s="65" t="s">
        <v>5382</v>
      </c>
      <c r="C4796" s="65" t="s">
        <v>793</v>
      </c>
    </row>
    <row r="4797" spans="1:3" hidden="1">
      <c r="A4797" s="65">
        <v>9006464</v>
      </c>
      <c r="B4797" s="65" t="s">
        <v>5383</v>
      </c>
      <c r="C4797" s="65" t="s">
        <v>809</v>
      </c>
    </row>
    <row r="4798" spans="1:3" hidden="1">
      <c r="A4798" s="65">
        <v>9006465</v>
      </c>
      <c r="B4798" s="65" t="s">
        <v>5384</v>
      </c>
      <c r="C4798" s="65" t="s">
        <v>809</v>
      </c>
    </row>
    <row r="4799" spans="1:3" hidden="1">
      <c r="A4799" s="65">
        <v>9006466</v>
      </c>
      <c r="B4799" s="65" t="s">
        <v>5385</v>
      </c>
      <c r="C4799" s="65" t="s">
        <v>809</v>
      </c>
    </row>
    <row r="4800" spans="1:3" hidden="1">
      <c r="A4800" s="65">
        <v>9006467</v>
      </c>
      <c r="B4800" s="65" t="s">
        <v>5386</v>
      </c>
      <c r="C4800" s="65" t="s">
        <v>809</v>
      </c>
    </row>
    <row r="4801" spans="1:3" hidden="1">
      <c r="A4801" s="65">
        <v>9006468</v>
      </c>
      <c r="B4801" s="65" t="s">
        <v>5387</v>
      </c>
      <c r="C4801" s="65" t="s">
        <v>809</v>
      </c>
    </row>
    <row r="4802" spans="1:3" hidden="1">
      <c r="A4802" s="65">
        <v>9006469</v>
      </c>
      <c r="B4802" s="65" t="s">
        <v>5388</v>
      </c>
      <c r="C4802" s="65" t="s">
        <v>809</v>
      </c>
    </row>
    <row r="4803" spans="1:3" hidden="1">
      <c r="A4803" s="65">
        <v>9006470</v>
      </c>
      <c r="B4803" s="65" t="s">
        <v>5389</v>
      </c>
      <c r="C4803" s="65" t="s">
        <v>793</v>
      </c>
    </row>
    <row r="4804" spans="1:3" hidden="1">
      <c r="A4804" s="65">
        <v>9006471</v>
      </c>
      <c r="B4804" s="65" t="s">
        <v>5390</v>
      </c>
      <c r="C4804" s="65" t="s">
        <v>942</v>
      </c>
    </row>
    <row r="4805" spans="1:3" hidden="1">
      <c r="A4805" s="65">
        <v>9006472</v>
      </c>
      <c r="B4805" s="65" t="s">
        <v>5391</v>
      </c>
      <c r="C4805" s="65" t="s">
        <v>942</v>
      </c>
    </row>
    <row r="4806" spans="1:3" hidden="1">
      <c r="A4806" s="65">
        <v>9006473</v>
      </c>
      <c r="B4806" s="65" t="s">
        <v>5392</v>
      </c>
      <c r="C4806" s="65" t="s">
        <v>738</v>
      </c>
    </row>
    <row r="4807" spans="1:3" hidden="1">
      <c r="A4807" s="65">
        <v>9006474</v>
      </c>
      <c r="B4807" s="65" t="s">
        <v>5393</v>
      </c>
      <c r="C4807" s="65" t="s">
        <v>743</v>
      </c>
    </row>
    <row r="4808" spans="1:3" hidden="1">
      <c r="A4808" s="65">
        <v>9006475</v>
      </c>
      <c r="B4808" s="65" t="s">
        <v>5394</v>
      </c>
      <c r="C4808" s="65" t="s">
        <v>743</v>
      </c>
    </row>
    <row r="4809" spans="1:3" hidden="1">
      <c r="A4809" s="65">
        <v>9006476</v>
      </c>
      <c r="B4809" s="65" t="s">
        <v>5395</v>
      </c>
      <c r="C4809" s="65" t="s">
        <v>743</v>
      </c>
    </row>
    <row r="4810" spans="1:3" hidden="1">
      <c r="A4810" s="65">
        <v>9006477</v>
      </c>
      <c r="B4810" s="65" t="s">
        <v>5396</v>
      </c>
      <c r="C4810" s="65" t="s">
        <v>805</v>
      </c>
    </row>
    <row r="4811" spans="1:3" hidden="1">
      <c r="A4811" s="65">
        <v>9006478</v>
      </c>
      <c r="B4811" s="65" t="s">
        <v>5397</v>
      </c>
      <c r="C4811" s="65" t="s">
        <v>738</v>
      </c>
    </row>
    <row r="4812" spans="1:3" hidden="1">
      <c r="A4812" s="65">
        <v>9006479</v>
      </c>
      <c r="B4812" s="65" t="s">
        <v>5398</v>
      </c>
      <c r="C4812" s="65" t="s">
        <v>942</v>
      </c>
    </row>
    <row r="4813" spans="1:3" hidden="1">
      <c r="A4813" s="65">
        <v>9006480</v>
      </c>
      <c r="B4813" s="65" t="s">
        <v>5399</v>
      </c>
      <c r="C4813" s="65" t="s">
        <v>1111</v>
      </c>
    </row>
    <row r="4814" spans="1:3" hidden="1">
      <c r="A4814" s="65">
        <v>9006481</v>
      </c>
      <c r="B4814" s="65" t="s">
        <v>5400</v>
      </c>
      <c r="C4814" s="65" t="s">
        <v>793</v>
      </c>
    </row>
    <row r="4815" spans="1:3" hidden="1">
      <c r="A4815" s="65">
        <v>9006482</v>
      </c>
      <c r="B4815" s="65" t="s">
        <v>5401</v>
      </c>
      <c r="C4815" s="65" t="s">
        <v>1181</v>
      </c>
    </row>
    <row r="4816" spans="1:3" hidden="1">
      <c r="A4816" s="65">
        <v>9006483</v>
      </c>
      <c r="B4816" s="65" t="s">
        <v>5402</v>
      </c>
      <c r="C4816" s="65" t="s">
        <v>942</v>
      </c>
    </row>
    <row r="4817" spans="1:3" hidden="1">
      <c r="A4817" s="65">
        <v>9006484</v>
      </c>
      <c r="B4817" s="65" t="s">
        <v>5403</v>
      </c>
      <c r="C4817" s="65" t="s">
        <v>942</v>
      </c>
    </row>
    <row r="4818" spans="1:3" hidden="1">
      <c r="A4818" s="65">
        <v>9006489</v>
      </c>
      <c r="B4818" s="65" t="s">
        <v>5404</v>
      </c>
      <c r="C4818" s="65" t="s">
        <v>662</v>
      </c>
    </row>
    <row r="4819" spans="1:3" hidden="1">
      <c r="A4819" s="65">
        <v>9006490</v>
      </c>
      <c r="B4819" s="65" t="s">
        <v>5405</v>
      </c>
      <c r="C4819" s="65" t="s">
        <v>793</v>
      </c>
    </row>
    <row r="4820" spans="1:3" hidden="1">
      <c r="A4820" s="65">
        <v>9006491</v>
      </c>
      <c r="B4820" s="65" t="s">
        <v>5406</v>
      </c>
      <c r="C4820" s="65" t="s">
        <v>793</v>
      </c>
    </row>
    <row r="4821" spans="1:3" hidden="1">
      <c r="A4821" s="65">
        <v>9006492</v>
      </c>
      <c r="B4821" s="65" t="s">
        <v>5407</v>
      </c>
      <c r="C4821" s="65" t="s">
        <v>942</v>
      </c>
    </row>
    <row r="4822" spans="1:3" hidden="1">
      <c r="A4822" s="65">
        <v>9006493</v>
      </c>
      <c r="B4822" s="65" t="s">
        <v>5408</v>
      </c>
      <c r="C4822" s="65" t="s">
        <v>942</v>
      </c>
    </row>
    <row r="4823" spans="1:3" hidden="1">
      <c r="A4823" s="65">
        <v>9006494</v>
      </c>
      <c r="B4823" s="65" t="s">
        <v>5409</v>
      </c>
      <c r="C4823" s="65" t="s">
        <v>942</v>
      </c>
    </row>
    <row r="4824" spans="1:3" hidden="1">
      <c r="A4824" s="65">
        <v>9006495</v>
      </c>
      <c r="B4824" s="65" t="s">
        <v>5410</v>
      </c>
      <c r="C4824" s="65" t="s">
        <v>942</v>
      </c>
    </row>
    <row r="4825" spans="1:3" hidden="1">
      <c r="A4825" s="65">
        <v>9006496</v>
      </c>
      <c r="B4825" s="65" t="s">
        <v>4130</v>
      </c>
      <c r="C4825" s="65" t="s">
        <v>942</v>
      </c>
    </row>
    <row r="4826" spans="1:3" hidden="1">
      <c r="A4826" s="65">
        <v>9006497</v>
      </c>
      <c r="B4826" s="65" t="s">
        <v>4134</v>
      </c>
      <c r="C4826" s="65" t="s">
        <v>942</v>
      </c>
    </row>
    <row r="4827" spans="1:3" hidden="1">
      <c r="A4827" s="65">
        <v>9006498</v>
      </c>
      <c r="B4827" s="65" t="s">
        <v>5411</v>
      </c>
      <c r="C4827" s="65" t="s">
        <v>942</v>
      </c>
    </row>
    <row r="4828" spans="1:3" hidden="1">
      <c r="A4828" s="65">
        <v>9006499</v>
      </c>
      <c r="B4828" s="65" t="s">
        <v>5412</v>
      </c>
      <c r="C4828" s="65" t="s">
        <v>942</v>
      </c>
    </row>
    <row r="4829" spans="1:3" hidden="1">
      <c r="A4829" s="65">
        <v>9006500</v>
      </c>
      <c r="B4829" s="65" t="s">
        <v>5413</v>
      </c>
      <c r="C4829" s="65" t="s">
        <v>805</v>
      </c>
    </row>
    <row r="4830" spans="1:3" hidden="1">
      <c r="A4830" s="65">
        <v>9006501</v>
      </c>
      <c r="B4830" s="65" t="s">
        <v>5414</v>
      </c>
      <c r="C4830" s="65" t="s">
        <v>805</v>
      </c>
    </row>
    <row r="4831" spans="1:3" hidden="1">
      <c r="A4831" s="65">
        <v>9006509</v>
      </c>
      <c r="B4831" s="65" t="s">
        <v>5415</v>
      </c>
      <c r="C4831" s="65" t="s">
        <v>805</v>
      </c>
    </row>
    <row r="4832" spans="1:3" hidden="1">
      <c r="A4832" s="65">
        <v>9006510</v>
      </c>
      <c r="B4832" s="65" t="s">
        <v>5416</v>
      </c>
      <c r="C4832" s="65" t="s">
        <v>805</v>
      </c>
    </row>
    <row r="4833" spans="1:3" hidden="1">
      <c r="A4833" s="65">
        <v>9006511</v>
      </c>
      <c r="B4833" s="65" t="s">
        <v>5417</v>
      </c>
      <c r="C4833" s="65" t="s">
        <v>942</v>
      </c>
    </row>
    <row r="4834" spans="1:3" hidden="1">
      <c r="A4834" s="65">
        <v>9006519</v>
      </c>
      <c r="B4834" s="65" t="s">
        <v>5418</v>
      </c>
      <c r="C4834" s="65" t="s">
        <v>942</v>
      </c>
    </row>
    <row r="4835" spans="1:3" hidden="1">
      <c r="A4835" s="65">
        <v>9006520</v>
      </c>
      <c r="B4835" s="65" t="s">
        <v>5419</v>
      </c>
      <c r="C4835" s="65" t="s">
        <v>738</v>
      </c>
    </row>
    <row r="4836" spans="1:3" hidden="1">
      <c r="A4836" s="65">
        <v>9006521</v>
      </c>
      <c r="B4836" s="65" t="s">
        <v>5420</v>
      </c>
      <c r="C4836" s="65" t="s">
        <v>805</v>
      </c>
    </row>
    <row r="4837" spans="1:3" hidden="1">
      <c r="A4837" s="65">
        <v>9006522</v>
      </c>
      <c r="B4837" s="65" t="s">
        <v>5421</v>
      </c>
      <c r="C4837" s="65" t="s">
        <v>805</v>
      </c>
    </row>
    <row r="4838" spans="1:3" hidden="1">
      <c r="A4838" s="65">
        <v>9006523</v>
      </c>
      <c r="B4838" s="65" t="s">
        <v>5422</v>
      </c>
      <c r="C4838" s="65" t="s">
        <v>805</v>
      </c>
    </row>
    <row r="4839" spans="1:3" hidden="1">
      <c r="A4839" s="65">
        <v>9006524</v>
      </c>
      <c r="B4839" s="65" t="s">
        <v>5423</v>
      </c>
      <c r="C4839" s="65" t="s">
        <v>805</v>
      </c>
    </row>
    <row r="4840" spans="1:3" hidden="1">
      <c r="A4840" s="65">
        <v>9006525</v>
      </c>
      <c r="B4840" s="65" t="s">
        <v>5424</v>
      </c>
      <c r="C4840" s="65" t="s">
        <v>942</v>
      </c>
    </row>
    <row r="4841" spans="1:3" hidden="1">
      <c r="A4841" s="65">
        <v>9006526</v>
      </c>
      <c r="B4841" s="65" t="s">
        <v>5425</v>
      </c>
      <c r="C4841" s="65" t="s">
        <v>942</v>
      </c>
    </row>
    <row r="4842" spans="1:3" hidden="1">
      <c r="A4842" s="65">
        <v>9006527</v>
      </c>
      <c r="B4842" s="65" t="s">
        <v>5426</v>
      </c>
      <c r="C4842" s="65" t="s">
        <v>942</v>
      </c>
    </row>
    <row r="4843" spans="1:3" hidden="1">
      <c r="A4843" s="65">
        <v>9006528</v>
      </c>
      <c r="B4843" s="65" t="s">
        <v>5427</v>
      </c>
      <c r="C4843" s="65" t="s">
        <v>942</v>
      </c>
    </row>
    <row r="4844" spans="1:3" hidden="1">
      <c r="A4844" s="65">
        <v>9006529</v>
      </c>
      <c r="B4844" s="65" t="s">
        <v>5428</v>
      </c>
      <c r="C4844" s="65" t="s">
        <v>738</v>
      </c>
    </row>
    <row r="4845" spans="1:3" hidden="1">
      <c r="A4845" s="65">
        <v>9006530</v>
      </c>
      <c r="B4845" s="65" t="s">
        <v>5429</v>
      </c>
      <c r="C4845" s="65" t="s">
        <v>805</v>
      </c>
    </row>
    <row r="4846" spans="1:3" hidden="1">
      <c r="A4846" s="65">
        <v>9006531</v>
      </c>
      <c r="B4846" s="65" t="s">
        <v>5430</v>
      </c>
      <c r="C4846" s="65" t="s">
        <v>805</v>
      </c>
    </row>
    <row r="4847" spans="1:3" hidden="1">
      <c r="A4847" s="65">
        <v>9006532</v>
      </c>
      <c r="B4847" s="65" t="s">
        <v>5431</v>
      </c>
      <c r="C4847" s="65" t="s">
        <v>805</v>
      </c>
    </row>
    <row r="4848" spans="1:3" hidden="1">
      <c r="A4848" s="65">
        <v>9006533</v>
      </c>
      <c r="B4848" s="65" t="s">
        <v>5432</v>
      </c>
      <c r="C4848" s="65" t="s">
        <v>807</v>
      </c>
    </row>
    <row r="4849" spans="1:3" hidden="1">
      <c r="A4849" s="65">
        <v>9006539</v>
      </c>
      <c r="B4849" s="65" t="s">
        <v>5433</v>
      </c>
      <c r="C4849" s="65" t="s">
        <v>942</v>
      </c>
    </row>
    <row r="4850" spans="1:3" hidden="1">
      <c r="A4850" s="65">
        <v>9006540</v>
      </c>
      <c r="B4850" s="65" t="s">
        <v>5434</v>
      </c>
      <c r="C4850" s="65" t="s">
        <v>942</v>
      </c>
    </row>
    <row r="4851" spans="1:3" hidden="1">
      <c r="A4851" s="65">
        <v>9006541</v>
      </c>
      <c r="B4851" s="65" t="s">
        <v>5435</v>
      </c>
      <c r="C4851" s="65" t="s">
        <v>732</v>
      </c>
    </row>
    <row r="4852" spans="1:3" hidden="1">
      <c r="A4852" s="65">
        <v>9006542</v>
      </c>
      <c r="B4852" s="65" t="s">
        <v>5436</v>
      </c>
      <c r="C4852" s="65" t="s">
        <v>942</v>
      </c>
    </row>
    <row r="4853" spans="1:3" hidden="1">
      <c r="A4853" s="65">
        <v>9006543</v>
      </c>
      <c r="B4853" s="65" t="s">
        <v>5437</v>
      </c>
      <c r="C4853" s="65" t="s">
        <v>942</v>
      </c>
    </row>
    <row r="4854" spans="1:3" hidden="1">
      <c r="A4854" s="65">
        <v>9006544</v>
      </c>
      <c r="B4854" s="65" t="s">
        <v>5438</v>
      </c>
      <c r="C4854" s="65" t="s">
        <v>942</v>
      </c>
    </row>
    <row r="4855" spans="1:3" hidden="1">
      <c r="A4855" s="65">
        <v>9006545</v>
      </c>
      <c r="B4855" s="65" t="s">
        <v>5439</v>
      </c>
      <c r="C4855" s="65" t="s">
        <v>942</v>
      </c>
    </row>
    <row r="4856" spans="1:3" hidden="1">
      <c r="A4856" s="65">
        <v>9006546</v>
      </c>
      <c r="B4856" s="65" t="s">
        <v>5440</v>
      </c>
      <c r="C4856" s="65" t="s">
        <v>942</v>
      </c>
    </row>
    <row r="4857" spans="1:3" hidden="1">
      <c r="A4857" s="65">
        <v>9006547</v>
      </c>
      <c r="B4857" s="65" t="s">
        <v>5441</v>
      </c>
      <c r="C4857" s="65" t="s">
        <v>942</v>
      </c>
    </row>
    <row r="4858" spans="1:3" hidden="1">
      <c r="A4858" s="65">
        <v>9006548</v>
      </c>
      <c r="B4858" s="65" t="s">
        <v>5442</v>
      </c>
      <c r="C4858" s="65" t="s">
        <v>942</v>
      </c>
    </row>
    <row r="4859" spans="1:3" hidden="1">
      <c r="A4859" s="65">
        <v>9006549</v>
      </c>
      <c r="B4859" s="65" t="s">
        <v>5443</v>
      </c>
      <c r="C4859" s="65" t="s">
        <v>942</v>
      </c>
    </row>
    <row r="4860" spans="1:3" hidden="1">
      <c r="A4860" s="65">
        <v>9006550</v>
      </c>
      <c r="B4860" s="65" t="s">
        <v>5444</v>
      </c>
      <c r="C4860" s="65" t="s">
        <v>942</v>
      </c>
    </row>
    <row r="4861" spans="1:3" hidden="1">
      <c r="A4861" s="65">
        <v>9006551</v>
      </c>
      <c r="B4861" s="65" t="s">
        <v>5445</v>
      </c>
      <c r="C4861" s="65" t="s">
        <v>942</v>
      </c>
    </row>
    <row r="4862" spans="1:3" hidden="1">
      <c r="A4862" s="65">
        <v>9006552</v>
      </c>
      <c r="B4862" s="65" t="s">
        <v>5446</v>
      </c>
      <c r="C4862" s="65" t="s">
        <v>942</v>
      </c>
    </row>
    <row r="4863" spans="1:3" hidden="1">
      <c r="A4863" s="65">
        <v>9006553</v>
      </c>
      <c r="B4863" s="65" t="s">
        <v>5447</v>
      </c>
      <c r="C4863" s="65" t="s">
        <v>942</v>
      </c>
    </row>
    <row r="4864" spans="1:3" hidden="1">
      <c r="A4864" s="65">
        <v>9006559</v>
      </c>
      <c r="B4864" s="65" t="s">
        <v>5448</v>
      </c>
      <c r="C4864" s="65" t="s">
        <v>743</v>
      </c>
    </row>
    <row r="4865" spans="1:3" hidden="1">
      <c r="A4865" s="65">
        <v>9006560</v>
      </c>
      <c r="B4865" s="65" t="s">
        <v>5449</v>
      </c>
      <c r="C4865" s="65" t="s">
        <v>743</v>
      </c>
    </row>
    <row r="4866" spans="1:3" hidden="1">
      <c r="A4866" s="65">
        <v>9006561</v>
      </c>
      <c r="B4866" s="65" t="s">
        <v>5450</v>
      </c>
      <c r="C4866" s="65" t="s">
        <v>743</v>
      </c>
    </row>
    <row r="4867" spans="1:3" hidden="1">
      <c r="A4867" s="65">
        <v>9006562</v>
      </c>
      <c r="B4867" s="65" t="s">
        <v>5451</v>
      </c>
      <c r="C4867" s="65" t="s">
        <v>942</v>
      </c>
    </row>
    <row r="4868" spans="1:3" hidden="1">
      <c r="A4868" s="65">
        <v>9006563</v>
      </c>
      <c r="B4868" s="65" t="s">
        <v>5452</v>
      </c>
      <c r="C4868" s="65" t="s">
        <v>942</v>
      </c>
    </row>
    <row r="4869" spans="1:3" hidden="1">
      <c r="A4869" s="65">
        <v>9006564</v>
      </c>
      <c r="B4869" s="65" t="s">
        <v>5453</v>
      </c>
      <c r="C4869" s="65" t="s">
        <v>850</v>
      </c>
    </row>
    <row r="4870" spans="1:3" hidden="1">
      <c r="A4870" s="65">
        <v>9006569</v>
      </c>
      <c r="B4870" s="65" t="s">
        <v>5454</v>
      </c>
      <c r="C4870" s="65" t="s">
        <v>738</v>
      </c>
    </row>
    <row r="4871" spans="1:3" hidden="1">
      <c r="A4871" s="65">
        <v>9006570</v>
      </c>
      <c r="B4871" s="65" t="s">
        <v>5455</v>
      </c>
      <c r="C4871" s="65" t="s">
        <v>1181</v>
      </c>
    </row>
    <row r="4872" spans="1:3" hidden="1">
      <c r="A4872" s="65">
        <v>9006579</v>
      </c>
      <c r="B4872" s="65" t="s">
        <v>5456</v>
      </c>
      <c r="C4872" s="65" t="s">
        <v>942</v>
      </c>
    </row>
    <row r="4873" spans="1:3" hidden="1">
      <c r="A4873" s="65">
        <v>9006580</v>
      </c>
      <c r="B4873" s="65" t="s">
        <v>5457</v>
      </c>
      <c r="C4873" s="65" t="s">
        <v>942</v>
      </c>
    </row>
    <row r="4874" spans="1:3" hidden="1">
      <c r="A4874" s="65">
        <v>9006581</v>
      </c>
      <c r="B4874" s="65" t="s">
        <v>5458</v>
      </c>
      <c r="C4874" s="65" t="s">
        <v>942</v>
      </c>
    </row>
    <row r="4875" spans="1:3" hidden="1">
      <c r="A4875" s="65">
        <v>9006582</v>
      </c>
      <c r="B4875" s="65" t="s">
        <v>5459</v>
      </c>
      <c r="C4875" s="65" t="s">
        <v>805</v>
      </c>
    </row>
    <row r="4876" spans="1:3" hidden="1">
      <c r="A4876" s="65">
        <v>9006583</v>
      </c>
      <c r="B4876" s="65" t="s">
        <v>5460</v>
      </c>
      <c r="C4876" s="65" t="s">
        <v>1926</v>
      </c>
    </row>
    <row r="4877" spans="1:3" hidden="1">
      <c r="A4877" s="65">
        <v>9006589</v>
      </c>
      <c r="B4877" s="65" t="s">
        <v>5461</v>
      </c>
      <c r="C4877" s="65" t="s">
        <v>942</v>
      </c>
    </row>
    <row r="4878" spans="1:3" hidden="1">
      <c r="A4878" s="65">
        <v>9006590</v>
      </c>
      <c r="B4878" s="65" t="s">
        <v>5462</v>
      </c>
      <c r="C4878" s="65" t="s">
        <v>942</v>
      </c>
    </row>
    <row r="4879" spans="1:3" hidden="1">
      <c r="A4879" s="65">
        <v>9006599</v>
      </c>
      <c r="B4879" s="65" t="s">
        <v>5463</v>
      </c>
      <c r="C4879" s="65" t="s">
        <v>805</v>
      </c>
    </row>
    <row r="4880" spans="1:3" hidden="1">
      <c r="A4880" s="65">
        <v>9006600</v>
      </c>
      <c r="B4880" s="65" t="s">
        <v>5464</v>
      </c>
      <c r="C4880" s="65" t="s">
        <v>805</v>
      </c>
    </row>
    <row r="4881" spans="1:3" hidden="1">
      <c r="A4881" s="65">
        <v>9006601</v>
      </c>
      <c r="B4881" s="65" t="s">
        <v>5465</v>
      </c>
      <c r="C4881" s="65" t="s">
        <v>942</v>
      </c>
    </row>
    <row r="4882" spans="1:3" hidden="1">
      <c r="A4882" s="65">
        <v>9006602</v>
      </c>
      <c r="B4882" s="65" t="s">
        <v>5466</v>
      </c>
      <c r="C4882" s="65" t="s">
        <v>942</v>
      </c>
    </row>
    <row r="4883" spans="1:3" hidden="1">
      <c r="A4883" s="65">
        <v>9006603</v>
      </c>
      <c r="B4883" s="65" t="s">
        <v>5467</v>
      </c>
      <c r="C4883" s="65" t="s">
        <v>942</v>
      </c>
    </row>
    <row r="4884" spans="1:3" hidden="1">
      <c r="A4884" s="65">
        <v>9006604</v>
      </c>
      <c r="B4884" s="65" t="s">
        <v>5468</v>
      </c>
      <c r="C4884" s="65" t="s">
        <v>942</v>
      </c>
    </row>
    <row r="4885" spans="1:3" hidden="1">
      <c r="A4885" s="65">
        <v>9006605</v>
      </c>
      <c r="B4885" s="65" t="s">
        <v>5469</v>
      </c>
      <c r="C4885" s="65" t="s">
        <v>942</v>
      </c>
    </row>
    <row r="4886" spans="1:3" hidden="1">
      <c r="A4886" s="65">
        <v>9006606</v>
      </c>
      <c r="B4886" s="65" t="s">
        <v>5470</v>
      </c>
      <c r="C4886" s="65" t="s">
        <v>942</v>
      </c>
    </row>
    <row r="4887" spans="1:3" hidden="1">
      <c r="A4887" s="65">
        <v>9006607</v>
      </c>
      <c r="B4887" s="65" t="s">
        <v>5471</v>
      </c>
      <c r="C4887" s="65" t="s">
        <v>942</v>
      </c>
    </row>
    <row r="4888" spans="1:3" hidden="1">
      <c r="A4888" s="65">
        <v>9006608</v>
      </c>
      <c r="B4888" s="65" t="s">
        <v>5472</v>
      </c>
      <c r="C4888" s="65" t="s">
        <v>942</v>
      </c>
    </row>
    <row r="4889" spans="1:3" hidden="1">
      <c r="A4889" s="65">
        <v>9006609</v>
      </c>
      <c r="B4889" s="65" t="s">
        <v>5473</v>
      </c>
      <c r="C4889" s="65" t="s">
        <v>942</v>
      </c>
    </row>
    <row r="4890" spans="1:3" hidden="1">
      <c r="A4890" s="65">
        <v>9006610</v>
      </c>
      <c r="B4890" s="65" t="s">
        <v>5474</v>
      </c>
      <c r="C4890" s="65" t="s">
        <v>942</v>
      </c>
    </row>
    <row r="4891" spans="1:3" hidden="1">
      <c r="A4891" s="65">
        <v>9006611</v>
      </c>
      <c r="B4891" s="65" t="s">
        <v>5475</v>
      </c>
      <c r="C4891" s="65" t="s">
        <v>942</v>
      </c>
    </row>
    <row r="4892" spans="1:3" hidden="1">
      <c r="A4892" s="65">
        <v>9006612</v>
      </c>
      <c r="B4892" s="65" t="s">
        <v>5476</v>
      </c>
      <c r="C4892" s="65" t="s">
        <v>942</v>
      </c>
    </row>
    <row r="4893" spans="1:3" hidden="1">
      <c r="A4893" s="65">
        <v>9006613</v>
      </c>
      <c r="B4893" s="65" t="s">
        <v>5477</v>
      </c>
      <c r="C4893" s="65" t="s">
        <v>942</v>
      </c>
    </row>
    <row r="4894" spans="1:3" hidden="1">
      <c r="A4894" s="65">
        <v>9006619</v>
      </c>
      <c r="B4894" s="65" t="s">
        <v>5478</v>
      </c>
      <c r="C4894" s="65" t="s">
        <v>942</v>
      </c>
    </row>
    <row r="4895" spans="1:3" hidden="1">
      <c r="A4895" s="65">
        <v>9006620</v>
      </c>
      <c r="B4895" s="65" t="s">
        <v>5479</v>
      </c>
      <c r="C4895" s="65" t="s">
        <v>942</v>
      </c>
    </row>
    <row r="4896" spans="1:3" hidden="1">
      <c r="A4896" s="65">
        <v>9006621</v>
      </c>
      <c r="B4896" s="65" t="s">
        <v>5480</v>
      </c>
      <c r="C4896" s="65" t="s">
        <v>942</v>
      </c>
    </row>
    <row r="4897" spans="1:3" hidden="1">
      <c r="A4897" s="65">
        <v>9006622</v>
      </c>
      <c r="B4897" s="65" t="s">
        <v>5481</v>
      </c>
      <c r="C4897" s="65" t="s">
        <v>942</v>
      </c>
    </row>
    <row r="4898" spans="1:3" hidden="1">
      <c r="A4898" s="65">
        <v>9006623</v>
      </c>
      <c r="B4898" s="65" t="s">
        <v>5482</v>
      </c>
      <c r="C4898" s="65" t="s">
        <v>942</v>
      </c>
    </row>
    <row r="4899" spans="1:3" hidden="1">
      <c r="A4899" s="65">
        <v>9006624</v>
      </c>
      <c r="B4899" s="65" t="s">
        <v>5483</v>
      </c>
      <c r="C4899" s="65" t="s">
        <v>942</v>
      </c>
    </row>
    <row r="4900" spans="1:3" hidden="1">
      <c r="A4900" s="65">
        <v>9006625</v>
      </c>
      <c r="B4900" s="65" t="s">
        <v>5484</v>
      </c>
      <c r="C4900" s="65" t="s">
        <v>942</v>
      </c>
    </row>
    <row r="4901" spans="1:3" hidden="1">
      <c r="A4901" s="65">
        <v>9006626</v>
      </c>
      <c r="B4901" s="65" t="s">
        <v>5485</v>
      </c>
      <c r="C4901" s="65" t="s">
        <v>942</v>
      </c>
    </row>
    <row r="4902" spans="1:3" hidden="1">
      <c r="A4902" s="65">
        <v>9006627</v>
      </c>
      <c r="B4902" s="65" t="s">
        <v>5486</v>
      </c>
      <c r="C4902" s="65" t="s">
        <v>942</v>
      </c>
    </row>
    <row r="4903" spans="1:3" hidden="1">
      <c r="A4903" s="65">
        <v>9006628</v>
      </c>
      <c r="B4903" s="65" t="s">
        <v>5487</v>
      </c>
      <c r="C4903" s="65" t="s">
        <v>942</v>
      </c>
    </row>
    <row r="4904" spans="1:3" hidden="1">
      <c r="A4904" s="65">
        <v>9006629</v>
      </c>
      <c r="B4904" s="65" t="s">
        <v>5488</v>
      </c>
      <c r="C4904" s="65" t="s">
        <v>942</v>
      </c>
    </row>
    <row r="4905" spans="1:3" hidden="1">
      <c r="A4905" s="65">
        <v>9006630</v>
      </c>
      <c r="B4905" s="65" t="s">
        <v>5489</v>
      </c>
      <c r="C4905" s="65" t="s">
        <v>942</v>
      </c>
    </row>
    <row r="4906" spans="1:3" hidden="1">
      <c r="A4906" s="65">
        <v>9006631</v>
      </c>
      <c r="B4906" s="65" t="s">
        <v>5490</v>
      </c>
      <c r="C4906" s="65" t="s">
        <v>942</v>
      </c>
    </row>
    <row r="4907" spans="1:3" hidden="1">
      <c r="A4907" s="65">
        <v>9006632</v>
      </c>
      <c r="B4907" s="65" t="s">
        <v>5491</v>
      </c>
      <c r="C4907" s="65" t="s">
        <v>942</v>
      </c>
    </row>
    <row r="4908" spans="1:3" hidden="1">
      <c r="A4908" s="65">
        <v>9006633</v>
      </c>
      <c r="B4908" s="65" t="s">
        <v>5492</v>
      </c>
      <c r="C4908" s="65" t="s">
        <v>942</v>
      </c>
    </row>
    <row r="4909" spans="1:3" hidden="1">
      <c r="A4909" s="65">
        <v>9006634</v>
      </c>
      <c r="B4909" s="65" t="s">
        <v>5493</v>
      </c>
      <c r="C4909" s="65" t="s">
        <v>942</v>
      </c>
    </row>
    <row r="4910" spans="1:3" hidden="1">
      <c r="A4910" s="65">
        <v>9006635</v>
      </c>
      <c r="B4910" s="65" t="s">
        <v>5494</v>
      </c>
      <c r="C4910" s="65" t="s">
        <v>942</v>
      </c>
    </row>
    <row r="4911" spans="1:3" hidden="1">
      <c r="A4911" s="65">
        <v>9006636</v>
      </c>
      <c r="B4911" s="65" t="s">
        <v>5495</v>
      </c>
      <c r="C4911" s="65" t="s">
        <v>942</v>
      </c>
    </row>
    <row r="4912" spans="1:3" hidden="1">
      <c r="A4912" s="65">
        <v>9006639</v>
      </c>
      <c r="B4912" s="65" t="s">
        <v>5496</v>
      </c>
      <c r="C4912" s="65" t="s">
        <v>942</v>
      </c>
    </row>
    <row r="4913" spans="1:3" hidden="1">
      <c r="A4913" s="65">
        <v>9006640</v>
      </c>
      <c r="B4913" s="65" t="s">
        <v>5497</v>
      </c>
      <c r="C4913" s="65" t="s">
        <v>942</v>
      </c>
    </row>
    <row r="4914" spans="1:3" hidden="1">
      <c r="A4914" s="65">
        <v>9006641</v>
      </c>
      <c r="B4914" s="65" t="s">
        <v>5498</v>
      </c>
      <c r="C4914" s="65" t="s">
        <v>942</v>
      </c>
    </row>
    <row r="4915" spans="1:3" hidden="1">
      <c r="A4915" s="65">
        <v>9006642</v>
      </c>
      <c r="B4915" s="65" t="s">
        <v>5499</v>
      </c>
      <c r="C4915" s="65" t="s">
        <v>942</v>
      </c>
    </row>
    <row r="4916" spans="1:3" hidden="1">
      <c r="A4916" s="65">
        <v>9006643</v>
      </c>
      <c r="B4916" s="65" t="s">
        <v>5500</v>
      </c>
      <c r="C4916" s="65" t="s">
        <v>942</v>
      </c>
    </row>
    <row r="4917" spans="1:3" hidden="1">
      <c r="A4917" s="65">
        <v>9006644</v>
      </c>
      <c r="B4917" s="65" t="s">
        <v>5501</v>
      </c>
      <c r="C4917" s="65" t="s">
        <v>942</v>
      </c>
    </row>
    <row r="4918" spans="1:3" hidden="1">
      <c r="A4918" s="65">
        <v>9006645</v>
      </c>
      <c r="B4918" s="65" t="s">
        <v>5502</v>
      </c>
      <c r="C4918" s="65" t="s">
        <v>942</v>
      </c>
    </row>
    <row r="4919" spans="1:3" hidden="1">
      <c r="A4919" s="65">
        <v>9006646</v>
      </c>
      <c r="B4919" s="65" t="s">
        <v>5503</v>
      </c>
      <c r="C4919" s="65" t="s">
        <v>942</v>
      </c>
    </row>
    <row r="4920" spans="1:3" hidden="1">
      <c r="A4920" s="65">
        <v>9006647</v>
      </c>
      <c r="B4920" s="65" t="s">
        <v>5504</v>
      </c>
      <c r="C4920" s="65" t="s">
        <v>942</v>
      </c>
    </row>
    <row r="4921" spans="1:3" hidden="1">
      <c r="A4921" s="65">
        <v>9006648</v>
      </c>
      <c r="B4921" s="65" t="s">
        <v>5505</v>
      </c>
      <c r="C4921" s="65" t="s">
        <v>942</v>
      </c>
    </row>
    <row r="4922" spans="1:3" hidden="1">
      <c r="A4922" s="65">
        <v>9006649</v>
      </c>
      <c r="B4922" s="65" t="s">
        <v>5506</v>
      </c>
      <c r="C4922" s="65" t="s">
        <v>942</v>
      </c>
    </row>
    <row r="4923" spans="1:3" hidden="1">
      <c r="A4923" s="65">
        <v>9006650</v>
      </c>
      <c r="B4923" s="65" t="s">
        <v>5507</v>
      </c>
      <c r="C4923" s="65" t="s">
        <v>942</v>
      </c>
    </row>
    <row r="4924" spans="1:3" hidden="1">
      <c r="A4924" s="65">
        <v>9006651</v>
      </c>
      <c r="B4924" s="65" t="s">
        <v>5508</v>
      </c>
      <c r="C4924" s="65" t="s">
        <v>942</v>
      </c>
    </row>
    <row r="4925" spans="1:3" hidden="1">
      <c r="A4925" s="65">
        <v>9006652</v>
      </c>
      <c r="B4925" s="65" t="s">
        <v>5509</v>
      </c>
      <c r="C4925" s="65" t="s">
        <v>942</v>
      </c>
    </row>
    <row r="4926" spans="1:3" hidden="1">
      <c r="A4926" s="65">
        <v>9006653</v>
      </c>
      <c r="B4926" s="65" t="s">
        <v>5510</v>
      </c>
      <c r="C4926" s="65" t="s">
        <v>942</v>
      </c>
    </row>
    <row r="4927" spans="1:3" hidden="1">
      <c r="A4927" s="65">
        <v>9006654</v>
      </c>
      <c r="B4927" s="65" t="s">
        <v>5511</v>
      </c>
      <c r="C4927" s="65" t="s">
        <v>942</v>
      </c>
    </row>
    <row r="4928" spans="1:3" hidden="1">
      <c r="A4928" s="65">
        <v>9006655</v>
      </c>
      <c r="B4928" s="65" t="s">
        <v>5512</v>
      </c>
      <c r="C4928" s="65" t="s">
        <v>942</v>
      </c>
    </row>
    <row r="4929" spans="1:3" hidden="1">
      <c r="A4929" s="65">
        <v>9006656</v>
      </c>
      <c r="B4929" s="65" t="s">
        <v>5513</v>
      </c>
      <c r="C4929" s="65" t="s">
        <v>942</v>
      </c>
    </row>
    <row r="4930" spans="1:3" hidden="1">
      <c r="A4930" s="65">
        <v>9006657</v>
      </c>
      <c r="B4930" s="65" t="s">
        <v>5514</v>
      </c>
      <c r="C4930" s="65" t="s">
        <v>942</v>
      </c>
    </row>
    <row r="4931" spans="1:3" hidden="1">
      <c r="A4931" s="65">
        <v>9006658</v>
      </c>
      <c r="B4931" s="65" t="s">
        <v>5515</v>
      </c>
      <c r="C4931" s="65" t="s">
        <v>942</v>
      </c>
    </row>
    <row r="4932" spans="1:3" hidden="1">
      <c r="A4932" s="65">
        <v>9006659</v>
      </c>
      <c r="B4932" s="65" t="s">
        <v>5516</v>
      </c>
      <c r="C4932" s="65" t="s">
        <v>942</v>
      </c>
    </row>
    <row r="4933" spans="1:3" hidden="1">
      <c r="A4933" s="65">
        <v>9006660</v>
      </c>
      <c r="B4933" s="65" t="s">
        <v>5517</v>
      </c>
      <c r="C4933" s="65" t="s">
        <v>942</v>
      </c>
    </row>
    <row r="4934" spans="1:3" hidden="1">
      <c r="A4934" s="65">
        <v>9006661</v>
      </c>
      <c r="B4934" s="65" t="s">
        <v>5518</v>
      </c>
      <c r="C4934" s="65" t="s">
        <v>942</v>
      </c>
    </row>
    <row r="4935" spans="1:3" hidden="1">
      <c r="A4935" s="65">
        <v>9006662</v>
      </c>
      <c r="B4935" s="65" t="s">
        <v>5519</v>
      </c>
      <c r="C4935" s="65" t="s">
        <v>942</v>
      </c>
    </row>
    <row r="4936" spans="1:3" hidden="1">
      <c r="A4936" s="65">
        <v>9006663</v>
      </c>
      <c r="B4936" s="65" t="s">
        <v>5520</v>
      </c>
      <c r="C4936" s="65" t="s">
        <v>942</v>
      </c>
    </row>
    <row r="4937" spans="1:3" hidden="1">
      <c r="A4937" s="65">
        <v>9006664</v>
      </c>
      <c r="B4937" s="65" t="s">
        <v>5521</v>
      </c>
      <c r="C4937" s="65" t="s">
        <v>942</v>
      </c>
    </row>
    <row r="4938" spans="1:3" hidden="1">
      <c r="A4938" s="65">
        <v>9006665</v>
      </c>
      <c r="B4938" s="65" t="s">
        <v>5522</v>
      </c>
      <c r="C4938" s="65" t="s">
        <v>942</v>
      </c>
    </row>
    <row r="4939" spans="1:3" hidden="1">
      <c r="A4939" s="65">
        <v>9006666</v>
      </c>
      <c r="B4939" s="65" t="s">
        <v>5523</v>
      </c>
      <c r="C4939" s="65" t="s">
        <v>942</v>
      </c>
    </row>
    <row r="4940" spans="1:3" hidden="1">
      <c r="A4940" s="65">
        <v>9006667</v>
      </c>
      <c r="B4940" s="65" t="s">
        <v>5524</v>
      </c>
      <c r="C4940" s="65" t="s">
        <v>942</v>
      </c>
    </row>
    <row r="4941" spans="1:3" hidden="1">
      <c r="A4941" s="65">
        <v>9006668</v>
      </c>
      <c r="B4941" s="65" t="s">
        <v>5525</v>
      </c>
      <c r="C4941" s="65" t="s">
        <v>942</v>
      </c>
    </row>
    <row r="4942" spans="1:3" hidden="1">
      <c r="A4942" s="65">
        <v>9006669</v>
      </c>
      <c r="B4942" s="65" t="s">
        <v>5526</v>
      </c>
      <c r="C4942" s="65" t="s">
        <v>793</v>
      </c>
    </row>
    <row r="4943" spans="1:3" hidden="1">
      <c r="A4943" s="65">
        <v>9006670</v>
      </c>
      <c r="B4943" s="65" t="s">
        <v>5527</v>
      </c>
      <c r="C4943" s="65" t="s">
        <v>793</v>
      </c>
    </row>
    <row r="4944" spans="1:3" hidden="1">
      <c r="A4944" s="65">
        <v>9006671</v>
      </c>
      <c r="B4944" s="65" t="s">
        <v>5528</v>
      </c>
      <c r="C4944" s="65" t="s">
        <v>793</v>
      </c>
    </row>
    <row r="4945" spans="1:3" hidden="1">
      <c r="A4945" s="65">
        <v>9006672</v>
      </c>
      <c r="B4945" s="65" t="s">
        <v>5529</v>
      </c>
      <c r="C4945" s="65" t="s">
        <v>805</v>
      </c>
    </row>
    <row r="4946" spans="1:3" hidden="1">
      <c r="A4946" s="65">
        <v>9006673</v>
      </c>
      <c r="B4946" s="65" t="s">
        <v>5530</v>
      </c>
      <c r="C4946" s="65" t="s">
        <v>805</v>
      </c>
    </row>
    <row r="4947" spans="1:3" hidden="1">
      <c r="A4947" s="65">
        <v>9006674</v>
      </c>
      <c r="B4947" s="65" t="s">
        <v>5531</v>
      </c>
      <c r="C4947" s="65" t="s">
        <v>805</v>
      </c>
    </row>
    <row r="4948" spans="1:3" hidden="1">
      <c r="A4948" s="65">
        <v>9006675</v>
      </c>
      <c r="B4948" s="65" t="s">
        <v>5532</v>
      </c>
      <c r="C4948" s="65" t="s">
        <v>805</v>
      </c>
    </row>
    <row r="4949" spans="1:3" hidden="1">
      <c r="A4949" s="65">
        <v>9006676</v>
      </c>
      <c r="B4949" s="65" t="s">
        <v>5533</v>
      </c>
      <c r="C4949" s="65" t="s">
        <v>805</v>
      </c>
    </row>
    <row r="4950" spans="1:3" hidden="1">
      <c r="A4950" s="65">
        <v>9006677</v>
      </c>
      <c r="B4950" s="65" t="s">
        <v>5534</v>
      </c>
      <c r="C4950" s="65" t="s">
        <v>805</v>
      </c>
    </row>
    <row r="4951" spans="1:3" hidden="1">
      <c r="A4951" s="65">
        <v>9006678</v>
      </c>
      <c r="B4951" s="65" t="s">
        <v>5535</v>
      </c>
      <c r="C4951" s="65" t="s">
        <v>805</v>
      </c>
    </row>
    <row r="4952" spans="1:3" hidden="1">
      <c r="A4952" s="65">
        <v>9006679</v>
      </c>
      <c r="B4952" s="65" t="s">
        <v>5536</v>
      </c>
      <c r="C4952" s="65" t="s">
        <v>805</v>
      </c>
    </row>
    <row r="4953" spans="1:3" hidden="1">
      <c r="A4953" s="65">
        <v>9006680</v>
      </c>
      <c r="B4953" s="65" t="s">
        <v>5537</v>
      </c>
      <c r="C4953" s="65" t="s">
        <v>805</v>
      </c>
    </row>
    <row r="4954" spans="1:3" hidden="1">
      <c r="A4954" s="65">
        <v>9006681</v>
      </c>
      <c r="B4954" s="65" t="s">
        <v>5538</v>
      </c>
      <c r="C4954" s="65" t="s">
        <v>805</v>
      </c>
    </row>
    <row r="4955" spans="1:3" hidden="1">
      <c r="A4955" s="65">
        <v>9006682</v>
      </c>
      <c r="B4955" s="65" t="s">
        <v>5539</v>
      </c>
      <c r="C4955" s="65" t="s">
        <v>805</v>
      </c>
    </row>
    <row r="4956" spans="1:3" hidden="1">
      <c r="A4956" s="65">
        <v>9006683</v>
      </c>
      <c r="B4956" s="65" t="s">
        <v>5540</v>
      </c>
      <c r="C4956" s="65" t="s">
        <v>805</v>
      </c>
    </row>
    <row r="4957" spans="1:3" hidden="1">
      <c r="A4957" s="65">
        <v>9006684</v>
      </c>
      <c r="B4957" s="65" t="s">
        <v>5541</v>
      </c>
      <c r="C4957" s="65" t="s">
        <v>805</v>
      </c>
    </row>
    <row r="4958" spans="1:3" hidden="1">
      <c r="A4958" s="65">
        <v>9006685</v>
      </c>
      <c r="B4958" s="65" t="s">
        <v>5542</v>
      </c>
      <c r="C4958" s="65" t="s">
        <v>805</v>
      </c>
    </row>
    <row r="4959" spans="1:3" hidden="1">
      <c r="A4959" s="65">
        <v>9006686</v>
      </c>
      <c r="B4959" s="65" t="s">
        <v>5543</v>
      </c>
      <c r="C4959" s="65" t="s">
        <v>805</v>
      </c>
    </row>
    <row r="4960" spans="1:3" hidden="1">
      <c r="A4960" s="65">
        <v>9006687</v>
      </c>
      <c r="B4960" s="65" t="s">
        <v>5544</v>
      </c>
      <c r="C4960" s="65" t="s">
        <v>942</v>
      </c>
    </row>
    <row r="4961" spans="1:3" hidden="1">
      <c r="A4961" s="65">
        <v>9006688</v>
      </c>
      <c r="B4961" s="65" t="s">
        <v>5545</v>
      </c>
      <c r="C4961" s="65" t="s">
        <v>942</v>
      </c>
    </row>
    <row r="4962" spans="1:3" hidden="1">
      <c r="A4962" s="65">
        <v>9006689</v>
      </c>
      <c r="B4962" s="65" t="s">
        <v>5546</v>
      </c>
      <c r="C4962" s="65" t="s">
        <v>942</v>
      </c>
    </row>
    <row r="4963" spans="1:3" hidden="1">
      <c r="A4963" s="65">
        <v>9006690</v>
      </c>
      <c r="B4963" s="65" t="s">
        <v>5547</v>
      </c>
      <c r="C4963" s="65" t="s">
        <v>743</v>
      </c>
    </row>
    <row r="4964" spans="1:3" hidden="1">
      <c r="A4964" s="65">
        <v>9006691</v>
      </c>
      <c r="B4964" s="65" t="s">
        <v>5548</v>
      </c>
      <c r="C4964" s="65" t="s">
        <v>745</v>
      </c>
    </row>
    <row r="4965" spans="1:3" hidden="1">
      <c r="A4965" s="65">
        <v>9006692</v>
      </c>
      <c r="B4965" s="65" t="s">
        <v>5549</v>
      </c>
      <c r="C4965" s="65" t="s">
        <v>732</v>
      </c>
    </row>
    <row r="4966" spans="1:3" hidden="1">
      <c r="A4966" s="65">
        <v>9006693</v>
      </c>
      <c r="B4966" s="65" t="s">
        <v>5550</v>
      </c>
      <c r="C4966" s="65" t="s">
        <v>942</v>
      </c>
    </row>
    <row r="4967" spans="1:3" hidden="1">
      <c r="A4967" s="65">
        <v>9006694</v>
      </c>
      <c r="B4967" s="65" t="s">
        <v>5551</v>
      </c>
      <c r="C4967" s="65" t="s">
        <v>942</v>
      </c>
    </row>
    <row r="4968" spans="1:3">
      <c r="A4968" s="65">
        <v>9006695</v>
      </c>
      <c r="B4968" s="65" t="s">
        <v>5552</v>
      </c>
      <c r="C4968" s="65" t="s">
        <v>942</v>
      </c>
    </row>
    <row r="4969" spans="1:3" hidden="1">
      <c r="A4969" s="65">
        <v>9006696</v>
      </c>
      <c r="B4969" s="65" t="s">
        <v>5553</v>
      </c>
      <c r="C4969" s="65" t="s">
        <v>942</v>
      </c>
    </row>
    <row r="4970" spans="1:3" hidden="1">
      <c r="A4970" s="65">
        <v>9006697</v>
      </c>
      <c r="B4970" s="65" t="s">
        <v>5554</v>
      </c>
      <c r="C4970" s="65" t="s">
        <v>942</v>
      </c>
    </row>
    <row r="4971" spans="1:3" hidden="1">
      <c r="A4971" s="65">
        <v>9006698</v>
      </c>
      <c r="B4971" s="65" t="s">
        <v>5555</v>
      </c>
      <c r="C4971" s="65" t="s">
        <v>942</v>
      </c>
    </row>
    <row r="4972" spans="1:3" hidden="1">
      <c r="A4972" s="65">
        <v>9006699</v>
      </c>
      <c r="B4972" s="65" t="s">
        <v>5556</v>
      </c>
      <c r="C4972" s="65" t="s">
        <v>732</v>
      </c>
    </row>
    <row r="4973" spans="1:3" hidden="1">
      <c r="A4973" s="65">
        <v>9006700</v>
      </c>
      <c r="B4973" s="65" t="s">
        <v>5557</v>
      </c>
      <c r="C4973" s="65" t="s">
        <v>732</v>
      </c>
    </row>
    <row r="4974" spans="1:3" hidden="1">
      <c r="A4974" s="65">
        <v>9006701</v>
      </c>
      <c r="B4974" s="65" t="s">
        <v>5558</v>
      </c>
      <c r="C4974" s="65" t="s">
        <v>807</v>
      </c>
    </row>
    <row r="4975" spans="1:3" hidden="1">
      <c r="A4975" s="65">
        <v>9006702</v>
      </c>
      <c r="B4975" s="65" t="s">
        <v>5559</v>
      </c>
      <c r="C4975" s="65" t="s">
        <v>807</v>
      </c>
    </row>
    <row r="4976" spans="1:3" hidden="1">
      <c r="A4976" s="65">
        <v>9006703</v>
      </c>
      <c r="B4976" s="65" t="s">
        <v>5560</v>
      </c>
      <c r="C4976" s="65" t="s">
        <v>805</v>
      </c>
    </row>
    <row r="4977" spans="1:3" hidden="1">
      <c r="A4977" s="65">
        <v>9006704</v>
      </c>
      <c r="B4977" s="65" t="s">
        <v>5561</v>
      </c>
      <c r="C4977" s="65" t="s">
        <v>805</v>
      </c>
    </row>
    <row r="4978" spans="1:3" hidden="1">
      <c r="A4978" s="65">
        <v>9006705</v>
      </c>
      <c r="B4978" s="65" t="s">
        <v>5562</v>
      </c>
      <c r="C4978" s="65" t="s">
        <v>805</v>
      </c>
    </row>
    <row r="4979" spans="1:3" hidden="1">
      <c r="A4979" s="65">
        <v>9006709</v>
      </c>
      <c r="B4979" s="65" t="s">
        <v>5563</v>
      </c>
      <c r="C4979" s="65" t="s">
        <v>738</v>
      </c>
    </row>
    <row r="4980" spans="1:3" hidden="1">
      <c r="A4980" s="65">
        <v>9006710</v>
      </c>
      <c r="B4980" s="65" t="s">
        <v>5564</v>
      </c>
      <c r="C4980" s="65" t="s">
        <v>850</v>
      </c>
    </row>
    <row r="4981" spans="1:3" hidden="1">
      <c r="A4981" s="65">
        <v>9006711</v>
      </c>
      <c r="B4981" s="65" t="s">
        <v>5565</v>
      </c>
      <c r="C4981" s="65" t="s">
        <v>738</v>
      </c>
    </row>
    <row r="4982" spans="1:3" hidden="1">
      <c r="A4982" s="65">
        <v>9006712</v>
      </c>
      <c r="B4982" s="65" t="s">
        <v>5566</v>
      </c>
      <c r="C4982" s="65" t="s">
        <v>850</v>
      </c>
    </row>
    <row r="4983" spans="1:3" hidden="1">
      <c r="A4983" s="65">
        <v>9006713</v>
      </c>
      <c r="B4983" s="65" t="s">
        <v>5567</v>
      </c>
      <c r="C4983" s="65" t="s">
        <v>738</v>
      </c>
    </row>
    <row r="4984" spans="1:3" hidden="1">
      <c r="A4984" s="65">
        <v>9006714</v>
      </c>
      <c r="B4984" s="65" t="s">
        <v>5568</v>
      </c>
      <c r="C4984" s="65" t="s">
        <v>738</v>
      </c>
    </row>
    <row r="4985" spans="1:3" hidden="1">
      <c r="A4985" s="65">
        <v>9006715</v>
      </c>
      <c r="B4985" s="65" t="s">
        <v>5569</v>
      </c>
      <c r="C4985" s="65" t="s">
        <v>738</v>
      </c>
    </row>
    <row r="4986" spans="1:3" hidden="1">
      <c r="A4986" s="65">
        <v>9006716</v>
      </c>
      <c r="B4986" s="65" t="s">
        <v>5570</v>
      </c>
      <c r="C4986" s="65" t="s">
        <v>850</v>
      </c>
    </row>
    <row r="4987" spans="1:3" hidden="1">
      <c r="A4987" s="65">
        <v>9006717</v>
      </c>
      <c r="B4987" s="65" t="s">
        <v>5571</v>
      </c>
      <c r="C4987" s="65" t="s">
        <v>942</v>
      </c>
    </row>
    <row r="4988" spans="1:3" hidden="1">
      <c r="A4988" s="65">
        <v>9006718</v>
      </c>
      <c r="B4988" s="65" t="s">
        <v>5572</v>
      </c>
      <c r="C4988" s="65" t="s">
        <v>942</v>
      </c>
    </row>
    <row r="4989" spans="1:3" hidden="1">
      <c r="A4989" s="65">
        <v>9006719</v>
      </c>
      <c r="B4989" s="65" t="s">
        <v>5573</v>
      </c>
      <c r="C4989" s="65" t="s">
        <v>942</v>
      </c>
    </row>
    <row r="4990" spans="1:3" hidden="1">
      <c r="A4990" s="65">
        <v>9006720</v>
      </c>
      <c r="B4990" s="65" t="s">
        <v>5574</v>
      </c>
      <c r="C4990" s="65" t="s">
        <v>942</v>
      </c>
    </row>
    <row r="4991" spans="1:3" hidden="1">
      <c r="A4991" s="65">
        <v>9006721</v>
      </c>
      <c r="B4991" s="65" t="s">
        <v>5575</v>
      </c>
      <c r="C4991" s="65" t="s">
        <v>942</v>
      </c>
    </row>
    <row r="4992" spans="1:3" hidden="1">
      <c r="A4992" s="65">
        <v>9006722</v>
      </c>
      <c r="B4992" s="65" t="s">
        <v>5576</v>
      </c>
      <c r="C4992" s="65" t="s">
        <v>942</v>
      </c>
    </row>
    <row r="4993" spans="1:3" hidden="1">
      <c r="A4993" s="65">
        <v>9006723</v>
      </c>
      <c r="B4993" s="65" t="s">
        <v>5577</v>
      </c>
      <c r="C4993" s="65" t="s">
        <v>942</v>
      </c>
    </row>
    <row r="4994" spans="1:3" hidden="1">
      <c r="A4994" s="65">
        <v>9006724</v>
      </c>
      <c r="B4994" s="65" t="s">
        <v>5578</v>
      </c>
      <c r="C4994" s="65" t="s">
        <v>942</v>
      </c>
    </row>
    <row r="4995" spans="1:3" hidden="1">
      <c r="A4995" s="65">
        <v>9006725</v>
      </c>
      <c r="B4995" s="65" t="s">
        <v>5579</v>
      </c>
      <c r="C4995" s="65" t="s">
        <v>942</v>
      </c>
    </row>
    <row r="4996" spans="1:3" hidden="1">
      <c r="A4996" s="65">
        <v>9006729</v>
      </c>
      <c r="B4996" s="65" t="s">
        <v>5580</v>
      </c>
      <c r="C4996" s="65" t="s">
        <v>850</v>
      </c>
    </row>
    <row r="4997" spans="1:3" hidden="1">
      <c r="A4997" s="65">
        <v>9006730</v>
      </c>
      <c r="B4997" s="65" t="s">
        <v>5581</v>
      </c>
      <c r="C4997" s="65" t="s">
        <v>743</v>
      </c>
    </row>
    <row r="4998" spans="1:3" hidden="1">
      <c r="A4998" s="65">
        <v>9006731</v>
      </c>
      <c r="B4998" s="65" t="s">
        <v>5582</v>
      </c>
      <c r="C4998" s="65" t="s">
        <v>683</v>
      </c>
    </row>
    <row r="4999" spans="1:3" hidden="1">
      <c r="A4999" s="65">
        <v>9006732</v>
      </c>
      <c r="B4999" s="65" t="s">
        <v>5583</v>
      </c>
      <c r="C4999" s="65" t="s">
        <v>745</v>
      </c>
    </row>
    <row r="5000" spans="1:3" hidden="1">
      <c r="A5000" s="65">
        <v>9006733</v>
      </c>
      <c r="B5000" s="65" t="s">
        <v>5584</v>
      </c>
      <c r="C5000" s="65" t="s">
        <v>1181</v>
      </c>
    </row>
    <row r="5001" spans="1:3" hidden="1">
      <c r="A5001" s="65">
        <v>9006734</v>
      </c>
      <c r="B5001" s="65" t="s">
        <v>5585</v>
      </c>
      <c r="C5001" s="65" t="s">
        <v>1181</v>
      </c>
    </row>
    <row r="5002" spans="1:3" hidden="1">
      <c r="A5002" s="65">
        <v>9006735</v>
      </c>
      <c r="B5002" s="65" t="s">
        <v>5586</v>
      </c>
      <c r="C5002" s="65" t="s">
        <v>1181</v>
      </c>
    </row>
    <row r="5003" spans="1:3" hidden="1">
      <c r="A5003" s="65">
        <v>9006736</v>
      </c>
      <c r="B5003" s="65" t="s">
        <v>5587</v>
      </c>
      <c r="C5003" s="65" t="s">
        <v>1181</v>
      </c>
    </row>
    <row r="5004" spans="1:3" hidden="1">
      <c r="A5004" s="65">
        <v>9006737</v>
      </c>
      <c r="B5004" s="65" t="s">
        <v>5588</v>
      </c>
      <c r="C5004" s="65" t="s">
        <v>1181</v>
      </c>
    </row>
    <row r="5005" spans="1:3" hidden="1">
      <c r="A5005" s="65">
        <v>9006738</v>
      </c>
      <c r="B5005" s="65" t="s">
        <v>5589</v>
      </c>
      <c r="C5005" s="65" t="s">
        <v>1181</v>
      </c>
    </row>
    <row r="5006" spans="1:3" hidden="1">
      <c r="A5006" s="65">
        <v>9006739</v>
      </c>
      <c r="B5006" s="65" t="s">
        <v>5590</v>
      </c>
      <c r="C5006" s="65" t="s">
        <v>1181</v>
      </c>
    </row>
    <row r="5007" spans="1:3" hidden="1">
      <c r="A5007" s="65">
        <v>9006740</v>
      </c>
      <c r="B5007" s="65" t="s">
        <v>5591</v>
      </c>
      <c r="C5007" s="65" t="s">
        <v>1181</v>
      </c>
    </row>
    <row r="5008" spans="1:3" hidden="1">
      <c r="A5008" s="65">
        <v>9006741</v>
      </c>
      <c r="B5008" s="65" t="s">
        <v>5592</v>
      </c>
      <c r="C5008" s="65" t="s">
        <v>786</v>
      </c>
    </row>
    <row r="5009" spans="1:3" hidden="1">
      <c r="A5009" s="65">
        <v>9006742</v>
      </c>
      <c r="B5009" s="65" t="s">
        <v>5593</v>
      </c>
      <c r="C5009" s="65" t="s">
        <v>786</v>
      </c>
    </row>
    <row r="5010" spans="1:3" hidden="1">
      <c r="A5010" s="65">
        <v>9006743</v>
      </c>
      <c r="B5010" s="65" t="s">
        <v>5594</v>
      </c>
      <c r="C5010" s="65" t="s">
        <v>751</v>
      </c>
    </row>
    <row r="5011" spans="1:3" hidden="1">
      <c r="A5011" s="65">
        <v>9006744</v>
      </c>
      <c r="B5011" s="65" t="s">
        <v>5595</v>
      </c>
      <c r="C5011" s="65" t="s">
        <v>786</v>
      </c>
    </row>
    <row r="5012" spans="1:3" hidden="1">
      <c r="A5012" s="65">
        <v>9006745</v>
      </c>
      <c r="B5012" s="65" t="s">
        <v>5596</v>
      </c>
      <c r="C5012" s="65" t="s">
        <v>786</v>
      </c>
    </row>
    <row r="5013" spans="1:3" hidden="1">
      <c r="A5013" s="65">
        <v>9006746</v>
      </c>
      <c r="B5013" s="65" t="s">
        <v>5597</v>
      </c>
      <c r="C5013" s="65" t="s">
        <v>1181</v>
      </c>
    </row>
    <row r="5014" spans="1:3" hidden="1">
      <c r="A5014" s="65">
        <v>9006747</v>
      </c>
      <c r="B5014" s="65" t="s">
        <v>5598</v>
      </c>
      <c r="C5014" s="65" t="s">
        <v>1181</v>
      </c>
    </row>
    <row r="5015" spans="1:3" hidden="1">
      <c r="A5015" s="65">
        <v>9006748</v>
      </c>
      <c r="B5015" s="65" t="s">
        <v>5599</v>
      </c>
      <c r="C5015" s="65" t="s">
        <v>1181</v>
      </c>
    </row>
    <row r="5016" spans="1:3" hidden="1">
      <c r="A5016" s="65">
        <v>9006749</v>
      </c>
      <c r="B5016" s="65" t="s">
        <v>5600</v>
      </c>
      <c r="C5016" s="65" t="s">
        <v>786</v>
      </c>
    </row>
    <row r="5017" spans="1:3" hidden="1">
      <c r="A5017" s="65">
        <v>9006750</v>
      </c>
      <c r="B5017" s="65" t="s">
        <v>5601</v>
      </c>
      <c r="C5017" s="65" t="s">
        <v>1181</v>
      </c>
    </row>
    <row r="5018" spans="1:3" hidden="1">
      <c r="A5018" s="65">
        <v>9006751</v>
      </c>
      <c r="B5018" s="65" t="s">
        <v>5602</v>
      </c>
      <c r="C5018" s="65" t="s">
        <v>786</v>
      </c>
    </row>
    <row r="5019" spans="1:3" hidden="1">
      <c r="A5019" s="65">
        <v>9006752</v>
      </c>
      <c r="B5019" s="65" t="s">
        <v>5603</v>
      </c>
      <c r="C5019" s="65" t="s">
        <v>786</v>
      </c>
    </row>
    <row r="5020" spans="1:3" hidden="1">
      <c r="A5020" s="65">
        <v>9006753</v>
      </c>
      <c r="B5020" s="65" t="s">
        <v>5604</v>
      </c>
      <c r="C5020" s="65" t="s">
        <v>786</v>
      </c>
    </row>
    <row r="5021" spans="1:3" hidden="1">
      <c r="A5021" s="65">
        <v>9006754</v>
      </c>
      <c r="B5021" s="65" t="s">
        <v>5605</v>
      </c>
      <c r="C5021" s="65" t="s">
        <v>813</v>
      </c>
    </row>
    <row r="5022" spans="1:3" hidden="1">
      <c r="A5022" s="65">
        <v>9006759</v>
      </c>
      <c r="B5022" s="65" t="s">
        <v>3796</v>
      </c>
      <c r="C5022" s="65" t="s">
        <v>805</v>
      </c>
    </row>
    <row r="5023" spans="1:3" hidden="1">
      <c r="A5023" s="65">
        <v>9006760</v>
      </c>
      <c r="B5023" s="65" t="s">
        <v>3705</v>
      </c>
      <c r="C5023" s="65" t="s">
        <v>942</v>
      </c>
    </row>
    <row r="5024" spans="1:3" hidden="1">
      <c r="A5024" s="65">
        <v>9006761</v>
      </c>
      <c r="B5024" s="65" t="s">
        <v>2968</v>
      </c>
      <c r="C5024" s="65" t="s">
        <v>805</v>
      </c>
    </row>
    <row r="5025" spans="1:3" hidden="1">
      <c r="A5025" s="65">
        <v>9006762</v>
      </c>
      <c r="B5025" s="65" t="s">
        <v>2969</v>
      </c>
      <c r="C5025" s="65" t="s">
        <v>805</v>
      </c>
    </row>
    <row r="5026" spans="1:3" hidden="1">
      <c r="A5026" s="65">
        <v>9006763</v>
      </c>
      <c r="B5026" s="65" t="s">
        <v>2970</v>
      </c>
      <c r="C5026" s="65" t="s">
        <v>805</v>
      </c>
    </row>
    <row r="5027" spans="1:3" hidden="1">
      <c r="A5027" s="65">
        <v>9006764</v>
      </c>
      <c r="B5027" s="65" t="s">
        <v>2971</v>
      </c>
      <c r="C5027" s="65" t="s">
        <v>805</v>
      </c>
    </row>
    <row r="5028" spans="1:3" hidden="1">
      <c r="A5028" s="65">
        <v>9006765</v>
      </c>
      <c r="B5028" s="65" t="s">
        <v>2972</v>
      </c>
      <c r="C5028" s="65" t="s">
        <v>805</v>
      </c>
    </row>
    <row r="5029" spans="1:3" hidden="1">
      <c r="A5029" s="65">
        <v>9006766</v>
      </c>
      <c r="B5029" s="65" t="s">
        <v>2973</v>
      </c>
      <c r="C5029" s="65" t="s">
        <v>805</v>
      </c>
    </row>
    <row r="5030" spans="1:3" hidden="1">
      <c r="A5030" s="65">
        <v>9006767</v>
      </c>
      <c r="B5030" s="65" t="s">
        <v>2974</v>
      </c>
      <c r="C5030" s="65" t="s">
        <v>805</v>
      </c>
    </row>
    <row r="5031" spans="1:3" hidden="1">
      <c r="A5031" s="65">
        <v>9006768</v>
      </c>
      <c r="B5031" s="65" t="s">
        <v>2975</v>
      </c>
      <c r="C5031" s="65" t="s">
        <v>805</v>
      </c>
    </row>
    <row r="5032" spans="1:3" hidden="1">
      <c r="A5032" s="65">
        <v>9006769</v>
      </c>
      <c r="B5032" s="65" t="s">
        <v>2976</v>
      </c>
      <c r="C5032" s="65" t="s">
        <v>805</v>
      </c>
    </row>
    <row r="5033" spans="1:3" hidden="1">
      <c r="A5033" s="65">
        <v>9006770</v>
      </c>
      <c r="B5033" s="65" t="s">
        <v>2976</v>
      </c>
      <c r="C5033" s="65" t="s">
        <v>805</v>
      </c>
    </row>
    <row r="5034" spans="1:3" hidden="1">
      <c r="A5034" s="65">
        <v>9006771</v>
      </c>
      <c r="B5034" s="65" t="s">
        <v>2977</v>
      </c>
      <c r="C5034" s="65" t="s">
        <v>805</v>
      </c>
    </row>
    <row r="5035" spans="1:3" hidden="1">
      <c r="A5035" s="65">
        <v>9006772</v>
      </c>
      <c r="B5035" s="65" t="s">
        <v>2978</v>
      </c>
      <c r="C5035" s="65" t="s">
        <v>805</v>
      </c>
    </row>
    <row r="5036" spans="1:3" hidden="1">
      <c r="A5036" s="65">
        <v>9006773</v>
      </c>
      <c r="B5036" s="65" t="s">
        <v>2979</v>
      </c>
      <c r="C5036" s="65" t="s">
        <v>805</v>
      </c>
    </row>
    <row r="5037" spans="1:3" hidden="1">
      <c r="A5037" s="65">
        <v>9006774</v>
      </c>
      <c r="B5037" s="65" t="s">
        <v>5606</v>
      </c>
      <c r="C5037" s="65" t="s">
        <v>942</v>
      </c>
    </row>
    <row r="5038" spans="1:3" hidden="1">
      <c r="A5038" s="65">
        <v>9006779</v>
      </c>
      <c r="B5038" s="65" t="s">
        <v>5607</v>
      </c>
      <c r="C5038" s="65" t="s">
        <v>942</v>
      </c>
    </row>
    <row r="5039" spans="1:3" hidden="1">
      <c r="A5039" s="65">
        <v>9006789</v>
      </c>
      <c r="B5039" s="65" t="s">
        <v>5608</v>
      </c>
      <c r="C5039" s="65" t="s">
        <v>5609</v>
      </c>
    </row>
    <row r="5040" spans="1:3" hidden="1">
      <c r="A5040" s="65">
        <v>9006799</v>
      </c>
      <c r="B5040" s="65" t="s">
        <v>5610</v>
      </c>
      <c r="C5040" s="65" t="s">
        <v>942</v>
      </c>
    </row>
    <row r="5041" spans="1:3" hidden="1">
      <c r="A5041" s="65">
        <v>9006800</v>
      </c>
      <c r="B5041" s="65" t="s">
        <v>5611</v>
      </c>
      <c r="C5041" s="65" t="s">
        <v>942</v>
      </c>
    </row>
    <row r="5042" spans="1:3" hidden="1">
      <c r="A5042" s="65">
        <v>9006809</v>
      </c>
      <c r="B5042" s="65" t="s">
        <v>5612</v>
      </c>
      <c r="C5042" s="65" t="s">
        <v>805</v>
      </c>
    </row>
    <row r="5043" spans="1:3" hidden="1">
      <c r="A5043" s="65">
        <v>9006810</v>
      </c>
      <c r="B5043" s="65" t="s">
        <v>5613</v>
      </c>
      <c r="C5043" s="65" t="s">
        <v>775</v>
      </c>
    </row>
    <row r="5044" spans="1:3" hidden="1">
      <c r="A5044" s="65">
        <v>9006811</v>
      </c>
      <c r="B5044" s="65" t="s">
        <v>5614</v>
      </c>
      <c r="C5044" s="65" t="s">
        <v>5615</v>
      </c>
    </row>
    <row r="5045" spans="1:3" hidden="1">
      <c r="A5045" s="65">
        <v>9006819</v>
      </c>
      <c r="B5045" s="65" t="s">
        <v>5616</v>
      </c>
      <c r="C5045" s="65" t="s">
        <v>840</v>
      </c>
    </row>
    <row r="5046" spans="1:3" hidden="1">
      <c r="A5046" s="65">
        <v>9006820</v>
      </c>
      <c r="B5046" s="65" t="s">
        <v>5617</v>
      </c>
      <c r="C5046" s="65" t="s">
        <v>727</v>
      </c>
    </row>
    <row r="5047" spans="1:3" hidden="1">
      <c r="A5047" s="65">
        <v>9006821</v>
      </c>
      <c r="B5047" s="65" t="s">
        <v>5618</v>
      </c>
      <c r="C5047" s="65" t="s">
        <v>745</v>
      </c>
    </row>
    <row r="5048" spans="1:3" hidden="1">
      <c r="A5048" s="65">
        <v>9006822</v>
      </c>
      <c r="B5048" s="65" t="s">
        <v>5619</v>
      </c>
      <c r="C5048" s="65" t="s">
        <v>942</v>
      </c>
    </row>
    <row r="5049" spans="1:3" hidden="1">
      <c r="A5049" s="65">
        <v>9006823</v>
      </c>
      <c r="B5049" s="65" t="s">
        <v>5620</v>
      </c>
      <c r="C5049" s="65" t="s">
        <v>942</v>
      </c>
    </row>
    <row r="5050" spans="1:3" hidden="1">
      <c r="A5050" s="65">
        <v>9006824</v>
      </c>
      <c r="B5050" s="65" t="s">
        <v>5621</v>
      </c>
      <c r="C5050" s="65" t="s">
        <v>942</v>
      </c>
    </row>
    <row r="5051" spans="1:3" hidden="1">
      <c r="A5051" s="65">
        <v>9006825</v>
      </c>
      <c r="B5051" s="65" t="s">
        <v>5622</v>
      </c>
      <c r="C5051" s="65" t="s">
        <v>942</v>
      </c>
    </row>
    <row r="5052" spans="1:3" hidden="1">
      <c r="A5052" s="65">
        <v>9006826</v>
      </c>
      <c r="B5052" s="65" t="s">
        <v>5623</v>
      </c>
      <c r="C5052" s="65" t="s">
        <v>942</v>
      </c>
    </row>
    <row r="5053" spans="1:3" hidden="1">
      <c r="A5053" s="65">
        <v>9006827</v>
      </c>
      <c r="B5053" s="65" t="s">
        <v>5624</v>
      </c>
      <c r="C5053" s="65" t="s">
        <v>942</v>
      </c>
    </row>
    <row r="5054" spans="1:3" hidden="1">
      <c r="A5054" s="65">
        <v>9006828</v>
      </c>
      <c r="B5054" s="65" t="s">
        <v>5625</v>
      </c>
      <c r="C5054" s="65" t="s">
        <v>942</v>
      </c>
    </row>
    <row r="5055" spans="1:3" hidden="1">
      <c r="A5055" s="65">
        <v>9006829</v>
      </c>
      <c r="B5055" s="65" t="s">
        <v>5626</v>
      </c>
      <c r="C5055" s="65" t="s">
        <v>751</v>
      </c>
    </row>
    <row r="5056" spans="1:3" hidden="1">
      <c r="A5056" s="65">
        <v>9006830</v>
      </c>
      <c r="B5056" s="65" t="s">
        <v>5627</v>
      </c>
      <c r="C5056" s="65" t="s">
        <v>807</v>
      </c>
    </row>
    <row r="5057" spans="1:3" hidden="1">
      <c r="A5057" s="65">
        <v>9006831</v>
      </c>
      <c r="B5057" s="65" t="s">
        <v>5628</v>
      </c>
      <c r="C5057" s="65" t="s">
        <v>5629</v>
      </c>
    </row>
    <row r="5058" spans="1:3" hidden="1">
      <c r="A5058" s="65">
        <v>9006832</v>
      </c>
      <c r="B5058" s="65" t="s">
        <v>5630</v>
      </c>
      <c r="C5058" s="65" t="s">
        <v>827</v>
      </c>
    </row>
    <row r="5059" spans="1:3" hidden="1">
      <c r="A5059" s="65">
        <v>9006833</v>
      </c>
      <c r="B5059" s="65" t="s">
        <v>5631</v>
      </c>
      <c r="C5059" s="65" t="s">
        <v>790</v>
      </c>
    </row>
    <row r="5060" spans="1:3" hidden="1">
      <c r="A5060" s="65">
        <v>9006839</v>
      </c>
      <c r="B5060" s="65" t="s">
        <v>5632</v>
      </c>
      <c r="C5060" s="65" t="s">
        <v>942</v>
      </c>
    </row>
    <row r="5061" spans="1:3" hidden="1">
      <c r="A5061" s="65">
        <v>9006840</v>
      </c>
      <c r="B5061" s="65" t="s">
        <v>5633</v>
      </c>
      <c r="C5061" s="65" t="s">
        <v>805</v>
      </c>
    </row>
    <row r="5062" spans="1:3" hidden="1">
      <c r="A5062" s="65">
        <v>9006841</v>
      </c>
      <c r="B5062" s="65" t="s">
        <v>5634</v>
      </c>
      <c r="C5062" s="65" t="s">
        <v>805</v>
      </c>
    </row>
    <row r="5063" spans="1:3" hidden="1">
      <c r="A5063" s="65">
        <v>9006842</v>
      </c>
      <c r="B5063" s="65" t="s">
        <v>5635</v>
      </c>
      <c r="C5063" s="65" t="s">
        <v>805</v>
      </c>
    </row>
    <row r="5064" spans="1:3" hidden="1">
      <c r="A5064" s="65">
        <v>9006843</v>
      </c>
      <c r="B5064" s="65" t="s">
        <v>5636</v>
      </c>
      <c r="C5064" s="65" t="s">
        <v>805</v>
      </c>
    </row>
    <row r="5065" spans="1:3" hidden="1">
      <c r="A5065" s="65">
        <v>9006844</v>
      </c>
      <c r="B5065" s="65" t="s">
        <v>5637</v>
      </c>
      <c r="C5065" s="65" t="s">
        <v>805</v>
      </c>
    </row>
    <row r="5066" spans="1:3" hidden="1">
      <c r="A5066" s="65">
        <v>9006845</v>
      </c>
      <c r="B5066" s="65" t="s">
        <v>5638</v>
      </c>
      <c r="C5066" s="65" t="s">
        <v>805</v>
      </c>
    </row>
    <row r="5067" spans="1:3" hidden="1">
      <c r="A5067" s="65">
        <v>9006846</v>
      </c>
      <c r="B5067" s="65" t="s">
        <v>5639</v>
      </c>
      <c r="C5067" s="65" t="s">
        <v>805</v>
      </c>
    </row>
    <row r="5068" spans="1:3" hidden="1">
      <c r="A5068" s="65">
        <v>9006847</v>
      </c>
      <c r="B5068" s="65" t="s">
        <v>5640</v>
      </c>
      <c r="C5068" s="65" t="s">
        <v>795</v>
      </c>
    </row>
    <row r="5069" spans="1:3" hidden="1">
      <c r="A5069" s="65">
        <v>9006848</v>
      </c>
      <c r="B5069" s="65" t="s">
        <v>5641</v>
      </c>
      <c r="C5069" s="65" t="s">
        <v>747</v>
      </c>
    </row>
    <row r="5070" spans="1:3" hidden="1">
      <c r="A5070" s="65">
        <v>9006849</v>
      </c>
      <c r="B5070" s="65" t="s">
        <v>5642</v>
      </c>
      <c r="C5070" s="65" t="s">
        <v>5643</v>
      </c>
    </row>
    <row r="5071" spans="1:3" hidden="1">
      <c r="A5071" s="65">
        <v>9006850</v>
      </c>
      <c r="B5071" s="65" t="s">
        <v>5644</v>
      </c>
      <c r="C5071" s="65" t="s">
        <v>1181</v>
      </c>
    </row>
    <row r="5072" spans="1:3" hidden="1">
      <c r="A5072" s="65">
        <v>9006851</v>
      </c>
      <c r="B5072" s="65" t="s">
        <v>5645</v>
      </c>
      <c r="C5072" s="65" t="s">
        <v>813</v>
      </c>
    </row>
    <row r="5073" spans="1:3" hidden="1">
      <c r="A5073" s="65">
        <v>9006859</v>
      </c>
      <c r="B5073" s="65" t="s">
        <v>5646</v>
      </c>
      <c r="C5073" s="65" t="s">
        <v>662</v>
      </c>
    </row>
    <row r="5074" spans="1:3" hidden="1">
      <c r="A5074" s="65">
        <v>9006860</v>
      </c>
      <c r="B5074" s="65" t="s">
        <v>5647</v>
      </c>
      <c r="C5074" s="65" t="s">
        <v>1101</v>
      </c>
    </row>
    <row r="5075" spans="1:3" hidden="1">
      <c r="A5075" s="65">
        <v>9006861</v>
      </c>
      <c r="B5075" s="65" t="s">
        <v>5648</v>
      </c>
      <c r="C5075" s="65" t="s">
        <v>666</v>
      </c>
    </row>
    <row r="5076" spans="1:3" hidden="1">
      <c r="A5076" s="65">
        <v>9006862</v>
      </c>
      <c r="B5076" s="65" t="s">
        <v>5649</v>
      </c>
      <c r="C5076" s="65" t="s">
        <v>670</v>
      </c>
    </row>
    <row r="5077" spans="1:3" hidden="1">
      <c r="A5077" s="65">
        <v>9006863</v>
      </c>
      <c r="B5077" s="65" t="s">
        <v>5650</v>
      </c>
      <c r="C5077" s="65" t="s">
        <v>666</v>
      </c>
    </row>
    <row r="5078" spans="1:3" hidden="1">
      <c r="A5078" s="65">
        <v>9006864</v>
      </c>
      <c r="B5078" s="65" t="s">
        <v>5651</v>
      </c>
      <c r="C5078" s="65" t="s">
        <v>788</v>
      </c>
    </row>
    <row r="5079" spans="1:3" hidden="1">
      <c r="A5079" s="65">
        <v>9006865</v>
      </c>
      <c r="B5079" s="65" t="s">
        <v>5652</v>
      </c>
      <c r="C5079" s="65" t="s">
        <v>5653</v>
      </c>
    </row>
    <row r="5080" spans="1:3" hidden="1">
      <c r="A5080" s="65">
        <v>9006866</v>
      </c>
      <c r="B5080" s="65" t="s">
        <v>5654</v>
      </c>
      <c r="C5080" s="65" t="s">
        <v>5655</v>
      </c>
    </row>
    <row r="5081" spans="1:3" hidden="1">
      <c r="A5081" s="65">
        <v>9006867</v>
      </c>
      <c r="B5081" s="65" t="s">
        <v>5656</v>
      </c>
      <c r="C5081" s="65" t="s">
        <v>1553</v>
      </c>
    </row>
    <row r="5082" spans="1:3" hidden="1">
      <c r="A5082" s="65">
        <v>9006869</v>
      </c>
      <c r="B5082" s="65" t="s">
        <v>5657</v>
      </c>
      <c r="C5082" s="65" t="s">
        <v>747</v>
      </c>
    </row>
    <row r="5083" spans="1:3" hidden="1">
      <c r="A5083" s="65">
        <v>9006870</v>
      </c>
      <c r="B5083" s="65" t="s">
        <v>5658</v>
      </c>
      <c r="C5083" s="65" t="s">
        <v>790</v>
      </c>
    </row>
    <row r="5084" spans="1:3" hidden="1">
      <c r="A5084" s="65">
        <v>9006871</v>
      </c>
      <c r="B5084" s="65" t="s">
        <v>5659</v>
      </c>
      <c r="C5084" s="65" t="s">
        <v>775</v>
      </c>
    </row>
    <row r="5085" spans="1:3" hidden="1">
      <c r="A5085" s="65">
        <v>9006872</v>
      </c>
      <c r="B5085" s="65" t="s">
        <v>5660</v>
      </c>
      <c r="C5085" s="65" t="s">
        <v>741</v>
      </c>
    </row>
    <row r="5086" spans="1:3" hidden="1">
      <c r="A5086" s="65">
        <v>9006873</v>
      </c>
      <c r="B5086" s="65" t="s">
        <v>5661</v>
      </c>
      <c r="C5086" s="65" t="s">
        <v>674</v>
      </c>
    </row>
    <row r="5087" spans="1:3" hidden="1">
      <c r="A5087" s="65">
        <v>9006874</v>
      </c>
      <c r="B5087" s="65" t="s">
        <v>5662</v>
      </c>
      <c r="C5087" s="65" t="s">
        <v>686</v>
      </c>
    </row>
    <row r="5088" spans="1:3" hidden="1">
      <c r="A5088" s="65">
        <v>9006875</v>
      </c>
      <c r="B5088" s="65" t="s">
        <v>5663</v>
      </c>
      <c r="C5088" s="65" t="s">
        <v>942</v>
      </c>
    </row>
    <row r="5089" spans="1:3" hidden="1">
      <c r="A5089" s="65">
        <v>9006876</v>
      </c>
      <c r="B5089" s="65" t="s">
        <v>5664</v>
      </c>
      <c r="C5089" s="65" t="s">
        <v>937</v>
      </c>
    </row>
    <row r="5090" spans="1:3" hidden="1">
      <c r="A5090" s="65">
        <v>9006877</v>
      </c>
      <c r="B5090" s="65" t="s">
        <v>5665</v>
      </c>
      <c r="C5090" s="65" t="s">
        <v>5666</v>
      </c>
    </row>
    <row r="5091" spans="1:3" hidden="1">
      <c r="A5091" s="65">
        <v>9006878</v>
      </c>
      <c r="B5091" s="65" t="s">
        <v>5667</v>
      </c>
      <c r="C5091" s="65" t="s">
        <v>738</v>
      </c>
    </row>
    <row r="5092" spans="1:3" hidden="1">
      <c r="A5092" s="65">
        <v>9006879</v>
      </c>
      <c r="B5092" s="65" t="s">
        <v>5668</v>
      </c>
      <c r="C5092" s="65" t="s">
        <v>805</v>
      </c>
    </row>
    <row r="5093" spans="1:3" hidden="1">
      <c r="A5093" s="65">
        <v>9006880</v>
      </c>
      <c r="B5093" s="65" t="s">
        <v>5669</v>
      </c>
      <c r="C5093" s="65" t="s">
        <v>805</v>
      </c>
    </row>
    <row r="5094" spans="1:3" hidden="1">
      <c r="A5094" s="65">
        <v>9006881</v>
      </c>
      <c r="B5094" s="65" t="s">
        <v>5670</v>
      </c>
      <c r="C5094" s="65" t="s">
        <v>805</v>
      </c>
    </row>
    <row r="5095" spans="1:3" hidden="1">
      <c r="A5095" s="65">
        <v>9006882</v>
      </c>
      <c r="B5095" s="65" t="s">
        <v>5671</v>
      </c>
      <c r="C5095" s="65" t="s">
        <v>805</v>
      </c>
    </row>
    <row r="5096" spans="1:3" hidden="1">
      <c r="A5096" s="65">
        <v>9006883</v>
      </c>
      <c r="B5096" s="65" t="s">
        <v>5672</v>
      </c>
      <c r="C5096" s="65" t="s">
        <v>805</v>
      </c>
    </row>
    <row r="5097" spans="1:3" hidden="1">
      <c r="A5097" s="65">
        <v>9006884</v>
      </c>
      <c r="B5097" s="65" t="s">
        <v>5673</v>
      </c>
      <c r="C5097" s="65" t="s">
        <v>942</v>
      </c>
    </row>
    <row r="5098" spans="1:3" hidden="1">
      <c r="A5098" s="65">
        <v>9006885</v>
      </c>
      <c r="B5098" s="65" t="s">
        <v>5674</v>
      </c>
      <c r="C5098" s="65" t="s">
        <v>942</v>
      </c>
    </row>
    <row r="5099" spans="1:3" hidden="1">
      <c r="A5099" s="65">
        <v>9006886</v>
      </c>
      <c r="B5099" s="65" t="s">
        <v>5675</v>
      </c>
      <c r="C5099" s="65" t="s">
        <v>942</v>
      </c>
    </row>
    <row r="5100" spans="1:3" hidden="1">
      <c r="A5100" s="65">
        <v>9006887</v>
      </c>
      <c r="B5100" s="65" t="s">
        <v>5676</v>
      </c>
      <c r="C5100" s="65" t="s">
        <v>942</v>
      </c>
    </row>
    <row r="5101" spans="1:3" hidden="1">
      <c r="A5101" s="65">
        <v>9006888</v>
      </c>
      <c r="B5101" s="65" t="s">
        <v>5677</v>
      </c>
      <c r="C5101" s="65" t="s">
        <v>942</v>
      </c>
    </row>
    <row r="5102" spans="1:3" hidden="1">
      <c r="A5102" s="65">
        <v>9006889</v>
      </c>
      <c r="B5102" s="65" t="s">
        <v>5678</v>
      </c>
      <c r="C5102" s="65" t="s">
        <v>942</v>
      </c>
    </row>
    <row r="5103" spans="1:3" hidden="1">
      <c r="A5103" s="65">
        <v>9006890</v>
      </c>
      <c r="B5103" s="65" t="s">
        <v>5679</v>
      </c>
      <c r="C5103" s="65" t="s">
        <v>942</v>
      </c>
    </row>
    <row r="5104" spans="1:3" hidden="1">
      <c r="A5104" s="65">
        <v>9006891</v>
      </c>
      <c r="B5104" s="65" t="s">
        <v>5680</v>
      </c>
      <c r="C5104" s="65" t="s">
        <v>942</v>
      </c>
    </row>
    <row r="5105" spans="1:3" hidden="1">
      <c r="A5105" s="65">
        <v>9006892</v>
      </c>
      <c r="B5105" s="65" t="s">
        <v>5681</v>
      </c>
      <c r="C5105" s="65" t="s">
        <v>942</v>
      </c>
    </row>
    <row r="5106" spans="1:3" hidden="1">
      <c r="A5106" s="65">
        <v>9006893</v>
      </c>
      <c r="B5106" s="65" t="s">
        <v>5682</v>
      </c>
      <c r="C5106" s="65" t="s">
        <v>942</v>
      </c>
    </row>
    <row r="5107" spans="1:3" hidden="1">
      <c r="A5107" s="65">
        <v>9006894</v>
      </c>
      <c r="B5107" s="65" t="s">
        <v>5683</v>
      </c>
      <c r="C5107" s="65" t="s">
        <v>942</v>
      </c>
    </row>
    <row r="5108" spans="1:3" hidden="1">
      <c r="A5108" s="65">
        <v>9006895</v>
      </c>
      <c r="B5108" s="65" t="s">
        <v>5684</v>
      </c>
      <c r="C5108" s="65" t="s">
        <v>942</v>
      </c>
    </row>
    <row r="5109" spans="1:3" hidden="1">
      <c r="A5109" s="65">
        <v>9006899</v>
      </c>
      <c r="B5109" s="65" t="s">
        <v>5685</v>
      </c>
      <c r="C5109" s="65" t="s">
        <v>738</v>
      </c>
    </row>
    <row r="5110" spans="1:3" hidden="1">
      <c r="A5110" s="65">
        <v>9006900</v>
      </c>
      <c r="B5110" s="65" t="s">
        <v>5686</v>
      </c>
      <c r="C5110" s="65" t="s">
        <v>741</v>
      </c>
    </row>
    <row r="5111" spans="1:3" hidden="1">
      <c r="A5111" s="65">
        <v>9006901</v>
      </c>
      <c r="B5111" s="65" t="s">
        <v>5687</v>
      </c>
      <c r="C5111" s="65" t="s">
        <v>741</v>
      </c>
    </row>
    <row r="5112" spans="1:3" hidden="1">
      <c r="A5112" s="65">
        <v>9006902</v>
      </c>
      <c r="B5112" s="65" t="s">
        <v>5688</v>
      </c>
      <c r="C5112" s="65" t="s">
        <v>741</v>
      </c>
    </row>
    <row r="5113" spans="1:3" hidden="1">
      <c r="A5113" s="65">
        <v>9006903</v>
      </c>
      <c r="B5113" s="65" t="s">
        <v>5689</v>
      </c>
      <c r="C5113" s="65" t="s">
        <v>738</v>
      </c>
    </row>
    <row r="5114" spans="1:3" hidden="1">
      <c r="A5114" s="65">
        <v>9006904</v>
      </c>
      <c r="B5114" s="65" t="s">
        <v>5690</v>
      </c>
      <c r="C5114" s="65" t="s">
        <v>747</v>
      </c>
    </row>
    <row r="5115" spans="1:3" hidden="1">
      <c r="A5115" s="65">
        <v>9006905</v>
      </c>
      <c r="B5115" s="65" t="s">
        <v>5691</v>
      </c>
      <c r="C5115" s="65" t="s">
        <v>747</v>
      </c>
    </row>
    <row r="5116" spans="1:3" hidden="1">
      <c r="A5116" s="65">
        <v>9006906</v>
      </c>
      <c r="B5116" s="65" t="s">
        <v>5692</v>
      </c>
      <c r="C5116" s="65" t="s">
        <v>807</v>
      </c>
    </row>
    <row r="5117" spans="1:3" hidden="1">
      <c r="A5117" s="65">
        <v>9006907</v>
      </c>
      <c r="B5117" s="65" t="s">
        <v>5693</v>
      </c>
      <c r="C5117" s="65" t="s">
        <v>775</v>
      </c>
    </row>
    <row r="5118" spans="1:3" hidden="1">
      <c r="A5118" s="65">
        <v>9006908</v>
      </c>
      <c r="B5118" s="65" t="s">
        <v>5694</v>
      </c>
      <c r="C5118" s="65" t="s">
        <v>664</v>
      </c>
    </row>
    <row r="5119" spans="1:3" hidden="1">
      <c r="A5119" s="65">
        <v>9006909</v>
      </c>
      <c r="B5119" s="65" t="s">
        <v>5695</v>
      </c>
      <c r="C5119" s="65" t="s">
        <v>741</v>
      </c>
    </row>
    <row r="5120" spans="1:3" hidden="1">
      <c r="A5120" s="65">
        <v>9006910</v>
      </c>
      <c r="B5120" s="65" t="s">
        <v>5696</v>
      </c>
      <c r="C5120" s="65" t="s">
        <v>751</v>
      </c>
    </row>
    <row r="5121" spans="1:3" hidden="1">
      <c r="A5121" s="65">
        <v>9006911</v>
      </c>
      <c r="B5121" s="65" t="s">
        <v>5697</v>
      </c>
      <c r="C5121" s="65" t="s">
        <v>893</v>
      </c>
    </row>
    <row r="5122" spans="1:3" hidden="1">
      <c r="A5122" s="65">
        <v>9006912</v>
      </c>
      <c r="B5122" s="65" t="s">
        <v>5698</v>
      </c>
      <c r="C5122" s="65" t="s">
        <v>942</v>
      </c>
    </row>
    <row r="5123" spans="1:3" hidden="1">
      <c r="A5123" s="65">
        <v>9006913</v>
      </c>
      <c r="B5123" s="65" t="s">
        <v>5699</v>
      </c>
      <c r="C5123" s="65" t="s">
        <v>751</v>
      </c>
    </row>
    <row r="5124" spans="1:3" hidden="1">
      <c r="A5124" s="65">
        <v>9006914</v>
      </c>
      <c r="B5124" s="65" t="s">
        <v>5700</v>
      </c>
      <c r="C5124" s="65" t="s">
        <v>719</v>
      </c>
    </row>
    <row r="5125" spans="1:3" hidden="1">
      <c r="A5125" s="65">
        <v>9006915</v>
      </c>
      <c r="B5125" s="65" t="s">
        <v>5701</v>
      </c>
      <c r="C5125" s="65" t="s">
        <v>743</v>
      </c>
    </row>
    <row r="5126" spans="1:3" hidden="1">
      <c r="A5126" s="65">
        <v>9006916</v>
      </c>
      <c r="B5126" s="65" t="s">
        <v>5702</v>
      </c>
      <c r="C5126" s="65" t="s">
        <v>793</v>
      </c>
    </row>
    <row r="5127" spans="1:3" hidden="1">
      <c r="A5127" s="65">
        <v>9006917</v>
      </c>
      <c r="B5127" s="65" t="s">
        <v>5703</v>
      </c>
      <c r="C5127" s="65" t="s">
        <v>942</v>
      </c>
    </row>
    <row r="5128" spans="1:3" hidden="1">
      <c r="A5128" s="65">
        <v>9006918</v>
      </c>
      <c r="B5128" s="65" t="s">
        <v>5704</v>
      </c>
      <c r="C5128" s="65" t="s">
        <v>942</v>
      </c>
    </row>
    <row r="5129" spans="1:3" hidden="1">
      <c r="A5129" s="65">
        <v>9006919</v>
      </c>
      <c r="B5129" s="65" t="s">
        <v>5705</v>
      </c>
      <c r="C5129" s="65" t="s">
        <v>1926</v>
      </c>
    </row>
    <row r="5130" spans="1:3" hidden="1">
      <c r="A5130" s="65">
        <v>9006920</v>
      </c>
      <c r="B5130" s="65" t="s">
        <v>5706</v>
      </c>
      <c r="C5130" s="65" t="s">
        <v>942</v>
      </c>
    </row>
    <row r="5131" spans="1:3" hidden="1">
      <c r="A5131" s="65">
        <v>9006921</v>
      </c>
      <c r="B5131" s="65" t="s">
        <v>5707</v>
      </c>
      <c r="C5131" s="65" t="s">
        <v>942</v>
      </c>
    </row>
    <row r="5132" spans="1:3" hidden="1">
      <c r="A5132" s="65">
        <v>9006922</v>
      </c>
      <c r="B5132" s="65" t="s">
        <v>5708</v>
      </c>
      <c r="C5132" s="65" t="s">
        <v>942</v>
      </c>
    </row>
    <row r="5133" spans="1:3" hidden="1">
      <c r="A5133" s="65">
        <v>9006923</v>
      </c>
      <c r="B5133" s="65" t="s">
        <v>5709</v>
      </c>
      <c r="C5133" s="65" t="s">
        <v>942</v>
      </c>
    </row>
    <row r="5134" spans="1:3" hidden="1">
      <c r="A5134" s="65">
        <v>9006924</v>
      </c>
      <c r="B5134" s="65" t="s">
        <v>5710</v>
      </c>
      <c r="C5134" s="65" t="s">
        <v>942</v>
      </c>
    </row>
    <row r="5135" spans="1:3" hidden="1">
      <c r="A5135" s="65">
        <v>9006925</v>
      </c>
      <c r="B5135" s="65" t="s">
        <v>5711</v>
      </c>
      <c r="C5135" s="65" t="s">
        <v>942</v>
      </c>
    </row>
    <row r="5136" spans="1:3" hidden="1">
      <c r="A5136" s="65">
        <v>9006926</v>
      </c>
      <c r="B5136" s="65" t="s">
        <v>5712</v>
      </c>
      <c r="C5136" s="65" t="s">
        <v>942</v>
      </c>
    </row>
    <row r="5137" spans="1:3" hidden="1">
      <c r="A5137" s="65">
        <v>9006927</v>
      </c>
      <c r="B5137" s="65" t="s">
        <v>5713</v>
      </c>
      <c r="C5137" s="65" t="s">
        <v>942</v>
      </c>
    </row>
    <row r="5138" spans="1:3" hidden="1">
      <c r="A5138" s="65">
        <v>9006928</v>
      </c>
      <c r="B5138" s="65" t="s">
        <v>5714</v>
      </c>
      <c r="C5138" s="65" t="s">
        <v>942</v>
      </c>
    </row>
    <row r="5139" spans="1:3" hidden="1">
      <c r="A5139" s="65">
        <v>9006929</v>
      </c>
      <c r="B5139" s="65" t="s">
        <v>5715</v>
      </c>
      <c r="C5139" s="65" t="s">
        <v>942</v>
      </c>
    </row>
    <row r="5140" spans="1:3" hidden="1">
      <c r="A5140" s="65">
        <v>9006930</v>
      </c>
      <c r="B5140" s="65" t="s">
        <v>5716</v>
      </c>
      <c r="C5140" s="65" t="s">
        <v>942</v>
      </c>
    </row>
    <row r="5141" spans="1:3" hidden="1">
      <c r="A5141" s="65">
        <v>9006931</v>
      </c>
      <c r="B5141" s="65" t="s">
        <v>5717</v>
      </c>
      <c r="C5141" s="65" t="s">
        <v>942</v>
      </c>
    </row>
    <row r="5142" spans="1:3" hidden="1">
      <c r="A5142" s="65">
        <v>9006932</v>
      </c>
      <c r="B5142" s="65" t="s">
        <v>5718</v>
      </c>
      <c r="C5142" s="65" t="s">
        <v>942</v>
      </c>
    </row>
    <row r="5143" spans="1:3" hidden="1">
      <c r="A5143" s="65">
        <v>9006933</v>
      </c>
      <c r="B5143" s="65" t="s">
        <v>5719</v>
      </c>
      <c r="C5143" s="65" t="s">
        <v>942</v>
      </c>
    </row>
    <row r="5144" spans="1:3" hidden="1">
      <c r="A5144" s="65">
        <v>9006934</v>
      </c>
      <c r="B5144" s="65" t="s">
        <v>5720</v>
      </c>
      <c r="C5144" s="65" t="s">
        <v>942</v>
      </c>
    </row>
    <row r="5145" spans="1:3" hidden="1">
      <c r="A5145" s="65">
        <v>9006935</v>
      </c>
      <c r="B5145" s="65" t="s">
        <v>5721</v>
      </c>
      <c r="C5145" s="65" t="s">
        <v>942</v>
      </c>
    </row>
    <row r="5146" spans="1:3" hidden="1">
      <c r="A5146" s="65">
        <v>9006936</v>
      </c>
      <c r="B5146" s="65" t="s">
        <v>5722</v>
      </c>
      <c r="C5146" s="65" t="s">
        <v>942</v>
      </c>
    </row>
    <row r="5147" spans="1:3" hidden="1">
      <c r="A5147" s="65">
        <v>9006937</v>
      </c>
      <c r="B5147" s="65" t="s">
        <v>5723</v>
      </c>
      <c r="C5147" s="65" t="s">
        <v>942</v>
      </c>
    </row>
    <row r="5148" spans="1:3" hidden="1">
      <c r="A5148" s="65">
        <v>9006938</v>
      </c>
      <c r="B5148" s="65" t="s">
        <v>5724</v>
      </c>
      <c r="C5148" s="65" t="s">
        <v>942</v>
      </c>
    </row>
    <row r="5149" spans="1:3" hidden="1">
      <c r="A5149" s="65">
        <v>9006939</v>
      </c>
      <c r="B5149" s="65" t="s">
        <v>5725</v>
      </c>
      <c r="C5149" s="65" t="s">
        <v>942</v>
      </c>
    </row>
    <row r="5150" spans="1:3" hidden="1">
      <c r="A5150" s="65">
        <v>9006940</v>
      </c>
      <c r="B5150" s="65" t="s">
        <v>5726</v>
      </c>
      <c r="C5150" s="65" t="s">
        <v>942</v>
      </c>
    </row>
    <row r="5151" spans="1:3" hidden="1">
      <c r="A5151" s="65">
        <v>9006941</v>
      </c>
      <c r="B5151" s="65" t="s">
        <v>5727</v>
      </c>
      <c r="C5151" s="65" t="s">
        <v>942</v>
      </c>
    </row>
    <row r="5152" spans="1:3" hidden="1">
      <c r="A5152" s="65">
        <v>9006942</v>
      </c>
      <c r="B5152" s="65" t="s">
        <v>5728</v>
      </c>
      <c r="C5152" s="65" t="s">
        <v>942</v>
      </c>
    </row>
    <row r="5153" spans="1:3" hidden="1">
      <c r="A5153" s="65">
        <v>9006943</v>
      </c>
      <c r="B5153" s="65" t="s">
        <v>5729</v>
      </c>
      <c r="C5153" s="65" t="s">
        <v>942</v>
      </c>
    </row>
    <row r="5154" spans="1:3" hidden="1">
      <c r="A5154" s="65">
        <v>9006944</v>
      </c>
      <c r="B5154" s="65" t="s">
        <v>5730</v>
      </c>
      <c r="C5154" s="65" t="s">
        <v>942</v>
      </c>
    </row>
    <row r="5155" spans="1:3" hidden="1">
      <c r="A5155" s="65">
        <v>9006945</v>
      </c>
      <c r="B5155" s="65" t="s">
        <v>5731</v>
      </c>
      <c r="C5155" s="65" t="s">
        <v>942</v>
      </c>
    </row>
    <row r="5156" spans="1:3" hidden="1">
      <c r="A5156" s="65">
        <v>9006946</v>
      </c>
      <c r="B5156" s="65" t="s">
        <v>5732</v>
      </c>
      <c r="C5156" s="65" t="s">
        <v>942</v>
      </c>
    </row>
    <row r="5157" spans="1:3" hidden="1">
      <c r="A5157" s="65">
        <v>9006947</v>
      </c>
      <c r="B5157" s="65" t="s">
        <v>5733</v>
      </c>
      <c r="C5157" s="65" t="s">
        <v>942</v>
      </c>
    </row>
    <row r="5158" spans="1:3" hidden="1">
      <c r="A5158" s="65">
        <v>9006948</v>
      </c>
      <c r="B5158" s="65" t="s">
        <v>5734</v>
      </c>
      <c r="C5158" s="65" t="s">
        <v>942</v>
      </c>
    </row>
    <row r="5159" spans="1:3" hidden="1">
      <c r="A5159" s="65">
        <v>9006949</v>
      </c>
      <c r="B5159" s="65" t="s">
        <v>5735</v>
      </c>
      <c r="C5159" s="65" t="s">
        <v>942</v>
      </c>
    </row>
    <row r="5160" spans="1:3" hidden="1">
      <c r="A5160" s="65">
        <v>9006950</v>
      </c>
      <c r="B5160" s="65" t="s">
        <v>5736</v>
      </c>
      <c r="C5160" s="65" t="s">
        <v>793</v>
      </c>
    </row>
    <row r="5161" spans="1:3" hidden="1">
      <c r="A5161" s="65">
        <v>9006951</v>
      </c>
      <c r="B5161" s="65" t="s">
        <v>5737</v>
      </c>
      <c r="C5161" s="65" t="s">
        <v>793</v>
      </c>
    </row>
    <row r="5162" spans="1:3" hidden="1">
      <c r="A5162" s="65">
        <v>9006952</v>
      </c>
      <c r="B5162" s="65" t="s">
        <v>5738</v>
      </c>
      <c r="C5162" s="65" t="s">
        <v>738</v>
      </c>
    </row>
    <row r="5163" spans="1:3" hidden="1">
      <c r="A5163" s="65">
        <v>9006953</v>
      </c>
      <c r="B5163" s="65" t="s">
        <v>5739</v>
      </c>
      <c r="C5163" s="65" t="s">
        <v>664</v>
      </c>
    </row>
    <row r="5164" spans="1:3" hidden="1">
      <c r="A5164" s="65">
        <v>9006954</v>
      </c>
      <c r="B5164" s="65" t="s">
        <v>5740</v>
      </c>
      <c r="C5164" s="65" t="s">
        <v>5741</v>
      </c>
    </row>
    <row r="5165" spans="1:3" hidden="1">
      <c r="A5165" s="65">
        <v>9006955</v>
      </c>
      <c r="B5165" s="65" t="s">
        <v>5742</v>
      </c>
      <c r="C5165" s="65" t="s">
        <v>1553</v>
      </c>
    </row>
    <row r="5166" spans="1:3" hidden="1">
      <c r="A5166" s="65">
        <v>9006956</v>
      </c>
      <c r="B5166" s="65" t="s">
        <v>5743</v>
      </c>
      <c r="C5166" s="65" t="s">
        <v>942</v>
      </c>
    </row>
    <row r="5167" spans="1:3" hidden="1">
      <c r="A5167" s="65">
        <v>9006957</v>
      </c>
      <c r="B5167" s="65" t="s">
        <v>5744</v>
      </c>
      <c r="C5167" s="65" t="s">
        <v>942</v>
      </c>
    </row>
    <row r="5168" spans="1:3" hidden="1">
      <c r="A5168" s="65">
        <v>9006958</v>
      </c>
      <c r="B5168" s="65" t="s">
        <v>5745</v>
      </c>
      <c r="C5168" s="65" t="s">
        <v>942</v>
      </c>
    </row>
    <row r="5169" spans="1:3" hidden="1">
      <c r="A5169" s="65">
        <v>9006959</v>
      </c>
      <c r="B5169" s="65" t="s">
        <v>5746</v>
      </c>
      <c r="C5169" s="65" t="s">
        <v>942</v>
      </c>
    </row>
    <row r="5170" spans="1:3" hidden="1">
      <c r="A5170" s="65">
        <v>9006960</v>
      </c>
      <c r="B5170" s="65" t="s">
        <v>5747</v>
      </c>
      <c r="C5170" s="65" t="s">
        <v>942</v>
      </c>
    </row>
    <row r="5171" spans="1:3" hidden="1">
      <c r="A5171" s="65">
        <v>9006961</v>
      </c>
      <c r="B5171" s="65" t="s">
        <v>5748</v>
      </c>
      <c r="C5171" s="65" t="s">
        <v>942</v>
      </c>
    </row>
    <row r="5172" spans="1:3" hidden="1">
      <c r="A5172" s="65">
        <v>9006962</v>
      </c>
      <c r="B5172" s="65" t="s">
        <v>5749</v>
      </c>
      <c r="C5172" s="65" t="s">
        <v>942</v>
      </c>
    </row>
    <row r="5173" spans="1:3" hidden="1">
      <c r="A5173" s="65">
        <v>9006963</v>
      </c>
      <c r="B5173" s="65" t="s">
        <v>5750</v>
      </c>
      <c r="C5173" s="65" t="s">
        <v>942</v>
      </c>
    </row>
    <row r="5174" spans="1:3" hidden="1">
      <c r="A5174" s="65">
        <v>9006964</v>
      </c>
      <c r="B5174" s="65" t="s">
        <v>5751</v>
      </c>
      <c r="C5174" s="65" t="s">
        <v>942</v>
      </c>
    </row>
    <row r="5175" spans="1:3" hidden="1">
      <c r="A5175" s="65">
        <v>9006965</v>
      </c>
      <c r="B5175" s="65" t="s">
        <v>5752</v>
      </c>
      <c r="C5175" s="65" t="s">
        <v>942</v>
      </c>
    </row>
    <row r="5176" spans="1:3" hidden="1">
      <c r="A5176" s="65">
        <v>9006966</v>
      </c>
      <c r="B5176" s="65" t="s">
        <v>5753</v>
      </c>
      <c r="C5176" s="65" t="s">
        <v>942</v>
      </c>
    </row>
    <row r="5177" spans="1:3" hidden="1">
      <c r="A5177" s="65">
        <v>9006967</v>
      </c>
      <c r="B5177" s="65" t="s">
        <v>5754</v>
      </c>
      <c r="C5177" s="65" t="s">
        <v>942</v>
      </c>
    </row>
    <row r="5178" spans="1:3" hidden="1">
      <c r="A5178" s="65">
        <v>9006968</v>
      </c>
      <c r="B5178" s="65" t="s">
        <v>5755</v>
      </c>
      <c r="C5178" s="65" t="s">
        <v>942</v>
      </c>
    </row>
    <row r="5179" spans="1:3" hidden="1">
      <c r="A5179" s="65">
        <v>9006969</v>
      </c>
      <c r="B5179" s="65" t="s">
        <v>5756</v>
      </c>
      <c r="C5179" s="65" t="s">
        <v>664</v>
      </c>
    </row>
    <row r="5180" spans="1:3" hidden="1">
      <c r="A5180" s="65">
        <v>9006970</v>
      </c>
      <c r="B5180" s="65" t="s">
        <v>649</v>
      </c>
      <c r="C5180" s="65" t="s">
        <v>732</v>
      </c>
    </row>
    <row r="5181" spans="1:3" hidden="1">
      <c r="A5181" s="65">
        <v>9006971</v>
      </c>
      <c r="B5181" s="65" t="s">
        <v>5757</v>
      </c>
      <c r="C5181" s="65" t="s">
        <v>825</v>
      </c>
    </row>
    <row r="5182" spans="1:3" hidden="1">
      <c r="A5182" s="65">
        <v>9006972</v>
      </c>
      <c r="B5182" s="65" t="s">
        <v>1620</v>
      </c>
      <c r="C5182" s="65" t="s">
        <v>743</v>
      </c>
    </row>
    <row r="5183" spans="1:3" hidden="1">
      <c r="A5183" s="65">
        <v>9006973</v>
      </c>
      <c r="B5183" s="65" t="s">
        <v>5758</v>
      </c>
      <c r="C5183" s="65" t="s">
        <v>677</v>
      </c>
    </row>
    <row r="5184" spans="1:3" hidden="1">
      <c r="A5184" s="65">
        <v>9006974</v>
      </c>
      <c r="B5184" s="65" t="s">
        <v>5759</v>
      </c>
      <c r="C5184" s="65" t="s">
        <v>1181</v>
      </c>
    </row>
    <row r="5185" spans="1:3" hidden="1">
      <c r="A5185" s="65">
        <v>9006975</v>
      </c>
      <c r="B5185" s="65" t="s">
        <v>5760</v>
      </c>
      <c r="C5185" s="65" t="s">
        <v>1181</v>
      </c>
    </row>
    <row r="5186" spans="1:3" hidden="1">
      <c r="A5186" s="65">
        <v>9006976</v>
      </c>
      <c r="B5186" s="65" t="s">
        <v>5761</v>
      </c>
      <c r="C5186" s="65" t="s">
        <v>1181</v>
      </c>
    </row>
    <row r="5187" spans="1:3" hidden="1">
      <c r="A5187" s="65">
        <v>9006977</v>
      </c>
      <c r="B5187" s="65" t="s">
        <v>5762</v>
      </c>
      <c r="C5187" s="65" t="s">
        <v>1181</v>
      </c>
    </row>
    <row r="5188" spans="1:3" hidden="1">
      <c r="A5188" s="65">
        <v>9006978</v>
      </c>
      <c r="B5188" s="65" t="s">
        <v>5763</v>
      </c>
      <c r="C5188" s="65" t="s">
        <v>1181</v>
      </c>
    </row>
    <row r="5189" spans="1:3" hidden="1">
      <c r="A5189" s="65">
        <v>9006979</v>
      </c>
      <c r="B5189" s="65" t="s">
        <v>5764</v>
      </c>
      <c r="C5189" s="65" t="s">
        <v>1181</v>
      </c>
    </row>
    <row r="5190" spans="1:3" hidden="1">
      <c r="A5190" s="65">
        <v>9006980</v>
      </c>
      <c r="B5190" s="65" t="s">
        <v>5765</v>
      </c>
      <c r="C5190" s="65" t="s">
        <v>1181</v>
      </c>
    </row>
    <row r="5191" spans="1:3" hidden="1">
      <c r="A5191" s="65">
        <v>9006981</v>
      </c>
      <c r="B5191" s="65" t="s">
        <v>5766</v>
      </c>
      <c r="C5191" s="65" t="s">
        <v>1181</v>
      </c>
    </row>
    <row r="5192" spans="1:3" hidden="1">
      <c r="A5192" s="65">
        <v>9006982</v>
      </c>
      <c r="B5192" s="65" t="s">
        <v>5767</v>
      </c>
      <c r="C5192" s="65" t="s">
        <v>850</v>
      </c>
    </row>
    <row r="5193" spans="1:3" hidden="1">
      <c r="A5193" s="65">
        <v>9006983</v>
      </c>
      <c r="B5193" s="65" t="s">
        <v>5768</v>
      </c>
      <c r="C5193" s="65" t="s">
        <v>738</v>
      </c>
    </row>
    <row r="5194" spans="1:3" hidden="1">
      <c r="A5194" s="65">
        <v>9006984</v>
      </c>
      <c r="B5194" s="65" t="s">
        <v>5769</v>
      </c>
      <c r="C5194" s="65" t="s">
        <v>751</v>
      </c>
    </row>
    <row r="5195" spans="1:3" hidden="1">
      <c r="A5195" s="65">
        <v>9006985</v>
      </c>
      <c r="B5195" s="65" t="s">
        <v>5770</v>
      </c>
      <c r="C5195" s="65" t="s">
        <v>757</v>
      </c>
    </row>
    <row r="5196" spans="1:3" hidden="1">
      <c r="A5196" s="65">
        <v>9006986</v>
      </c>
      <c r="B5196" s="65" t="s">
        <v>5771</v>
      </c>
      <c r="C5196" s="65" t="s">
        <v>695</v>
      </c>
    </row>
    <row r="5197" spans="1:3" hidden="1">
      <c r="A5197" s="65">
        <v>9006987</v>
      </c>
      <c r="B5197" s="65" t="s">
        <v>5772</v>
      </c>
      <c r="C5197" s="65" t="s">
        <v>1606</v>
      </c>
    </row>
    <row r="5198" spans="1:3" hidden="1">
      <c r="A5198" s="65">
        <v>9006988</v>
      </c>
      <c r="B5198" s="65" t="s">
        <v>5773</v>
      </c>
      <c r="C5198" s="65" t="s">
        <v>745</v>
      </c>
    </row>
    <row r="5199" spans="1:3" hidden="1">
      <c r="A5199" s="65">
        <v>9006989</v>
      </c>
      <c r="B5199" s="65" t="s">
        <v>5774</v>
      </c>
      <c r="C5199" s="65" t="s">
        <v>745</v>
      </c>
    </row>
    <row r="5200" spans="1:3" hidden="1">
      <c r="A5200" s="65">
        <v>9006990</v>
      </c>
      <c r="B5200" s="65" t="s">
        <v>5775</v>
      </c>
      <c r="C5200" s="65" t="s">
        <v>745</v>
      </c>
    </row>
    <row r="5201" spans="1:3" hidden="1">
      <c r="A5201" s="65">
        <v>9006991</v>
      </c>
      <c r="B5201" s="65" t="s">
        <v>5776</v>
      </c>
      <c r="C5201" s="65" t="s">
        <v>723</v>
      </c>
    </row>
    <row r="5202" spans="1:3" hidden="1">
      <c r="A5202" s="65">
        <v>9006992</v>
      </c>
      <c r="B5202" s="65" t="s">
        <v>5777</v>
      </c>
      <c r="C5202" s="65" t="s">
        <v>942</v>
      </c>
    </row>
    <row r="5203" spans="1:3" hidden="1">
      <c r="A5203" s="65">
        <v>9006993</v>
      </c>
      <c r="B5203" s="65" t="s">
        <v>5778</v>
      </c>
      <c r="C5203" s="65" t="s">
        <v>805</v>
      </c>
    </row>
    <row r="5204" spans="1:3" hidden="1">
      <c r="A5204" s="65">
        <v>9006994</v>
      </c>
      <c r="B5204" s="65" t="s">
        <v>5779</v>
      </c>
      <c r="C5204" s="65" t="s">
        <v>805</v>
      </c>
    </row>
    <row r="5205" spans="1:3" hidden="1">
      <c r="A5205" s="65">
        <v>9006995</v>
      </c>
      <c r="B5205" s="65" t="s">
        <v>5780</v>
      </c>
      <c r="C5205" s="65" t="s">
        <v>805</v>
      </c>
    </row>
    <row r="5206" spans="1:3" hidden="1">
      <c r="A5206" s="65">
        <v>9006996</v>
      </c>
      <c r="B5206" s="65" t="s">
        <v>5781</v>
      </c>
      <c r="C5206" s="65" t="s">
        <v>805</v>
      </c>
    </row>
    <row r="5207" spans="1:3" hidden="1">
      <c r="A5207" s="65">
        <v>9006997</v>
      </c>
      <c r="B5207" s="65" t="s">
        <v>5782</v>
      </c>
      <c r="C5207" s="65" t="s">
        <v>805</v>
      </c>
    </row>
    <row r="5208" spans="1:3" hidden="1">
      <c r="A5208" s="65">
        <v>9006998</v>
      </c>
      <c r="B5208" s="65" t="s">
        <v>5783</v>
      </c>
      <c r="C5208" s="65" t="s">
        <v>942</v>
      </c>
    </row>
    <row r="5209" spans="1:3" hidden="1">
      <c r="A5209" s="65">
        <v>9006999</v>
      </c>
      <c r="B5209" s="65" t="s">
        <v>5784</v>
      </c>
      <c r="C5209" s="65" t="s">
        <v>942</v>
      </c>
    </row>
    <row r="5210" spans="1:3" hidden="1">
      <c r="A5210" s="65">
        <v>9007000</v>
      </c>
      <c r="B5210" s="65" t="s">
        <v>5785</v>
      </c>
      <c r="C5210" s="65" t="s">
        <v>942</v>
      </c>
    </row>
    <row r="5211" spans="1:3" hidden="1">
      <c r="A5211" s="65">
        <v>9007001</v>
      </c>
      <c r="B5211" s="65" t="s">
        <v>5786</v>
      </c>
      <c r="C5211" s="65" t="s">
        <v>942</v>
      </c>
    </row>
    <row r="5212" spans="1:3" hidden="1">
      <c r="A5212" s="65">
        <v>9007002</v>
      </c>
      <c r="B5212" s="65" t="s">
        <v>5787</v>
      </c>
      <c r="C5212" s="65" t="s">
        <v>942</v>
      </c>
    </row>
    <row r="5213" spans="1:3" hidden="1">
      <c r="A5213" s="65">
        <v>9007003</v>
      </c>
      <c r="B5213" s="65" t="s">
        <v>5788</v>
      </c>
      <c r="C5213" s="65" t="s">
        <v>942</v>
      </c>
    </row>
    <row r="5214" spans="1:3" hidden="1">
      <c r="A5214" s="65">
        <v>9007004</v>
      </c>
      <c r="B5214" s="65" t="s">
        <v>5789</v>
      </c>
      <c r="C5214" s="65" t="s">
        <v>5741</v>
      </c>
    </row>
    <row r="5215" spans="1:3" hidden="1">
      <c r="A5215" s="65">
        <v>9007005</v>
      </c>
      <c r="B5215" s="65" t="s">
        <v>5790</v>
      </c>
      <c r="C5215" s="65" t="s">
        <v>775</v>
      </c>
    </row>
    <row r="5216" spans="1:3" hidden="1">
      <c r="A5216" s="65">
        <v>9007006</v>
      </c>
      <c r="B5216" s="65" t="s">
        <v>5791</v>
      </c>
      <c r="C5216" s="65" t="s">
        <v>795</v>
      </c>
    </row>
    <row r="5217" spans="1:3" hidden="1">
      <c r="A5217" s="65">
        <v>9007007</v>
      </c>
      <c r="B5217" s="65" t="s">
        <v>5792</v>
      </c>
      <c r="C5217" s="65" t="s">
        <v>793</v>
      </c>
    </row>
    <row r="5218" spans="1:3" hidden="1">
      <c r="A5218" s="65">
        <v>9007008</v>
      </c>
      <c r="B5218" s="65" t="s">
        <v>5793</v>
      </c>
      <c r="C5218" s="65" t="s">
        <v>942</v>
      </c>
    </row>
    <row r="5219" spans="1:3" hidden="1">
      <c r="A5219" s="65">
        <v>9007009</v>
      </c>
      <c r="B5219" s="65" t="s">
        <v>5794</v>
      </c>
      <c r="C5219" s="65" t="s">
        <v>805</v>
      </c>
    </row>
    <row r="5220" spans="1:3" hidden="1">
      <c r="A5220" s="65">
        <v>9007010</v>
      </c>
      <c r="B5220" s="65" t="s">
        <v>5795</v>
      </c>
      <c r="C5220" s="65" t="s">
        <v>1553</v>
      </c>
    </row>
    <row r="5221" spans="1:3" hidden="1">
      <c r="A5221" s="65">
        <v>9007011</v>
      </c>
      <c r="B5221" s="65" t="s">
        <v>5796</v>
      </c>
      <c r="C5221" s="65" t="s">
        <v>2624</v>
      </c>
    </row>
    <row r="5222" spans="1:3">
      <c r="A5222" s="65">
        <v>9007012</v>
      </c>
      <c r="B5222" s="65" t="s">
        <v>5797</v>
      </c>
      <c r="C5222" s="65" t="s">
        <v>942</v>
      </c>
    </row>
    <row r="5223" spans="1:3" hidden="1">
      <c r="A5223" s="65">
        <v>9007013</v>
      </c>
      <c r="B5223" s="65" t="s">
        <v>5798</v>
      </c>
      <c r="C5223" s="65" t="s">
        <v>751</v>
      </c>
    </row>
    <row r="5224" spans="1:3" hidden="1">
      <c r="A5224" s="65">
        <v>9007014</v>
      </c>
      <c r="B5224" s="65" t="s">
        <v>5799</v>
      </c>
      <c r="C5224" s="65" t="s">
        <v>751</v>
      </c>
    </row>
    <row r="5225" spans="1:3" hidden="1">
      <c r="A5225" s="65">
        <v>9007015</v>
      </c>
      <c r="B5225" s="65" t="s">
        <v>5800</v>
      </c>
      <c r="C5225" s="65" t="s">
        <v>942</v>
      </c>
    </row>
    <row r="5226" spans="1:3" hidden="1">
      <c r="A5226" s="65">
        <v>9007016</v>
      </c>
      <c r="B5226" s="65" t="s">
        <v>5801</v>
      </c>
      <c r="C5226" s="65" t="s">
        <v>942</v>
      </c>
    </row>
    <row r="5227" spans="1:3" hidden="1">
      <c r="A5227" s="65">
        <v>9007017</v>
      </c>
      <c r="B5227" s="65" t="s">
        <v>5802</v>
      </c>
      <c r="C5227" s="65" t="s">
        <v>942</v>
      </c>
    </row>
    <row r="5228" spans="1:3" hidden="1">
      <c r="A5228" s="65">
        <v>9007018</v>
      </c>
      <c r="B5228" s="65" t="s">
        <v>5803</v>
      </c>
      <c r="C5228" s="65" t="s">
        <v>942</v>
      </c>
    </row>
    <row r="5229" spans="1:3" hidden="1">
      <c r="A5229" s="65">
        <v>9007019</v>
      </c>
      <c r="B5229" s="65" t="s">
        <v>5804</v>
      </c>
      <c r="C5229" s="65" t="s">
        <v>942</v>
      </c>
    </row>
    <row r="5230" spans="1:3" hidden="1">
      <c r="A5230" s="65">
        <v>9007020</v>
      </c>
      <c r="B5230" s="65" t="s">
        <v>5805</v>
      </c>
      <c r="C5230" s="65" t="s">
        <v>942</v>
      </c>
    </row>
    <row r="5231" spans="1:3" hidden="1">
      <c r="A5231" s="65">
        <v>9007021</v>
      </c>
      <c r="B5231" s="65" t="s">
        <v>5806</v>
      </c>
      <c r="C5231" s="65" t="s">
        <v>942</v>
      </c>
    </row>
    <row r="5232" spans="1:3" hidden="1">
      <c r="A5232" s="65">
        <v>9007022</v>
      </c>
      <c r="B5232" s="65" t="s">
        <v>5807</v>
      </c>
      <c r="C5232" s="65" t="s">
        <v>942</v>
      </c>
    </row>
    <row r="5233" spans="1:3" hidden="1">
      <c r="A5233" s="65">
        <v>9007023</v>
      </c>
      <c r="B5233" s="65" t="s">
        <v>5808</v>
      </c>
      <c r="C5233" s="65" t="s">
        <v>738</v>
      </c>
    </row>
    <row r="5234" spans="1:3" hidden="1">
      <c r="A5234" s="65">
        <v>9007024</v>
      </c>
      <c r="B5234" s="65" t="s">
        <v>5808</v>
      </c>
      <c r="C5234" s="65" t="s">
        <v>5809</v>
      </c>
    </row>
    <row r="5235" spans="1:3" hidden="1">
      <c r="A5235" s="65">
        <v>9007025</v>
      </c>
      <c r="B5235" s="65" t="s">
        <v>5810</v>
      </c>
      <c r="C5235" s="65" t="s">
        <v>793</v>
      </c>
    </row>
    <row r="5236" spans="1:3" hidden="1">
      <c r="A5236" s="65">
        <v>9007026</v>
      </c>
      <c r="B5236" s="65" t="s">
        <v>5811</v>
      </c>
      <c r="C5236" s="65" t="s">
        <v>793</v>
      </c>
    </row>
    <row r="5237" spans="1:3" hidden="1">
      <c r="A5237" s="65">
        <v>9007027</v>
      </c>
      <c r="B5237" s="65" t="s">
        <v>5812</v>
      </c>
      <c r="C5237" s="65" t="s">
        <v>793</v>
      </c>
    </row>
    <row r="5238" spans="1:3" hidden="1">
      <c r="A5238" s="65">
        <v>9007028</v>
      </c>
      <c r="B5238" s="65" t="s">
        <v>5813</v>
      </c>
      <c r="C5238" s="65" t="s">
        <v>793</v>
      </c>
    </row>
    <row r="5239" spans="1:3" hidden="1">
      <c r="A5239" s="65">
        <v>9007029</v>
      </c>
      <c r="B5239" s="65" t="s">
        <v>5814</v>
      </c>
      <c r="C5239" s="65" t="s">
        <v>775</v>
      </c>
    </row>
    <row r="5240" spans="1:3" hidden="1">
      <c r="A5240" s="65">
        <v>9007030</v>
      </c>
      <c r="B5240" s="65" t="s">
        <v>5815</v>
      </c>
      <c r="C5240" s="65" t="s">
        <v>942</v>
      </c>
    </row>
    <row r="5241" spans="1:3" hidden="1">
      <c r="A5241" s="65">
        <v>9007031</v>
      </c>
      <c r="B5241" s="65" t="s">
        <v>5816</v>
      </c>
      <c r="C5241" s="65" t="s">
        <v>942</v>
      </c>
    </row>
    <row r="5242" spans="1:3" hidden="1">
      <c r="A5242" s="65">
        <v>9007032</v>
      </c>
      <c r="B5242" s="65" t="s">
        <v>5817</v>
      </c>
      <c r="C5242" s="65" t="s">
        <v>1181</v>
      </c>
    </row>
    <row r="5243" spans="1:3" hidden="1">
      <c r="A5243" s="65">
        <v>9007033</v>
      </c>
      <c r="B5243" s="65" t="s">
        <v>5818</v>
      </c>
      <c r="C5243" s="65" t="s">
        <v>942</v>
      </c>
    </row>
    <row r="5244" spans="1:3" hidden="1">
      <c r="A5244" s="65">
        <v>9007034</v>
      </c>
      <c r="B5244" s="65" t="s">
        <v>5819</v>
      </c>
      <c r="C5244" s="65" t="s">
        <v>942</v>
      </c>
    </row>
    <row r="5245" spans="1:3" hidden="1">
      <c r="A5245" s="65">
        <v>9007039</v>
      </c>
      <c r="B5245" s="65" t="s">
        <v>5820</v>
      </c>
      <c r="C5245" s="65" t="s">
        <v>942</v>
      </c>
    </row>
    <row r="5246" spans="1:3" hidden="1">
      <c r="A5246" s="65">
        <v>9007040</v>
      </c>
      <c r="B5246" s="65" t="s">
        <v>5821</v>
      </c>
      <c r="C5246" s="65" t="s">
        <v>751</v>
      </c>
    </row>
    <row r="5247" spans="1:3" hidden="1">
      <c r="A5247" s="65">
        <v>9007041</v>
      </c>
      <c r="B5247" s="65" t="s">
        <v>5822</v>
      </c>
      <c r="C5247" s="65" t="s">
        <v>5629</v>
      </c>
    </row>
    <row r="5248" spans="1:3" hidden="1">
      <c r="A5248" s="65">
        <v>9007042</v>
      </c>
      <c r="B5248" s="65" t="s">
        <v>5823</v>
      </c>
      <c r="C5248" s="65" t="s">
        <v>942</v>
      </c>
    </row>
    <row r="5249" spans="1:3" hidden="1">
      <c r="A5249" s="65">
        <v>9007043</v>
      </c>
      <c r="B5249" s="65" t="s">
        <v>5824</v>
      </c>
      <c r="C5249" s="65" t="s">
        <v>942</v>
      </c>
    </row>
    <row r="5250" spans="1:3" hidden="1">
      <c r="A5250" s="65">
        <v>9007044</v>
      </c>
      <c r="B5250" s="65" t="s">
        <v>5825</v>
      </c>
      <c r="C5250" s="65" t="s">
        <v>942</v>
      </c>
    </row>
    <row r="5251" spans="1:3" hidden="1">
      <c r="A5251" s="65">
        <v>9007045</v>
      </c>
      <c r="B5251" s="65" t="s">
        <v>5826</v>
      </c>
      <c r="C5251" s="65" t="s">
        <v>5827</v>
      </c>
    </row>
    <row r="5252" spans="1:3" hidden="1">
      <c r="A5252" s="65">
        <v>9007046</v>
      </c>
      <c r="B5252" s="65" t="s">
        <v>5828</v>
      </c>
      <c r="C5252" s="65" t="s">
        <v>670</v>
      </c>
    </row>
    <row r="5253" spans="1:3" hidden="1">
      <c r="A5253" s="65">
        <v>9007049</v>
      </c>
      <c r="B5253" s="65" t="s">
        <v>5829</v>
      </c>
      <c r="C5253" s="65" t="s">
        <v>793</v>
      </c>
    </row>
    <row r="5254" spans="1:3" hidden="1">
      <c r="A5254" s="65">
        <v>9007050</v>
      </c>
      <c r="B5254" s="65" t="s">
        <v>5830</v>
      </c>
      <c r="C5254" s="65" t="s">
        <v>793</v>
      </c>
    </row>
    <row r="5255" spans="1:3" hidden="1">
      <c r="A5255" s="65">
        <v>9007051</v>
      </c>
      <c r="B5255" s="65" t="s">
        <v>5831</v>
      </c>
      <c r="C5255" s="65" t="s">
        <v>793</v>
      </c>
    </row>
    <row r="5256" spans="1:3" hidden="1">
      <c r="A5256" s="65">
        <v>9007052</v>
      </c>
      <c r="B5256" s="65" t="s">
        <v>5832</v>
      </c>
      <c r="C5256" s="65" t="s">
        <v>793</v>
      </c>
    </row>
    <row r="5257" spans="1:3" hidden="1">
      <c r="A5257" s="65">
        <v>9007053</v>
      </c>
      <c r="B5257" s="65" t="s">
        <v>5833</v>
      </c>
      <c r="C5257" s="65" t="s">
        <v>793</v>
      </c>
    </row>
    <row r="5258" spans="1:3" hidden="1">
      <c r="A5258" s="65">
        <v>9007054</v>
      </c>
      <c r="B5258" s="65" t="s">
        <v>5834</v>
      </c>
      <c r="C5258" s="65" t="s">
        <v>738</v>
      </c>
    </row>
    <row r="5259" spans="1:3" hidden="1">
      <c r="A5259" s="65">
        <v>9007055</v>
      </c>
      <c r="B5259" s="65" t="s">
        <v>5835</v>
      </c>
      <c r="C5259" s="65" t="s">
        <v>805</v>
      </c>
    </row>
    <row r="5260" spans="1:3" hidden="1">
      <c r="A5260" s="65">
        <v>9007056</v>
      </c>
      <c r="B5260" s="65" t="s">
        <v>5836</v>
      </c>
      <c r="C5260" s="65" t="s">
        <v>738</v>
      </c>
    </row>
    <row r="5261" spans="1:3" hidden="1">
      <c r="A5261" s="65">
        <v>9007057</v>
      </c>
      <c r="B5261" s="65" t="s">
        <v>5837</v>
      </c>
      <c r="C5261" s="65" t="s">
        <v>793</v>
      </c>
    </row>
    <row r="5262" spans="1:3" hidden="1">
      <c r="A5262" s="65">
        <v>9007058</v>
      </c>
      <c r="B5262" s="65" t="s">
        <v>5838</v>
      </c>
      <c r="C5262" s="65" t="s">
        <v>793</v>
      </c>
    </row>
    <row r="5263" spans="1:3" hidden="1">
      <c r="A5263" s="65">
        <v>9007059</v>
      </c>
      <c r="B5263" s="65" t="s">
        <v>5839</v>
      </c>
      <c r="C5263" s="65" t="s">
        <v>738</v>
      </c>
    </row>
    <row r="5264" spans="1:3" hidden="1">
      <c r="A5264" s="65">
        <v>9007060</v>
      </c>
      <c r="B5264" s="65" t="s">
        <v>5840</v>
      </c>
      <c r="C5264" s="65" t="s">
        <v>805</v>
      </c>
    </row>
    <row r="5265" spans="1:3" hidden="1">
      <c r="A5265" s="65">
        <v>9007061</v>
      </c>
      <c r="B5265" s="65" t="s">
        <v>5841</v>
      </c>
      <c r="C5265" s="65" t="s">
        <v>805</v>
      </c>
    </row>
    <row r="5266" spans="1:3" hidden="1">
      <c r="A5266" s="65">
        <v>9007062</v>
      </c>
      <c r="B5266" s="65" t="s">
        <v>5841</v>
      </c>
      <c r="C5266" s="65" t="s">
        <v>805</v>
      </c>
    </row>
    <row r="5267" spans="1:3" hidden="1">
      <c r="A5267" s="65">
        <v>9007063</v>
      </c>
      <c r="B5267" s="65" t="s">
        <v>5842</v>
      </c>
      <c r="C5267" s="65" t="s">
        <v>793</v>
      </c>
    </row>
    <row r="5268" spans="1:3" hidden="1">
      <c r="A5268" s="65">
        <v>9007064</v>
      </c>
      <c r="B5268" s="65" t="s">
        <v>5843</v>
      </c>
      <c r="C5268" s="65" t="s">
        <v>793</v>
      </c>
    </row>
    <row r="5269" spans="1:3" hidden="1">
      <c r="A5269" s="65">
        <v>9007065</v>
      </c>
      <c r="B5269" s="65" t="s">
        <v>5844</v>
      </c>
      <c r="C5269" s="65" t="s">
        <v>793</v>
      </c>
    </row>
    <row r="5270" spans="1:3" hidden="1">
      <c r="A5270" s="65">
        <v>9007066</v>
      </c>
      <c r="B5270" s="65" t="s">
        <v>5845</v>
      </c>
      <c r="C5270" s="65" t="s">
        <v>805</v>
      </c>
    </row>
    <row r="5271" spans="1:3" hidden="1">
      <c r="A5271" s="65">
        <v>9007067</v>
      </c>
      <c r="B5271" s="65" t="s">
        <v>5846</v>
      </c>
      <c r="C5271" s="65" t="s">
        <v>793</v>
      </c>
    </row>
    <row r="5272" spans="1:3" hidden="1">
      <c r="A5272" s="65">
        <v>9007068</v>
      </c>
      <c r="B5272" s="65" t="s">
        <v>5847</v>
      </c>
      <c r="C5272" s="65" t="s">
        <v>738</v>
      </c>
    </row>
    <row r="5273" spans="1:3" hidden="1">
      <c r="A5273" s="65">
        <v>9007069</v>
      </c>
      <c r="B5273" s="65" t="s">
        <v>5848</v>
      </c>
      <c r="C5273" s="65" t="s">
        <v>793</v>
      </c>
    </row>
    <row r="5274" spans="1:3" hidden="1">
      <c r="A5274" s="65">
        <v>9007070</v>
      </c>
      <c r="B5274" s="65" t="s">
        <v>5849</v>
      </c>
      <c r="C5274" s="65" t="s">
        <v>738</v>
      </c>
    </row>
    <row r="5275" spans="1:3" hidden="1">
      <c r="A5275" s="65">
        <v>9007071</v>
      </c>
      <c r="B5275" s="65" t="s">
        <v>5850</v>
      </c>
      <c r="C5275" s="65" t="s">
        <v>738</v>
      </c>
    </row>
    <row r="5276" spans="1:3" hidden="1">
      <c r="A5276" s="65">
        <v>9007072</v>
      </c>
      <c r="B5276" s="65" t="s">
        <v>5851</v>
      </c>
      <c r="C5276" s="65" t="s">
        <v>738</v>
      </c>
    </row>
    <row r="5277" spans="1:3" hidden="1">
      <c r="A5277" s="65">
        <v>9007073</v>
      </c>
      <c r="B5277" s="65" t="s">
        <v>5852</v>
      </c>
      <c r="C5277" s="65" t="s">
        <v>738</v>
      </c>
    </row>
    <row r="5278" spans="1:3" hidden="1">
      <c r="A5278" s="65">
        <v>9007074</v>
      </c>
      <c r="B5278" s="65" t="s">
        <v>5853</v>
      </c>
      <c r="C5278" s="65" t="s">
        <v>793</v>
      </c>
    </row>
    <row r="5279" spans="1:3" hidden="1">
      <c r="A5279" s="65">
        <v>9007075</v>
      </c>
      <c r="B5279" s="65" t="s">
        <v>5854</v>
      </c>
      <c r="C5279" s="65" t="s">
        <v>793</v>
      </c>
    </row>
    <row r="5280" spans="1:3" hidden="1">
      <c r="A5280" s="65">
        <v>9007076</v>
      </c>
      <c r="B5280" s="65" t="s">
        <v>5855</v>
      </c>
      <c r="C5280" s="65" t="s">
        <v>779</v>
      </c>
    </row>
    <row r="5281" spans="1:3" hidden="1">
      <c r="A5281" s="65">
        <v>9007077</v>
      </c>
      <c r="B5281" s="65" t="s">
        <v>5856</v>
      </c>
      <c r="C5281" s="65" t="s">
        <v>2234</v>
      </c>
    </row>
    <row r="5282" spans="1:3" hidden="1">
      <c r="A5282" s="65">
        <v>9007078</v>
      </c>
      <c r="B5282" s="65" t="s">
        <v>5857</v>
      </c>
      <c r="C5282" s="65" t="s">
        <v>793</v>
      </c>
    </row>
    <row r="5283" spans="1:3" hidden="1">
      <c r="A5283" s="65">
        <v>9007079</v>
      </c>
      <c r="B5283" s="65" t="s">
        <v>5858</v>
      </c>
      <c r="C5283" s="65" t="s">
        <v>805</v>
      </c>
    </row>
    <row r="5284" spans="1:3" hidden="1">
      <c r="A5284" s="65">
        <v>9007080</v>
      </c>
      <c r="B5284" s="65" t="s">
        <v>5859</v>
      </c>
      <c r="C5284" s="65" t="s">
        <v>779</v>
      </c>
    </row>
    <row r="5285" spans="1:3" hidden="1">
      <c r="A5285" s="65">
        <v>9007081</v>
      </c>
      <c r="B5285" s="65" t="s">
        <v>5860</v>
      </c>
      <c r="C5285" s="65" t="s">
        <v>738</v>
      </c>
    </row>
    <row r="5286" spans="1:3" hidden="1">
      <c r="A5286" s="65">
        <v>9007082</v>
      </c>
      <c r="B5286" s="65" t="s">
        <v>5861</v>
      </c>
      <c r="C5286" s="65" t="s">
        <v>793</v>
      </c>
    </row>
    <row r="5287" spans="1:3" hidden="1">
      <c r="A5287" s="65">
        <v>9007083</v>
      </c>
      <c r="B5287" s="65" t="s">
        <v>5862</v>
      </c>
      <c r="C5287" s="65" t="s">
        <v>793</v>
      </c>
    </row>
    <row r="5288" spans="1:3" hidden="1">
      <c r="A5288" s="65">
        <v>9007084</v>
      </c>
      <c r="B5288" s="65" t="s">
        <v>5863</v>
      </c>
      <c r="C5288" s="65" t="s">
        <v>793</v>
      </c>
    </row>
    <row r="5289" spans="1:3" hidden="1">
      <c r="A5289" s="65">
        <v>9007085</v>
      </c>
      <c r="B5289" s="65" t="s">
        <v>5864</v>
      </c>
      <c r="C5289" s="65" t="s">
        <v>793</v>
      </c>
    </row>
    <row r="5290" spans="1:3" hidden="1">
      <c r="A5290" s="65">
        <v>9007086</v>
      </c>
      <c r="B5290" s="65" t="s">
        <v>5865</v>
      </c>
      <c r="C5290" s="65" t="s">
        <v>793</v>
      </c>
    </row>
    <row r="5291" spans="1:3" hidden="1">
      <c r="A5291" s="65">
        <v>9007087</v>
      </c>
      <c r="B5291" s="65" t="s">
        <v>5866</v>
      </c>
      <c r="C5291" s="65" t="s">
        <v>793</v>
      </c>
    </row>
    <row r="5292" spans="1:3" hidden="1">
      <c r="A5292" s="65">
        <v>9007088</v>
      </c>
      <c r="B5292" s="65" t="s">
        <v>5867</v>
      </c>
      <c r="C5292" s="65" t="s">
        <v>793</v>
      </c>
    </row>
    <row r="5293" spans="1:3" hidden="1">
      <c r="A5293" s="65">
        <v>9007089</v>
      </c>
      <c r="B5293" s="65" t="s">
        <v>5868</v>
      </c>
      <c r="C5293" s="65" t="s">
        <v>805</v>
      </c>
    </row>
    <row r="5294" spans="1:3" hidden="1">
      <c r="A5294" s="65">
        <v>9007090</v>
      </c>
      <c r="B5294" s="65" t="s">
        <v>5869</v>
      </c>
      <c r="C5294" s="65" t="s">
        <v>805</v>
      </c>
    </row>
    <row r="5295" spans="1:3" hidden="1">
      <c r="A5295" s="65">
        <v>9007091</v>
      </c>
      <c r="B5295" s="65" t="s">
        <v>5870</v>
      </c>
      <c r="C5295" s="65" t="s">
        <v>793</v>
      </c>
    </row>
    <row r="5296" spans="1:3" hidden="1">
      <c r="A5296" s="65">
        <v>9007092</v>
      </c>
      <c r="B5296" s="65" t="s">
        <v>5871</v>
      </c>
      <c r="C5296" s="65" t="s">
        <v>738</v>
      </c>
    </row>
    <row r="5297" spans="1:3" hidden="1">
      <c r="A5297" s="65">
        <v>9007093</v>
      </c>
      <c r="B5297" s="65" t="s">
        <v>5872</v>
      </c>
      <c r="C5297" s="65" t="s">
        <v>747</v>
      </c>
    </row>
    <row r="5298" spans="1:3" hidden="1">
      <c r="A5298" s="65">
        <v>9007094</v>
      </c>
      <c r="B5298" s="65" t="s">
        <v>5873</v>
      </c>
      <c r="C5298" s="65" t="s">
        <v>942</v>
      </c>
    </row>
    <row r="5299" spans="1:3" hidden="1">
      <c r="A5299" s="65">
        <v>9007095</v>
      </c>
      <c r="B5299" s="65" t="s">
        <v>5874</v>
      </c>
      <c r="C5299" s="65" t="s">
        <v>942</v>
      </c>
    </row>
    <row r="5300" spans="1:3" hidden="1">
      <c r="A5300" s="65">
        <v>9007096</v>
      </c>
      <c r="B5300" s="65" t="s">
        <v>5875</v>
      </c>
      <c r="C5300" s="65" t="s">
        <v>942</v>
      </c>
    </row>
    <row r="5301" spans="1:3" hidden="1">
      <c r="A5301" s="65">
        <v>9007097</v>
      </c>
      <c r="B5301" s="65" t="s">
        <v>5876</v>
      </c>
      <c r="C5301" s="65" t="s">
        <v>942</v>
      </c>
    </row>
    <row r="5302" spans="1:3" hidden="1">
      <c r="A5302" s="65">
        <v>9007098</v>
      </c>
      <c r="B5302" s="65" t="s">
        <v>5877</v>
      </c>
      <c r="C5302" s="65" t="s">
        <v>942</v>
      </c>
    </row>
    <row r="5303" spans="1:3" hidden="1">
      <c r="A5303" s="65">
        <v>9007099</v>
      </c>
      <c r="B5303" s="65" t="s">
        <v>5878</v>
      </c>
      <c r="C5303" s="65" t="s">
        <v>942</v>
      </c>
    </row>
    <row r="5304" spans="1:3" hidden="1">
      <c r="A5304" s="65">
        <v>9007100</v>
      </c>
      <c r="B5304" s="65" t="s">
        <v>5879</v>
      </c>
      <c r="C5304" s="65" t="s">
        <v>942</v>
      </c>
    </row>
    <row r="5305" spans="1:3" hidden="1">
      <c r="A5305" s="65">
        <v>9007101</v>
      </c>
      <c r="B5305" s="65" t="s">
        <v>5880</v>
      </c>
      <c r="C5305" s="65" t="s">
        <v>942</v>
      </c>
    </row>
    <row r="5306" spans="1:3" hidden="1">
      <c r="A5306" s="65">
        <v>9007102</v>
      </c>
      <c r="B5306" s="65" t="s">
        <v>5881</v>
      </c>
      <c r="C5306" s="65" t="s">
        <v>942</v>
      </c>
    </row>
    <row r="5307" spans="1:3" hidden="1">
      <c r="A5307" s="65">
        <v>9007103</v>
      </c>
      <c r="B5307" s="65" t="s">
        <v>5882</v>
      </c>
      <c r="C5307" s="65" t="s">
        <v>793</v>
      </c>
    </row>
    <row r="5308" spans="1:3" hidden="1">
      <c r="A5308" s="65">
        <v>9007104</v>
      </c>
      <c r="B5308" s="65" t="s">
        <v>5883</v>
      </c>
      <c r="C5308" s="65" t="s">
        <v>738</v>
      </c>
    </row>
    <row r="5309" spans="1:3" hidden="1">
      <c r="A5309" s="65">
        <v>9007105</v>
      </c>
      <c r="B5309" s="65" t="s">
        <v>5884</v>
      </c>
      <c r="C5309" s="65" t="s">
        <v>807</v>
      </c>
    </row>
    <row r="5310" spans="1:3" hidden="1">
      <c r="A5310" s="65">
        <v>9007106</v>
      </c>
      <c r="B5310" s="65" t="s">
        <v>5885</v>
      </c>
      <c r="C5310" s="65" t="s">
        <v>942</v>
      </c>
    </row>
    <row r="5311" spans="1:3" hidden="1">
      <c r="A5311" s="65">
        <v>9007107</v>
      </c>
      <c r="B5311" s="65" t="s">
        <v>5886</v>
      </c>
      <c r="C5311" s="65" t="s">
        <v>942</v>
      </c>
    </row>
    <row r="5312" spans="1:3" hidden="1">
      <c r="A5312" s="65">
        <v>9007108</v>
      </c>
      <c r="B5312" s="65" t="s">
        <v>5887</v>
      </c>
      <c r="C5312" s="65" t="s">
        <v>942</v>
      </c>
    </row>
    <row r="5313" spans="1:3" hidden="1">
      <c r="A5313" s="65">
        <v>9007109</v>
      </c>
      <c r="B5313" s="65" t="s">
        <v>5888</v>
      </c>
      <c r="C5313" s="65" t="s">
        <v>942</v>
      </c>
    </row>
    <row r="5314" spans="1:3" hidden="1">
      <c r="A5314" s="65">
        <v>9007110</v>
      </c>
      <c r="B5314" s="65" t="s">
        <v>5889</v>
      </c>
      <c r="C5314" s="65" t="s">
        <v>743</v>
      </c>
    </row>
    <row r="5315" spans="1:3" hidden="1">
      <c r="A5315" s="65">
        <v>9007111</v>
      </c>
      <c r="B5315" s="65" t="s">
        <v>5890</v>
      </c>
      <c r="C5315" s="65" t="s">
        <v>745</v>
      </c>
    </row>
    <row r="5316" spans="1:3" hidden="1">
      <c r="A5316" s="65">
        <v>9007112</v>
      </c>
      <c r="B5316" s="65" t="s">
        <v>5891</v>
      </c>
      <c r="C5316" s="65" t="s">
        <v>807</v>
      </c>
    </row>
    <row r="5317" spans="1:3" hidden="1">
      <c r="A5317" s="65">
        <v>9007113</v>
      </c>
      <c r="B5317" s="65" t="s">
        <v>5892</v>
      </c>
      <c r="C5317" s="65" t="s">
        <v>807</v>
      </c>
    </row>
    <row r="5318" spans="1:3" hidden="1">
      <c r="A5318" s="65">
        <v>9007114</v>
      </c>
      <c r="B5318" s="65" t="s">
        <v>5893</v>
      </c>
      <c r="C5318" s="65" t="s">
        <v>807</v>
      </c>
    </row>
    <row r="5319" spans="1:3" hidden="1">
      <c r="A5319" s="65">
        <v>9007115</v>
      </c>
      <c r="B5319" s="65" t="s">
        <v>5894</v>
      </c>
      <c r="C5319" s="65" t="s">
        <v>807</v>
      </c>
    </row>
    <row r="5320" spans="1:3" hidden="1">
      <c r="A5320" s="65">
        <v>9007116</v>
      </c>
      <c r="B5320" s="65" t="s">
        <v>1620</v>
      </c>
      <c r="C5320" s="65" t="s">
        <v>743</v>
      </c>
    </row>
    <row r="5321" spans="1:3" hidden="1">
      <c r="A5321" s="65">
        <v>9007119</v>
      </c>
      <c r="B5321" s="65" t="s">
        <v>5895</v>
      </c>
      <c r="C5321" s="65" t="s">
        <v>827</v>
      </c>
    </row>
    <row r="5322" spans="1:3" hidden="1">
      <c r="A5322" s="65">
        <v>9007120</v>
      </c>
      <c r="B5322" s="65" t="s">
        <v>5896</v>
      </c>
      <c r="C5322" s="65" t="s">
        <v>908</v>
      </c>
    </row>
    <row r="5323" spans="1:3" hidden="1">
      <c r="A5323" s="65">
        <v>9007121</v>
      </c>
      <c r="B5323" s="65" t="s">
        <v>5897</v>
      </c>
      <c r="C5323" s="65" t="s">
        <v>942</v>
      </c>
    </row>
    <row r="5324" spans="1:3" hidden="1">
      <c r="A5324" s="65">
        <v>9007122</v>
      </c>
      <c r="B5324" s="65" t="s">
        <v>5898</v>
      </c>
      <c r="C5324" s="65" t="s">
        <v>942</v>
      </c>
    </row>
    <row r="5325" spans="1:3" hidden="1">
      <c r="A5325" s="65">
        <v>9007123</v>
      </c>
      <c r="B5325" s="65" t="s">
        <v>5899</v>
      </c>
      <c r="C5325" s="65" t="s">
        <v>942</v>
      </c>
    </row>
    <row r="5326" spans="1:3" hidden="1">
      <c r="A5326" s="65">
        <v>9007124</v>
      </c>
      <c r="B5326" s="65" t="s">
        <v>5900</v>
      </c>
      <c r="C5326" s="65" t="s">
        <v>942</v>
      </c>
    </row>
    <row r="5327" spans="1:3" hidden="1">
      <c r="A5327" s="65">
        <v>9007125</v>
      </c>
      <c r="B5327" s="65" t="s">
        <v>5901</v>
      </c>
      <c r="C5327" s="65" t="s">
        <v>942</v>
      </c>
    </row>
    <row r="5328" spans="1:3" hidden="1">
      <c r="A5328" s="65">
        <v>9007126</v>
      </c>
      <c r="B5328" s="65" t="s">
        <v>5902</v>
      </c>
      <c r="C5328" s="65" t="s">
        <v>942</v>
      </c>
    </row>
    <row r="5329" spans="1:3" hidden="1">
      <c r="A5329" s="65">
        <v>9007127</v>
      </c>
      <c r="B5329" s="65" t="s">
        <v>5903</v>
      </c>
      <c r="C5329" s="65" t="s">
        <v>942</v>
      </c>
    </row>
    <row r="5330" spans="1:3" hidden="1">
      <c r="A5330" s="65">
        <v>9007128</v>
      </c>
      <c r="B5330" s="65" t="s">
        <v>5904</v>
      </c>
      <c r="C5330" s="65" t="s">
        <v>942</v>
      </c>
    </row>
    <row r="5331" spans="1:3" hidden="1">
      <c r="A5331" s="65">
        <v>9007129</v>
      </c>
      <c r="B5331" s="65" t="s">
        <v>5905</v>
      </c>
      <c r="C5331" s="65" t="s">
        <v>942</v>
      </c>
    </row>
    <row r="5332" spans="1:3" hidden="1">
      <c r="A5332" s="65">
        <v>9007130</v>
      </c>
      <c r="B5332" s="65" t="s">
        <v>5906</v>
      </c>
      <c r="C5332" s="65" t="s">
        <v>942</v>
      </c>
    </row>
    <row r="5333" spans="1:3" hidden="1">
      <c r="A5333" s="65">
        <v>9007131</v>
      </c>
      <c r="B5333" s="65" t="s">
        <v>5907</v>
      </c>
      <c r="C5333" s="65" t="s">
        <v>942</v>
      </c>
    </row>
    <row r="5334" spans="1:3" hidden="1">
      <c r="A5334" s="65">
        <v>9007132</v>
      </c>
      <c r="B5334" s="65" t="s">
        <v>5908</v>
      </c>
      <c r="C5334" s="65" t="s">
        <v>942</v>
      </c>
    </row>
    <row r="5335" spans="1:3" hidden="1">
      <c r="A5335" s="65">
        <v>9007133</v>
      </c>
      <c r="B5335" s="65" t="s">
        <v>5909</v>
      </c>
      <c r="C5335" s="65" t="s">
        <v>942</v>
      </c>
    </row>
    <row r="5336" spans="1:3" hidden="1">
      <c r="A5336" s="65">
        <v>9007134</v>
      </c>
      <c r="B5336" s="65" t="s">
        <v>5910</v>
      </c>
      <c r="C5336" s="65" t="s">
        <v>942</v>
      </c>
    </row>
    <row r="5337" spans="1:3" hidden="1">
      <c r="A5337" s="65">
        <v>9007135</v>
      </c>
      <c r="B5337" s="65" t="s">
        <v>5911</v>
      </c>
      <c r="C5337" s="65" t="s">
        <v>942</v>
      </c>
    </row>
    <row r="5338" spans="1:3" hidden="1">
      <c r="A5338" s="65">
        <v>9007136</v>
      </c>
      <c r="B5338" s="65" t="s">
        <v>5912</v>
      </c>
      <c r="C5338" s="65" t="s">
        <v>942</v>
      </c>
    </row>
    <row r="5339" spans="1:3" hidden="1">
      <c r="A5339" s="65">
        <v>9007137</v>
      </c>
      <c r="B5339" s="65" t="s">
        <v>5913</v>
      </c>
      <c r="C5339" s="65" t="s">
        <v>942</v>
      </c>
    </row>
    <row r="5340" spans="1:3" hidden="1">
      <c r="A5340" s="65">
        <v>9007138</v>
      </c>
      <c r="B5340" s="65" t="s">
        <v>5914</v>
      </c>
      <c r="C5340" s="65" t="s">
        <v>942</v>
      </c>
    </row>
    <row r="5341" spans="1:3" hidden="1">
      <c r="A5341" s="65">
        <v>9007139</v>
      </c>
      <c r="B5341" s="65" t="s">
        <v>5915</v>
      </c>
      <c r="C5341" s="65" t="s">
        <v>942</v>
      </c>
    </row>
    <row r="5342" spans="1:3" hidden="1">
      <c r="A5342" s="65">
        <v>9007140</v>
      </c>
      <c r="B5342" s="65" t="s">
        <v>5916</v>
      </c>
      <c r="C5342" s="65" t="s">
        <v>942</v>
      </c>
    </row>
    <row r="5343" spans="1:3" hidden="1">
      <c r="A5343" s="65">
        <v>9007141</v>
      </c>
      <c r="B5343" s="65" t="s">
        <v>5917</v>
      </c>
      <c r="C5343" s="65" t="s">
        <v>942</v>
      </c>
    </row>
    <row r="5344" spans="1:3" hidden="1">
      <c r="A5344" s="65">
        <v>9007142</v>
      </c>
      <c r="B5344" s="65" t="s">
        <v>5918</v>
      </c>
      <c r="C5344" s="65" t="s">
        <v>942</v>
      </c>
    </row>
    <row r="5345" spans="1:3" hidden="1">
      <c r="A5345" s="65">
        <v>9007143</v>
      </c>
      <c r="B5345" s="65" t="s">
        <v>5919</v>
      </c>
      <c r="C5345" s="65" t="s">
        <v>942</v>
      </c>
    </row>
    <row r="5346" spans="1:3" hidden="1">
      <c r="A5346" s="65">
        <v>9007144</v>
      </c>
      <c r="B5346" s="65" t="s">
        <v>5920</v>
      </c>
      <c r="C5346" s="65" t="s">
        <v>942</v>
      </c>
    </row>
    <row r="5347" spans="1:3" hidden="1">
      <c r="A5347" s="65">
        <v>9007145</v>
      </c>
      <c r="B5347" s="65" t="s">
        <v>5921</v>
      </c>
      <c r="C5347" s="65" t="s">
        <v>942</v>
      </c>
    </row>
    <row r="5348" spans="1:3" hidden="1">
      <c r="A5348" s="65">
        <v>9007146</v>
      </c>
      <c r="B5348" s="65" t="s">
        <v>5922</v>
      </c>
      <c r="C5348" s="65" t="s">
        <v>942</v>
      </c>
    </row>
    <row r="5349" spans="1:3" hidden="1">
      <c r="A5349" s="65">
        <v>9007147</v>
      </c>
      <c r="B5349" s="65" t="s">
        <v>5923</v>
      </c>
      <c r="C5349" s="65" t="s">
        <v>942</v>
      </c>
    </row>
    <row r="5350" spans="1:3" hidden="1">
      <c r="A5350" s="65">
        <v>9007148</v>
      </c>
      <c r="B5350" s="65" t="s">
        <v>5924</v>
      </c>
      <c r="C5350" s="65" t="s">
        <v>942</v>
      </c>
    </row>
    <row r="5351" spans="1:3" hidden="1">
      <c r="A5351" s="65">
        <v>9007149</v>
      </c>
      <c r="B5351" s="65" t="s">
        <v>5925</v>
      </c>
      <c r="C5351" s="65" t="s">
        <v>942</v>
      </c>
    </row>
    <row r="5352" spans="1:3" hidden="1">
      <c r="A5352" s="65">
        <v>9007150</v>
      </c>
      <c r="B5352" s="65" t="s">
        <v>5926</v>
      </c>
      <c r="C5352" s="65" t="s">
        <v>942</v>
      </c>
    </row>
    <row r="5353" spans="1:3" hidden="1">
      <c r="A5353" s="65">
        <v>9007151</v>
      </c>
      <c r="B5353" s="65" t="s">
        <v>5927</v>
      </c>
      <c r="C5353" s="65" t="s">
        <v>942</v>
      </c>
    </row>
    <row r="5354" spans="1:3" hidden="1">
      <c r="A5354" s="65">
        <v>9007152</v>
      </c>
      <c r="B5354" s="65" t="s">
        <v>5928</v>
      </c>
      <c r="C5354" s="65" t="s">
        <v>942</v>
      </c>
    </row>
    <row r="5355" spans="1:3" hidden="1">
      <c r="A5355" s="65">
        <v>9007153</v>
      </c>
      <c r="B5355" s="65" t="s">
        <v>5929</v>
      </c>
      <c r="C5355" s="65" t="s">
        <v>942</v>
      </c>
    </row>
    <row r="5356" spans="1:3" hidden="1">
      <c r="A5356" s="65">
        <v>9007154</v>
      </c>
      <c r="B5356" s="65" t="s">
        <v>5930</v>
      </c>
      <c r="C5356" s="65" t="s">
        <v>942</v>
      </c>
    </row>
    <row r="5357" spans="1:3" hidden="1">
      <c r="A5357" s="65">
        <v>9007155</v>
      </c>
      <c r="B5357" s="65" t="s">
        <v>5931</v>
      </c>
      <c r="C5357" s="65" t="s">
        <v>942</v>
      </c>
    </row>
    <row r="5358" spans="1:3" hidden="1">
      <c r="A5358" s="65">
        <v>9007156</v>
      </c>
      <c r="B5358" s="65" t="s">
        <v>5932</v>
      </c>
      <c r="C5358" s="65" t="s">
        <v>942</v>
      </c>
    </row>
    <row r="5359" spans="1:3" hidden="1">
      <c r="A5359" s="65">
        <v>9007157</v>
      </c>
      <c r="B5359" s="65" t="s">
        <v>5933</v>
      </c>
      <c r="C5359" s="65" t="s">
        <v>942</v>
      </c>
    </row>
    <row r="5360" spans="1:3" hidden="1">
      <c r="A5360" s="65">
        <v>9007158</v>
      </c>
      <c r="B5360" s="65" t="s">
        <v>5934</v>
      </c>
      <c r="C5360" s="65" t="s">
        <v>942</v>
      </c>
    </row>
    <row r="5361" spans="1:3" hidden="1">
      <c r="A5361" s="65">
        <v>9007159</v>
      </c>
      <c r="B5361" s="65" t="s">
        <v>5935</v>
      </c>
      <c r="C5361" s="65" t="s">
        <v>942</v>
      </c>
    </row>
    <row r="5362" spans="1:3" hidden="1">
      <c r="A5362" s="65">
        <v>9007160</v>
      </c>
      <c r="B5362" s="65" t="s">
        <v>5936</v>
      </c>
      <c r="C5362" s="65" t="s">
        <v>942</v>
      </c>
    </row>
    <row r="5363" spans="1:3" hidden="1">
      <c r="A5363" s="65">
        <v>9007161</v>
      </c>
      <c r="B5363" s="65" t="s">
        <v>5937</v>
      </c>
      <c r="C5363" s="65" t="s">
        <v>942</v>
      </c>
    </row>
    <row r="5364" spans="1:3" hidden="1">
      <c r="A5364" s="65">
        <v>9007162</v>
      </c>
      <c r="B5364" s="65" t="s">
        <v>5938</v>
      </c>
      <c r="C5364" s="65" t="s">
        <v>942</v>
      </c>
    </row>
    <row r="5365" spans="1:3" hidden="1">
      <c r="A5365" s="65">
        <v>9007163</v>
      </c>
      <c r="B5365" s="65" t="s">
        <v>5939</v>
      </c>
      <c r="C5365" s="65" t="s">
        <v>942</v>
      </c>
    </row>
    <row r="5366" spans="1:3" hidden="1">
      <c r="A5366" s="65">
        <v>9007164</v>
      </c>
      <c r="B5366" s="65" t="s">
        <v>5940</v>
      </c>
      <c r="C5366" s="65" t="s">
        <v>942</v>
      </c>
    </row>
    <row r="5367" spans="1:3" hidden="1">
      <c r="A5367" s="65">
        <v>9007165</v>
      </c>
      <c r="B5367" s="65" t="s">
        <v>5926</v>
      </c>
      <c r="C5367" s="65" t="s">
        <v>942</v>
      </c>
    </row>
    <row r="5368" spans="1:3" hidden="1">
      <c r="A5368" s="65">
        <v>9007166</v>
      </c>
      <c r="B5368" s="65" t="s">
        <v>5941</v>
      </c>
      <c r="C5368" s="65" t="s">
        <v>942</v>
      </c>
    </row>
    <row r="5369" spans="1:3" hidden="1">
      <c r="A5369" s="65">
        <v>9007167</v>
      </c>
      <c r="B5369" s="65" t="s">
        <v>5942</v>
      </c>
      <c r="C5369" s="65" t="s">
        <v>751</v>
      </c>
    </row>
    <row r="5370" spans="1:3" hidden="1">
      <c r="A5370" s="65">
        <v>9007169</v>
      </c>
      <c r="B5370" s="65" t="s">
        <v>5943</v>
      </c>
      <c r="C5370" s="65" t="s">
        <v>745</v>
      </c>
    </row>
    <row r="5371" spans="1:3" hidden="1">
      <c r="A5371" s="65">
        <v>9007170</v>
      </c>
      <c r="B5371" s="65" t="s">
        <v>5944</v>
      </c>
      <c r="C5371" s="65" t="s">
        <v>805</v>
      </c>
    </row>
    <row r="5372" spans="1:3" hidden="1">
      <c r="A5372" s="65">
        <v>9007179</v>
      </c>
      <c r="B5372" s="65" t="s">
        <v>5945</v>
      </c>
      <c r="C5372" s="65" t="s">
        <v>942</v>
      </c>
    </row>
    <row r="5373" spans="1:3" hidden="1">
      <c r="A5373" s="65">
        <v>9007180</v>
      </c>
      <c r="B5373" s="65" t="s">
        <v>5946</v>
      </c>
      <c r="C5373" s="65" t="s">
        <v>942</v>
      </c>
    </row>
    <row r="5374" spans="1:3" hidden="1">
      <c r="A5374" s="65">
        <v>9007181</v>
      </c>
      <c r="B5374" s="65" t="s">
        <v>5947</v>
      </c>
      <c r="C5374" s="65" t="s">
        <v>942</v>
      </c>
    </row>
    <row r="5375" spans="1:3" hidden="1">
      <c r="A5375" s="65">
        <v>9007182</v>
      </c>
      <c r="B5375" s="65" t="s">
        <v>5948</v>
      </c>
      <c r="C5375" s="65" t="s">
        <v>942</v>
      </c>
    </row>
    <row r="5376" spans="1:3" hidden="1">
      <c r="A5376" s="65">
        <v>9007189</v>
      </c>
      <c r="B5376" s="65" t="s">
        <v>5949</v>
      </c>
      <c r="C5376" s="65" t="s">
        <v>942</v>
      </c>
    </row>
    <row r="5377" spans="1:3" hidden="1">
      <c r="A5377" s="65">
        <v>9007190</v>
      </c>
      <c r="B5377" s="65" t="s">
        <v>5950</v>
      </c>
      <c r="C5377" s="65" t="s">
        <v>942</v>
      </c>
    </row>
    <row r="5378" spans="1:3" hidden="1">
      <c r="A5378" s="65">
        <v>9007191</v>
      </c>
      <c r="B5378" s="65" t="s">
        <v>5951</v>
      </c>
      <c r="C5378" s="65" t="s">
        <v>942</v>
      </c>
    </row>
    <row r="5379" spans="1:3" hidden="1">
      <c r="A5379" s="65">
        <v>9007192</v>
      </c>
      <c r="B5379" s="65" t="s">
        <v>5745</v>
      </c>
      <c r="C5379" s="65" t="s">
        <v>942</v>
      </c>
    </row>
    <row r="5380" spans="1:3" hidden="1">
      <c r="A5380" s="65">
        <v>9007193</v>
      </c>
      <c r="B5380" s="65" t="s">
        <v>5952</v>
      </c>
      <c r="C5380" s="65" t="s">
        <v>942</v>
      </c>
    </row>
    <row r="5381" spans="1:3" hidden="1">
      <c r="A5381" s="65">
        <v>9007199</v>
      </c>
      <c r="B5381" s="65" t="s">
        <v>5953</v>
      </c>
      <c r="C5381" s="65" t="s">
        <v>942</v>
      </c>
    </row>
    <row r="5382" spans="1:3" hidden="1">
      <c r="A5382" s="65">
        <v>9007209</v>
      </c>
      <c r="B5382" s="65" t="s">
        <v>5954</v>
      </c>
      <c r="C5382" s="65" t="s">
        <v>1926</v>
      </c>
    </row>
    <row r="5383" spans="1:3" hidden="1">
      <c r="A5383" s="65">
        <v>9007219</v>
      </c>
      <c r="B5383" s="65" t="s">
        <v>5955</v>
      </c>
      <c r="C5383" s="65" t="s">
        <v>942</v>
      </c>
    </row>
    <row r="5384" spans="1:3" hidden="1">
      <c r="A5384" s="65">
        <v>9007220</v>
      </c>
      <c r="B5384" s="65" t="s">
        <v>5956</v>
      </c>
      <c r="C5384" s="65" t="s">
        <v>942</v>
      </c>
    </row>
    <row r="5385" spans="1:3" hidden="1">
      <c r="A5385" s="65">
        <v>9007221</v>
      </c>
      <c r="B5385" s="65" t="s">
        <v>5957</v>
      </c>
      <c r="C5385" s="65" t="s">
        <v>942</v>
      </c>
    </row>
    <row r="5386" spans="1:3" hidden="1">
      <c r="A5386" s="65">
        <v>9007222</v>
      </c>
      <c r="B5386" s="65" t="s">
        <v>5958</v>
      </c>
      <c r="C5386" s="65" t="s">
        <v>942</v>
      </c>
    </row>
    <row r="5387" spans="1:3" hidden="1">
      <c r="A5387" s="65">
        <v>9007223</v>
      </c>
      <c r="B5387" s="65" t="s">
        <v>5959</v>
      </c>
      <c r="C5387" s="65" t="s">
        <v>942</v>
      </c>
    </row>
    <row r="5388" spans="1:3" hidden="1">
      <c r="A5388" s="65">
        <v>9007224</v>
      </c>
      <c r="B5388" s="65" t="s">
        <v>5960</v>
      </c>
      <c r="C5388" s="65" t="s">
        <v>942</v>
      </c>
    </row>
    <row r="5389" spans="1:3" hidden="1">
      <c r="A5389" s="65">
        <v>9007225</v>
      </c>
      <c r="B5389" s="65" t="s">
        <v>5961</v>
      </c>
      <c r="C5389" s="65" t="s">
        <v>942</v>
      </c>
    </row>
    <row r="5390" spans="1:3" hidden="1">
      <c r="A5390" s="65">
        <v>9007226</v>
      </c>
      <c r="B5390" s="65" t="s">
        <v>5962</v>
      </c>
      <c r="C5390" s="65" t="s">
        <v>942</v>
      </c>
    </row>
    <row r="5391" spans="1:3" hidden="1">
      <c r="A5391" s="65">
        <v>9007227</v>
      </c>
      <c r="B5391" s="65" t="s">
        <v>5963</v>
      </c>
      <c r="C5391" s="65" t="s">
        <v>942</v>
      </c>
    </row>
    <row r="5392" spans="1:3" hidden="1">
      <c r="A5392" s="65">
        <v>9007228</v>
      </c>
      <c r="B5392" s="65" t="s">
        <v>5964</v>
      </c>
      <c r="C5392" s="65" t="s">
        <v>942</v>
      </c>
    </row>
    <row r="5393" spans="1:3" hidden="1">
      <c r="A5393" s="65">
        <v>9007229</v>
      </c>
      <c r="B5393" s="65" t="s">
        <v>5965</v>
      </c>
      <c r="C5393" s="65" t="s">
        <v>942</v>
      </c>
    </row>
    <row r="5394" spans="1:3" hidden="1">
      <c r="A5394" s="65">
        <v>9007230</v>
      </c>
      <c r="B5394" s="65" t="s">
        <v>5966</v>
      </c>
      <c r="C5394" s="65" t="s">
        <v>942</v>
      </c>
    </row>
    <row r="5395" spans="1:3" hidden="1">
      <c r="A5395" s="65">
        <v>9007231</v>
      </c>
      <c r="B5395" s="65" t="s">
        <v>5967</v>
      </c>
      <c r="C5395" s="65" t="s">
        <v>942</v>
      </c>
    </row>
    <row r="5396" spans="1:3" hidden="1">
      <c r="A5396" s="65">
        <v>9007232</v>
      </c>
      <c r="B5396" s="65" t="s">
        <v>5968</v>
      </c>
      <c r="C5396" s="65" t="s">
        <v>942</v>
      </c>
    </row>
    <row r="5397" spans="1:3" hidden="1">
      <c r="A5397" s="65">
        <v>9007233</v>
      </c>
      <c r="B5397" s="65" t="s">
        <v>5969</v>
      </c>
      <c r="C5397" s="65" t="s">
        <v>942</v>
      </c>
    </row>
    <row r="5398" spans="1:3" hidden="1">
      <c r="A5398" s="65">
        <v>9007234</v>
      </c>
      <c r="B5398" s="65" t="s">
        <v>5970</v>
      </c>
      <c r="C5398" s="65" t="s">
        <v>942</v>
      </c>
    </row>
    <row r="5399" spans="1:3" hidden="1">
      <c r="A5399" s="65">
        <v>9007235</v>
      </c>
      <c r="B5399" s="65" t="s">
        <v>5971</v>
      </c>
      <c r="C5399" s="65" t="s">
        <v>942</v>
      </c>
    </row>
    <row r="5400" spans="1:3" hidden="1">
      <c r="A5400" s="65">
        <v>9007236</v>
      </c>
      <c r="B5400" s="65" t="s">
        <v>5972</v>
      </c>
      <c r="C5400" s="65" t="s">
        <v>942</v>
      </c>
    </row>
    <row r="5401" spans="1:3" hidden="1">
      <c r="A5401" s="65">
        <v>9007237</v>
      </c>
      <c r="B5401" s="65" t="s">
        <v>5973</v>
      </c>
      <c r="C5401" s="65" t="s">
        <v>942</v>
      </c>
    </row>
    <row r="5402" spans="1:3" hidden="1">
      <c r="A5402" s="65">
        <v>9007238</v>
      </c>
      <c r="B5402" s="65" t="s">
        <v>5974</v>
      </c>
      <c r="C5402" s="65" t="s">
        <v>942</v>
      </c>
    </row>
    <row r="5403" spans="1:3" hidden="1">
      <c r="A5403" s="65">
        <v>9007239</v>
      </c>
      <c r="B5403" s="65" t="s">
        <v>5975</v>
      </c>
      <c r="C5403" s="65" t="s">
        <v>942</v>
      </c>
    </row>
    <row r="5404" spans="1:3" hidden="1">
      <c r="A5404" s="65">
        <v>9007240</v>
      </c>
      <c r="B5404" s="65" t="s">
        <v>5976</v>
      </c>
      <c r="C5404" s="65" t="s">
        <v>942</v>
      </c>
    </row>
    <row r="5405" spans="1:3" hidden="1">
      <c r="A5405" s="65">
        <v>9007241</v>
      </c>
      <c r="B5405" s="65" t="s">
        <v>5977</v>
      </c>
      <c r="C5405" s="65" t="s">
        <v>942</v>
      </c>
    </row>
    <row r="5406" spans="1:3" hidden="1">
      <c r="A5406" s="65">
        <v>9007242</v>
      </c>
      <c r="B5406" s="65" t="s">
        <v>5977</v>
      </c>
      <c r="C5406" s="65" t="s">
        <v>942</v>
      </c>
    </row>
    <row r="5407" spans="1:3" hidden="1">
      <c r="A5407" s="65">
        <v>9007243</v>
      </c>
      <c r="B5407" s="65" t="s">
        <v>5978</v>
      </c>
      <c r="C5407" s="65" t="s">
        <v>942</v>
      </c>
    </row>
    <row r="5408" spans="1:3" hidden="1">
      <c r="A5408" s="65">
        <v>9007244</v>
      </c>
      <c r="B5408" s="65" t="s">
        <v>5977</v>
      </c>
      <c r="C5408" s="65" t="s">
        <v>942</v>
      </c>
    </row>
    <row r="5409" spans="1:3" hidden="1">
      <c r="A5409" s="65">
        <v>9007245</v>
      </c>
      <c r="B5409" s="65" t="s">
        <v>5979</v>
      </c>
      <c r="C5409" s="65" t="s">
        <v>942</v>
      </c>
    </row>
    <row r="5410" spans="1:3" hidden="1">
      <c r="A5410" s="65">
        <v>9007246</v>
      </c>
      <c r="B5410" s="65" t="s">
        <v>5980</v>
      </c>
      <c r="C5410" s="65" t="s">
        <v>942</v>
      </c>
    </row>
    <row r="5411" spans="1:3" hidden="1">
      <c r="A5411" s="65">
        <v>9007247</v>
      </c>
      <c r="B5411" s="65" t="s">
        <v>5981</v>
      </c>
      <c r="C5411" s="65" t="s">
        <v>942</v>
      </c>
    </row>
    <row r="5412" spans="1:3" hidden="1">
      <c r="A5412" s="65">
        <v>9007249</v>
      </c>
      <c r="B5412" s="65" t="s">
        <v>5982</v>
      </c>
      <c r="C5412" s="65" t="s">
        <v>664</v>
      </c>
    </row>
    <row r="5413" spans="1:3" hidden="1">
      <c r="A5413" s="65">
        <v>9007259</v>
      </c>
      <c r="B5413" s="65" t="s">
        <v>5983</v>
      </c>
      <c r="C5413" s="65" t="s">
        <v>738</v>
      </c>
    </row>
    <row r="5414" spans="1:3" hidden="1">
      <c r="A5414" s="65">
        <v>9007260</v>
      </c>
      <c r="B5414" s="65" t="s">
        <v>5984</v>
      </c>
      <c r="C5414" s="65" t="s">
        <v>942</v>
      </c>
    </row>
    <row r="5415" spans="1:3" hidden="1">
      <c r="A5415" s="65">
        <v>9007261</v>
      </c>
      <c r="B5415" s="65" t="s">
        <v>5985</v>
      </c>
      <c r="C5415" s="65" t="s">
        <v>942</v>
      </c>
    </row>
    <row r="5416" spans="1:3" hidden="1">
      <c r="A5416" s="65">
        <v>9007262</v>
      </c>
      <c r="B5416" s="65" t="s">
        <v>5986</v>
      </c>
      <c r="C5416" s="65" t="s">
        <v>942</v>
      </c>
    </row>
    <row r="5417" spans="1:3" hidden="1">
      <c r="A5417" s="65">
        <v>9007263</v>
      </c>
      <c r="B5417" s="65" t="s">
        <v>5987</v>
      </c>
      <c r="C5417" s="65" t="s">
        <v>942</v>
      </c>
    </row>
    <row r="5418" spans="1:3" hidden="1">
      <c r="A5418" s="65">
        <v>9007269</v>
      </c>
      <c r="B5418" s="65" t="s">
        <v>5988</v>
      </c>
      <c r="C5418" s="65" t="s">
        <v>738</v>
      </c>
    </row>
    <row r="5419" spans="1:3" hidden="1">
      <c r="A5419" s="65">
        <v>9007270</v>
      </c>
      <c r="B5419" s="65" t="s">
        <v>5989</v>
      </c>
      <c r="C5419" s="65" t="s">
        <v>942</v>
      </c>
    </row>
    <row r="5420" spans="1:3" hidden="1">
      <c r="A5420" s="65">
        <v>9007271</v>
      </c>
      <c r="B5420" s="65" t="s">
        <v>5990</v>
      </c>
      <c r="C5420" s="65" t="s">
        <v>942</v>
      </c>
    </row>
    <row r="5421" spans="1:3" hidden="1">
      <c r="A5421" s="65">
        <v>9007272</v>
      </c>
      <c r="B5421" s="65" t="s">
        <v>5991</v>
      </c>
      <c r="C5421" s="65" t="s">
        <v>5992</v>
      </c>
    </row>
    <row r="5422" spans="1:3" hidden="1">
      <c r="A5422" s="65">
        <v>9007273</v>
      </c>
      <c r="B5422" s="65" t="s">
        <v>5993</v>
      </c>
      <c r="C5422" s="65" t="s">
        <v>5992</v>
      </c>
    </row>
    <row r="5423" spans="1:3" hidden="1">
      <c r="A5423" s="65">
        <v>9007279</v>
      </c>
      <c r="B5423" s="65" t="s">
        <v>5994</v>
      </c>
      <c r="C5423" s="65" t="s">
        <v>942</v>
      </c>
    </row>
    <row r="5424" spans="1:3" hidden="1">
      <c r="A5424" s="65">
        <v>9007280</v>
      </c>
      <c r="B5424" s="65" t="s">
        <v>5995</v>
      </c>
      <c r="C5424" s="65" t="s">
        <v>942</v>
      </c>
    </row>
    <row r="5425" spans="1:3" hidden="1">
      <c r="A5425" s="65">
        <v>9007281</v>
      </c>
      <c r="B5425" s="65" t="s">
        <v>5996</v>
      </c>
      <c r="C5425" s="65" t="s">
        <v>942</v>
      </c>
    </row>
    <row r="5426" spans="1:3" hidden="1">
      <c r="A5426" s="65">
        <v>9007282</v>
      </c>
      <c r="B5426" s="65" t="s">
        <v>5997</v>
      </c>
      <c r="C5426" s="65" t="s">
        <v>942</v>
      </c>
    </row>
    <row r="5427" spans="1:3" hidden="1">
      <c r="A5427" s="65">
        <v>9007283</v>
      </c>
      <c r="B5427" s="65" t="s">
        <v>5998</v>
      </c>
      <c r="C5427" s="65" t="s">
        <v>942</v>
      </c>
    </row>
    <row r="5428" spans="1:3" hidden="1">
      <c r="A5428" s="65">
        <v>9007284</v>
      </c>
      <c r="B5428" s="65" t="s">
        <v>5999</v>
      </c>
      <c r="C5428" s="65" t="s">
        <v>942</v>
      </c>
    </row>
    <row r="5429" spans="1:3" hidden="1">
      <c r="A5429" s="65">
        <v>9007285</v>
      </c>
      <c r="B5429" s="65" t="s">
        <v>6000</v>
      </c>
      <c r="C5429" s="65" t="s">
        <v>942</v>
      </c>
    </row>
    <row r="5430" spans="1:3" hidden="1">
      <c r="A5430" s="65">
        <v>9007286</v>
      </c>
      <c r="B5430" s="65" t="s">
        <v>6001</v>
      </c>
      <c r="C5430" s="65" t="s">
        <v>942</v>
      </c>
    </row>
    <row r="5431" spans="1:3" hidden="1">
      <c r="A5431" s="65">
        <v>9007287</v>
      </c>
      <c r="B5431" s="65" t="s">
        <v>6002</v>
      </c>
      <c r="C5431" s="65" t="s">
        <v>942</v>
      </c>
    </row>
    <row r="5432" spans="1:3" hidden="1">
      <c r="A5432" s="65">
        <v>9007288</v>
      </c>
      <c r="B5432" s="65" t="s">
        <v>6003</v>
      </c>
      <c r="C5432" s="65" t="s">
        <v>942</v>
      </c>
    </row>
    <row r="5433" spans="1:3" hidden="1">
      <c r="A5433" s="65">
        <v>9007289</v>
      </c>
      <c r="B5433" s="65" t="s">
        <v>6004</v>
      </c>
      <c r="C5433" s="65" t="s">
        <v>942</v>
      </c>
    </row>
    <row r="5434" spans="1:3" hidden="1">
      <c r="A5434" s="65">
        <v>9007290</v>
      </c>
      <c r="B5434" s="65" t="s">
        <v>6005</v>
      </c>
      <c r="C5434" s="65" t="s">
        <v>942</v>
      </c>
    </row>
    <row r="5435" spans="1:3" hidden="1">
      <c r="A5435" s="65">
        <v>9007291</v>
      </c>
      <c r="B5435" s="65" t="s">
        <v>6006</v>
      </c>
      <c r="C5435" s="65" t="s">
        <v>942</v>
      </c>
    </row>
    <row r="5436" spans="1:3" hidden="1">
      <c r="A5436" s="65">
        <v>9007292</v>
      </c>
      <c r="B5436" s="65" t="s">
        <v>6007</v>
      </c>
      <c r="C5436" s="65" t="s">
        <v>942</v>
      </c>
    </row>
    <row r="5437" spans="1:3" hidden="1">
      <c r="A5437" s="65">
        <v>9007293</v>
      </c>
      <c r="B5437" s="65" t="s">
        <v>6008</v>
      </c>
      <c r="C5437" s="65" t="s">
        <v>942</v>
      </c>
    </row>
    <row r="5438" spans="1:3" hidden="1">
      <c r="A5438" s="65">
        <v>9007294</v>
      </c>
      <c r="B5438" s="65" t="s">
        <v>6009</v>
      </c>
      <c r="C5438" s="65" t="s">
        <v>942</v>
      </c>
    </row>
    <row r="5439" spans="1:3" hidden="1">
      <c r="A5439" s="65">
        <v>9007295</v>
      </c>
      <c r="B5439" s="65" t="s">
        <v>6010</v>
      </c>
      <c r="C5439" s="65" t="s">
        <v>942</v>
      </c>
    </row>
    <row r="5440" spans="1:3" hidden="1">
      <c r="A5440" s="65">
        <v>9007296</v>
      </c>
      <c r="B5440" s="65" t="s">
        <v>6011</v>
      </c>
      <c r="C5440" s="65" t="s">
        <v>942</v>
      </c>
    </row>
    <row r="5441" spans="1:3" hidden="1">
      <c r="A5441" s="65">
        <v>9007297</v>
      </c>
      <c r="B5441" s="65" t="s">
        <v>6012</v>
      </c>
      <c r="C5441" s="65" t="s">
        <v>850</v>
      </c>
    </row>
    <row r="5442" spans="1:3" hidden="1">
      <c r="A5442" s="65">
        <v>9007299</v>
      </c>
      <c r="B5442" s="65" t="s">
        <v>6013</v>
      </c>
      <c r="C5442" s="65" t="s">
        <v>6014</v>
      </c>
    </row>
    <row r="5443" spans="1:3" hidden="1">
      <c r="A5443" s="65">
        <v>9007300</v>
      </c>
      <c r="B5443" s="65" t="s">
        <v>6015</v>
      </c>
      <c r="C5443" s="65" t="s">
        <v>6016</v>
      </c>
    </row>
    <row r="5444" spans="1:3" hidden="1">
      <c r="A5444" s="65">
        <v>9007301</v>
      </c>
      <c r="B5444" s="65" t="s">
        <v>6017</v>
      </c>
      <c r="C5444" s="65" t="s">
        <v>942</v>
      </c>
    </row>
    <row r="5445" spans="1:3" hidden="1">
      <c r="A5445" s="65">
        <v>9007302</v>
      </c>
      <c r="B5445" s="65" t="s">
        <v>6018</v>
      </c>
      <c r="C5445" s="65" t="s">
        <v>942</v>
      </c>
    </row>
    <row r="5446" spans="1:3" hidden="1">
      <c r="A5446" s="65">
        <v>9007303</v>
      </c>
      <c r="B5446" s="65" t="s">
        <v>6019</v>
      </c>
      <c r="C5446" s="65" t="s">
        <v>942</v>
      </c>
    </row>
    <row r="5447" spans="1:3" hidden="1">
      <c r="A5447" s="65">
        <v>9007304</v>
      </c>
      <c r="B5447" s="65" t="s">
        <v>6020</v>
      </c>
      <c r="C5447" s="65" t="s">
        <v>942</v>
      </c>
    </row>
    <row r="5448" spans="1:3" hidden="1">
      <c r="A5448" s="65">
        <v>9007305</v>
      </c>
      <c r="B5448" s="65" t="s">
        <v>6021</v>
      </c>
      <c r="C5448" s="65" t="s">
        <v>942</v>
      </c>
    </row>
    <row r="5449" spans="1:3" hidden="1">
      <c r="A5449" s="65">
        <v>9007306</v>
      </c>
      <c r="B5449" s="65" t="s">
        <v>6022</v>
      </c>
      <c r="C5449" s="65" t="s">
        <v>942</v>
      </c>
    </row>
    <row r="5450" spans="1:3" hidden="1">
      <c r="A5450" s="65">
        <v>9007307</v>
      </c>
      <c r="B5450" s="65" t="s">
        <v>6023</v>
      </c>
      <c r="C5450" s="65" t="s">
        <v>942</v>
      </c>
    </row>
    <row r="5451" spans="1:3" hidden="1">
      <c r="A5451" s="65">
        <v>9007308</v>
      </c>
      <c r="B5451" s="65" t="s">
        <v>6024</v>
      </c>
      <c r="C5451" s="65" t="s">
        <v>942</v>
      </c>
    </row>
    <row r="5452" spans="1:3" hidden="1">
      <c r="A5452" s="65">
        <v>9007309</v>
      </c>
      <c r="B5452" s="65" t="s">
        <v>6025</v>
      </c>
      <c r="C5452" s="65" t="s">
        <v>942</v>
      </c>
    </row>
    <row r="5453" spans="1:3" hidden="1">
      <c r="A5453" s="65">
        <v>9007310</v>
      </c>
      <c r="B5453" s="65" t="s">
        <v>6026</v>
      </c>
      <c r="C5453" s="65" t="s">
        <v>942</v>
      </c>
    </row>
    <row r="5454" spans="1:3" hidden="1">
      <c r="A5454" s="65">
        <v>9007311</v>
      </c>
      <c r="B5454" s="65" t="s">
        <v>6027</v>
      </c>
      <c r="C5454" s="65" t="s">
        <v>942</v>
      </c>
    </row>
    <row r="5455" spans="1:3" hidden="1">
      <c r="A5455" s="65">
        <v>9007312</v>
      </c>
      <c r="B5455" s="65" t="s">
        <v>6028</v>
      </c>
      <c r="C5455" s="65" t="s">
        <v>942</v>
      </c>
    </row>
    <row r="5456" spans="1:3" hidden="1">
      <c r="A5456" s="65">
        <v>9007313</v>
      </c>
      <c r="B5456" s="65" t="s">
        <v>6029</v>
      </c>
      <c r="C5456" s="65" t="s">
        <v>942</v>
      </c>
    </row>
    <row r="5457" spans="1:3" hidden="1">
      <c r="A5457" s="65">
        <v>9007314</v>
      </c>
      <c r="B5457" s="65" t="s">
        <v>6030</v>
      </c>
      <c r="C5457" s="65" t="s">
        <v>942</v>
      </c>
    </row>
    <row r="5458" spans="1:3" hidden="1">
      <c r="A5458" s="65">
        <v>9007315</v>
      </c>
      <c r="B5458" s="65" t="s">
        <v>6031</v>
      </c>
      <c r="C5458" s="65" t="s">
        <v>942</v>
      </c>
    </row>
    <row r="5459" spans="1:3" hidden="1">
      <c r="A5459" s="65">
        <v>9007316</v>
      </c>
      <c r="B5459" s="65" t="s">
        <v>6032</v>
      </c>
      <c r="C5459" s="65" t="s">
        <v>738</v>
      </c>
    </row>
    <row r="5460" spans="1:3" hidden="1">
      <c r="A5460" s="65">
        <v>9007317</v>
      </c>
      <c r="B5460" s="65" t="s">
        <v>6033</v>
      </c>
      <c r="C5460" s="65" t="s">
        <v>805</v>
      </c>
    </row>
    <row r="5461" spans="1:3" hidden="1">
      <c r="A5461" s="65">
        <v>9007318</v>
      </c>
      <c r="B5461" s="65" t="s">
        <v>6034</v>
      </c>
      <c r="C5461" s="65" t="s">
        <v>805</v>
      </c>
    </row>
    <row r="5462" spans="1:3" hidden="1">
      <c r="A5462" s="65">
        <v>9007319</v>
      </c>
      <c r="B5462" s="65" t="s">
        <v>6035</v>
      </c>
      <c r="C5462" s="65" t="s">
        <v>751</v>
      </c>
    </row>
    <row r="5463" spans="1:3" hidden="1">
      <c r="A5463" s="65">
        <v>9007320</v>
      </c>
      <c r="B5463" s="65" t="s">
        <v>6036</v>
      </c>
      <c r="C5463" s="65" t="s">
        <v>942</v>
      </c>
    </row>
    <row r="5464" spans="1:3" hidden="1">
      <c r="A5464" s="65">
        <v>9007321</v>
      </c>
      <c r="B5464" s="65" t="s">
        <v>6037</v>
      </c>
      <c r="C5464" s="65" t="s">
        <v>942</v>
      </c>
    </row>
    <row r="5465" spans="1:3" hidden="1">
      <c r="A5465" s="65">
        <v>9007322</v>
      </c>
      <c r="B5465" s="65" t="s">
        <v>6038</v>
      </c>
      <c r="C5465" s="65" t="s">
        <v>942</v>
      </c>
    </row>
    <row r="5466" spans="1:3" hidden="1">
      <c r="A5466" s="65">
        <v>9007323</v>
      </c>
      <c r="B5466" s="65" t="s">
        <v>6039</v>
      </c>
      <c r="C5466" s="65" t="s">
        <v>942</v>
      </c>
    </row>
    <row r="5467" spans="1:3" hidden="1">
      <c r="A5467" s="65">
        <v>9007324</v>
      </c>
      <c r="B5467" s="65" t="s">
        <v>6040</v>
      </c>
      <c r="C5467" s="65" t="s">
        <v>942</v>
      </c>
    </row>
    <row r="5468" spans="1:3" hidden="1">
      <c r="A5468" s="65">
        <v>9007329</v>
      </c>
      <c r="B5468" s="65" t="s">
        <v>6041</v>
      </c>
      <c r="C5468" s="65" t="s">
        <v>942</v>
      </c>
    </row>
    <row r="5469" spans="1:3" hidden="1">
      <c r="A5469" s="65">
        <v>9007330</v>
      </c>
      <c r="B5469" s="65" t="s">
        <v>6042</v>
      </c>
      <c r="C5469" s="65" t="s">
        <v>805</v>
      </c>
    </row>
    <row r="5470" spans="1:3" hidden="1">
      <c r="A5470" s="65">
        <v>9007331</v>
      </c>
      <c r="B5470" s="65" t="s">
        <v>6043</v>
      </c>
      <c r="C5470" s="65" t="s">
        <v>805</v>
      </c>
    </row>
    <row r="5471" spans="1:3" hidden="1">
      <c r="A5471" s="65">
        <v>9007332</v>
      </c>
      <c r="B5471" s="65" t="s">
        <v>6044</v>
      </c>
      <c r="C5471" s="65" t="s">
        <v>805</v>
      </c>
    </row>
    <row r="5472" spans="1:3" hidden="1">
      <c r="A5472" s="65">
        <v>9007333</v>
      </c>
      <c r="B5472" s="65" t="s">
        <v>6045</v>
      </c>
      <c r="C5472" s="65" t="s">
        <v>1181</v>
      </c>
    </row>
    <row r="5473" spans="1:3" hidden="1">
      <c r="A5473" s="65">
        <v>9007334</v>
      </c>
      <c r="B5473" s="65" t="s">
        <v>6046</v>
      </c>
      <c r="C5473" s="65" t="s">
        <v>1181</v>
      </c>
    </row>
    <row r="5474" spans="1:3" hidden="1">
      <c r="A5474" s="65">
        <v>9007335</v>
      </c>
      <c r="B5474" s="65" t="s">
        <v>6046</v>
      </c>
      <c r="C5474" s="65" t="s">
        <v>1181</v>
      </c>
    </row>
    <row r="5475" spans="1:3" hidden="1">
      <c r="A5475" s="65">
        <v>9007336</v>
      </c>
      <c r="B5475" s="65" t="s">
        <v>6047</v>
      </c>
      <c r="C5475" s="65" t="s">
        <v>738</v>
      </c>
    </row>
    <row r="5476" spans="1:3" hidden="1">
      <c r="A5476" s="65">
        <v>9007337</v>
      </c>
      <c r="B5476" s="65" t="s">
        <v>6048</v>
      </c>
      <c r="C5476" s="65" t="s">
        <v>850</v>
      </c>
    </row>
    <row r="5477" spans="1:3" hidden="1">
      <c r="A5477" s="65">
        <v>9007338</v>
      </c>
      <c r="B5477" s="65" t="s">
        <v>6049</v>
      </c>
      <c r="C5477" s="65" t="s">
        <v>850</v>
      </c>
    </row>
    <row r="5478" spans="1:3" hidden="1">
      <c r="A5478" s="65">
        <v>9007339</v>
      </c>
      <c r="B5478" s="65" t="s">
        <v>6050</v>
      </c>
      <c r="C5478" s="65" t="s">
        <v>850</v>
      </c>
    </row>
    <row r="5479" spans="1:3" hidden="1">
      <c r="A5479" s="65">
        <v>9007340</v>
      </c>
      <c r="B5479" s="65" t="s">
        <v>6051</v>
      </c>
      <c r="C5479" s="65" t="s">
        <v>850</v>
      </c>
    </row>
    <row r="5480" spans="1:3" hidden="1">
      <c r="A5480" s="65">
        <v>9007341</v>
      </c>
      <c r="B5480" s="65" t="s">
        <v>6052</v>
      </c>
      <c r="C5480" s="65" t="s">
        <v>807</v>
      </c>
    </row>
    <row r="5481" spans="1:3" hidden="1">
      <c r="A5481" s="65">
        <v>9007342</v>
      </c>
      <c r="B5481" s="65" t="s">
        <v>6053</v>
      </c>
      <c r="C5481" s="65" t="s">
        <v>807</v>
      </c>
    </row>
    <row r="5482" spans="1:3" hidden="1">
      <c r="A5482" s="65">
        <v>9007343</v>
      </c>
      <c r="B5482" s="65" t="s">
        <v>6054</v>
      </c>
      <c r="C5482" s="65" t="s">
        <v>807</v>
      </c>
    </row>
    <row r="5483" spans="1:3" hidden="1">
      <c r="A5483" s="65">
        <v>9007344</v>
      </c>
      <c r="B5483" s="65" t="s">
        <v>6055</v>
      </c>
      <c r="C5483" s="65" t="s">
        <v>805</v>
      </c>
    </row>
    <row r="5484" spans="1:3" hidden="1">
      <c r="A5484" s="65">
        <v>9007345</v>
      </c>
      <c r="B5484" s="65" t="s">
        <v>6056</v>
      </c>
      <c r="C5484" s="65" t="s">
        <v>805</v>
      </c>
    </row>
    <row r="5485" spans="1:3" hidden="1">
      <c r="A5485" s="65">
        <v>9007346</v>
      </c>
      <c r="B5485" s="65" t="s">
        <v>6057</v>
      </c>
      <c r="C5485" s="65" t="s">
        <v>805</v>
      </c>
    </row>
    <row r="5486" spans="1:3" hidden="1">
      <c r="A5486" s="65">
        <v>9007347</v>
      </c>
      <c r="B5486" s="65" t="s">
        <v>6058</v>
      </c>
      <c r="C5486" s="65" t="s">
        <v>805</v>
      </c>
    </row>
    <row r="5487" spans="1:3" hidden="1">
      <c r="A5487" s="65">
        <v>9007348</v>
      </c>
      <c r="B5487" s="65" t="s">
        <v>6059</v>
      </c>
      <c r="C5487" s="65" t="s">
        <v>805</v>
      </c>
    </row>
    <row r="5488" spans="1:3" hidden="1">
      <c r="A5488" s="65">
        <v>9007349</v>
      </c>
      <c r="B5488" s="65" t="s">
        <v>6060</v>
      </c>
      <c r="C5488" s="65" t="s">
        <v>805</v>
      </c>
    </row>
    <row r="5489" spans="1:3" hidden="1">
      <c r="A5489" s="65">
        <v>9007350</v>
      </c>
      <c r="B5489" s="65" t="s">
        <v>6061</v>
      </c>
      <c r="C5489" s="65" t="s">
        <v>805</v>
      </c>
    </row>
    <row r="5490" spans="1:3" hidden="1">
      <c r="A5490" s="65">
        <v>9007351</v>
      </c>
      <c r="B5490" s="65" t="s">
        <v>6062</v>
      </c>
      <c r="C5490" s="65" t="s">
        <v>805</v>
      </c>
    </row>
    <row r="5491" spans="1:3" hidden="1">
      <c r="A5491" s="65">
        <v>9007352</v>
      </c>
      <c r="B5491" s="65" t="s">
        <v>6063</v>
      </c>
      <c r="C5491" s="65" t="s">
        <v>805</v>
      </c>
    </row>
    <row r="5492" spans="1:3" hidden="1">
      <c r="A5492" s="65">
        <v>9007353</v>
      </c>
      <c r="B5492" s="65" t="s">
        <v>6064</v>
      </c>
      <c r="C5492" s="65" t="s">
        <v>805</v>
      </c>
    </row>
    <row r="5493" spans="1:3" hidden="1">
      <c r="A5493" s="65">
        <v>9007354</v>
      </c>
      <c r="B5493" s="65" t="s">
        <v>6065</v>
      </c>
      <c r="C5493" s="65" t="s">
        <v>805</v>
      </c>
    </row>
    <row r="5494" spans="1:3" hidden="1">
      <c r="A5494" s="65">
        <v>9007355</v>
      </c>
      <c r="B5494" s="65" t="s">
        <v>6066</v>
      </c>
      <c r="C5494" s="65" t="s">
        <v>805</v>
      </c>
    </row>
    <row r="5495" spans="1:3" hidden="1">
      <c r="A5495" s="65">
        <v>9007356</v>
      </c>
      <c r="B5495" s="65" t="s">
        <v>6067</v>
      </c>
      <c r="C5495" s="65" t="s">
        <v>683</v>
      </c>
    </row>
    <row r="5496" spans="1:3" hidden="1">
      <c r="A5496" s="65">
        <v>9007357</v>
      </c>
      <c r="B5496" s="65" t="s">
        <v>6068</v>
      </c>
      <c r="C5496" s="65" t="s">
        <v>738</v>
      </c>
    </row>
    <row r="5497" spans="1:3" hidden="1">
      <c r="A5497" s="65">
        <v>9007358</v>
      </c>
      <c r="B5497" s="65" t="s">
        <v>6069</v>
      </c>
      <c r="C5497" s="65" t="s">
        <v>738</v>
      </c>
    </row>
    <row r="5498" spans="1:3" hidden="1">
      <c r="A5498" s="65">
        <v>9007359</v>
      </c>
      <c r="B5498" s="65" t="s">
        <v>6070</v>
      </c>
      <c r="C5498" s="65" t="s">
        <v>738</v>
      </c>
    </row>
    <row r="5499" spans="1:3" hidden="1">
      <c r="A5499" s="65">
        <v>9007360</v>
      </c>
      <c r="B5499" s="65" t="s">
        <v>6071</v>
      </c>
      <c r="C5499" s="65" t="s">
        <v>805</v>
      </c>
    </row>
    <row r="5500" spans="1:3" hidden="1">
      <c r="A5500" s="65">
        <v>9007361</v>
      </c>
      <c r="B5500" s="65" t="s">
        <v>6072</v>
      </c>
      <c r="C5500" s="65" t="s">
        <v>738</v>
      </c>
    </row>
    <row r="5501" spans="1:3" hidden="1">
      <c r="A5501" s="65">
        <v>9007362</v>
      </c>
      <c r="B5501" s="65" t="s">
        <v>6073</v>
      </c>
      <c r="C5501" s="65" t="s">
        <v>1181</v>
      </c>
    </row>
    <row r="5502" spans="1:3" hidden="1">
      <c r="A5502" s="65">
        <v>9007363</v>
      </c>
      <c r="B5502" s="65" t="s">
        <v>6074</v>
      </c>
      <c r="C5502" s="65" t="s">
        <v>942</v>
      </c>
    </row>
    <row r="5503" spans="1:3" hidden="1">
      <c r="A5503" s="65">
        <v>9007364</v>
      </c>
      <c r="B5503" s="65" t="s">
        <v>6075</v>
      </c>
      <c r="C5503" s="65" t="s">
        <v>805</v>
      </c>
    </row>
    <row r="5504" spans="1:3" hidden="1">
      <c r="A5504" s="65">
        <v>9007369</v>
      </c>
      <c r="B5504" s="65" t="s">
        <v>6076</v>
      </c>
      <c r="C5504" s="65" t="s">
        <v>805</v>
      </c>
    </row>
    <row r="5505" spans="1:3" hidden="1">
      <c r="A5505" s="65">
        <v>9007370</v>
      </c>
      <c r="B5505" s="65" t="s">
        <v>6077</v>
      </c>
      <c r="C5505" s="65" t="s">
        <v>805</v>
      </c>
    </row>
    <row r="5506" spans="1:3" hidden="1">
      <c r="A5506" s="65">
        <v>9007371</v>
      </c>
      <c r="B5506" s="65" t="s">
        <v>6078</v>
      </c>
      <c r="C5506" s="65" t="s">
        <v>805</v>
      </c>
    </row>
    <row r="5507" spans="1:3" hidden="1">
      <c r="A5507" s="65">
        <v>9007372</v>
      </c>
      <c r="B5507" s="65" t="s">
        <v>6079</v>
      </c>
      <c r="C5507" s="65" t="s">
        <v>805</v>
      </c>
    </row>
    <row r="5508" spans="1:3" hidden="1">
      <c r="A5508" s="65">
        <v>9007373</v>
      </c>
      <c r="B5508" s="65" t="s">
        <v>6080</v>
      </c>
      <c r="C5508" s="65" t="s">
        <v>805</v>
      </c>
    </row>
    <row r="5509" spans="1:3" hidden="1">
      <c r="A5509" s="65">
        <v>9007374</v>
      </c>
      <c r="B5509" s="65" t="s">
        <v>6081</v>
      </c>
      <c r="C5509" s="65" t="s">
        <v>805</v>
      </c>
    </row>
    <row r="5510" spans="1:3" hidden="1">
      <c r="A5510" s="65">
        <v>9007375</v>
      </c>
      <c r="B5510" s="65" t="s">
        <v>6082</v>
      </c>
      <c r="C5510" s="65" t="s">
        <v>5992</v>
      </c>
    </row>
    <row r="5511" spans="1:3" hidden="1">
      <c r="A5511" s="65">
        <v>9007379</v>
      </c>
      <c r="B5511" s="65" t="s">
        <v>6083</v>
      </c>
      <c r="C5511" s="65" t="s">
        <v>942</v>
      </c>
    </row>
    <row r="5512" spans="1:3" hidden="1">
      <c r="A5512" s="65">
        <v>9007380</v>
      </c>
      <c r="B5512" s="65" t="s">
        <v>6084</v>
      </c>
      <c r="C5512" s="65" t="s">
        <v>670</v>
      </c>
    </row>
    <row r="5513" spans="1:3" hidden="1">
      <c r="A5513" s="65">
        <v>9007389</v>
      </c>
      <c r="B5513" s="65" t="s">
        <v>6085</v>
      </c>
      <c r="C5513" s="65" t="s">
        <v>1181</v>
      </c>
    </row>
    <row r="5514" spans="1:3" hidden="1">
      <c r="A5514" s="65">
        <v>9007390</v>
      </c>
      <c r="B5514" s="65" t="s">
        <v>1620</v>
      </c>
      <c r="C5514" s="65" t="s">
        <v>743</v>
      </c>
    </row>
    <row r="5515" spans="1:3" hidden="1">
      <c r="A5515" s="65">
        <v>9007391</v>
      </c>
      <c r="B5515" s="65" t="s">
        <v>6086</v>
      </c>
      <c r="C5515" s="65" t="s">
        <v>793</v>
      </c>
    </row>
    <row r="5516" spans="1:3" hidden="1">
      <c r="A5516" s="65">
        <v>9007392</v>
      </c>
      <c r="B5516" s="65" t="s">
        <v>6087</v>
      </c>
      <c r="C5516" s="65" t="s">
        <v>793</v>
      </c>
    </row>
    <row r="5517" spans="1:3" hidden="1">
      <c r="A5517" s="65">
        <v>9007393</v>
      </c>
      <c r="B5517" s="65" t="s">
        <v>6088</v>
      </c>
      <c r="C5517" s="65" t="s">
        <v>793</v>
      </c>
    </row>
    <row r="5518" spans="1:3" hidden="1">
      <c r="A5518" s="65">
        <v>9007394</v>
      </c>
      <c r="B5518" s="65" t="s">
        <v>6089</v>
      </c>
      <c r="C5518" s="65" t="s">
        <v>793</v>
      </c>
    </row>
    <row r="5519" spans="1:3" hidden="1">
      <c r="A5519" s="65">
        <v>9007395</v>
      </c>
      <c r="B5519" s="65" t="s">
        <v>6090</v>
      </c>
      <c r="C5519" s="65" t="s">
        <v>793</v>
      </c>
    </row>
    <row r="5520" spans="1:3" hidden="1">
      <c r="A5520" s="65">
        <v>9007396</v>
      </c>
      <c r="B5520" s="65" t="s">
        <v>6091</v>
      </c>
      <c r="C5520" s="65" t="s">
        <v>793</v>
      </c>
    </row>
    <row r="5521" spans="1:3" hidden="1">
      <c r="A5521" s="65">
        <v>9007397</v>
      </c>
      <c r="B5521" s="65" t="s">
        <v>6092</v>
      </c>
      <c r="C5521" s="65" t="s">
        <v>793</v>
      </c>
    </row>
    <row r="5522" spans="1:3" hidden="1">
      <c r="A5522" s="65">
        <v>9007398</v>
      </c>
      <c r="B5522" s="65" t="s">
        <v>6093</v>
      </c>
      <c r="C5522" s="65" t="s">
        <v>793</v>
      </c>
    </row>
    <row r="5523" spans="1:3" hidden="1">
      <c r="A5523" s="65">
        <v>9007399</v>
      </c>
      <c r="B5523" s="65" t="s">
        <v>6094</v>
      </c>
      <c r="C5523" s="65" t="s">
        <v>793</v>
      </c>
    </row>
    <row r="5524" spans="1:3" hidden="1">
      <c r="A5524" s="65">
        <v>9007400</v>
      </c>
      <c r="B5524" s="65" t="s">
        <v>6095</v>
      </c>
      <c r="C5524" s="65" t="s">
        <v>793</v>
      </c>
    </row>
    <row r="5525" spans="1:3" hidden="1">
      <c r="A5525" s="65">
        <v>9007401</v>
      </c>
      <c r="B5525" s="65" t="s">
        <v>6096</v>
      </c>
      <c r="C5525" s="65" t="s">
        <v>793</v>
      </c>
    </row>
    <row r="5526" spans="1:3" hidden="1">
      <c r="A5526" s="65">
        <v>9007402</v>
      </c>
      <c r="B5526" s="65" t="s">
        <v>6097</v>
      </c>
      <c r="C5526" s="65" t="s">
        <v>793</v>
      </c>
    </row>
    <row r="5527" spans="1:3" hidden="1">
      <c r="A5527" s="65">
        <v>9007403</v>
      </c>
      <c r="B5527" s="65" t="s">
        <v>6098</v>
      </c>
      <c r="C5527" s="65" t="s">
        <v>793</v>
      </c>
    </row>
    <row r="5528" spans="1:3" hidden="1">
      <c r="A5528" s="65">
        <v>9007404</v>
      </c>
      <c r="B5528" s="65" t="s">
        <v>6099</v>
      </c>
      <c r="C5528" s="65" t="s">
        <v>793</v>
      </c>
    </row>
    <row r="5529" spans="1:3" hidden="1">
      <c r="A5529" s="65">
        <v>9007405</v>
      </c>
      <c r="B5529" s="65" t="s">
        <v>6100</v>
      </c>
      <c r="C5529" s="65" t="s">
        <v>793</v>
      </c>
    </row>
    <row r="5530" spans="1:3" hidden="1">
      <c r="A5530" s="65">
        <v>9007406</v>
      </c>
      <c r="B5530" s="65" t="s">
        <v>6101</v>
      </c>
      <c r="C5530" s="65" t="s">
        <v>793</v>
      </c>
    </row>
    <row r="5531" spans="1:3" hidden="1">
      <c r="A5531" s="65">
        <v>9007407</v>
      </c>
      <c r="B5531" s="65" t="s">
        <v>6102</v>
      </c>
      <c r="C5531" s="65" t="s">
        <v>793</v>
      </c>
    </row>
    <row r="5532" spans="1:3" hidden="1">
      <c r="A5532" s="65">
        <v>9007408</v>
      </c>
      <c r="B5532" s="65" t="s">
        <v>6103</v>
      </c>
      <c r="C5532" s="65" t="s">
        <v>793</v>
      </c>
    </row>
    <row r="5533" spans="1:3" hidden="1">
      <c r="A5533" s="65">
        <v>9007409</v>
      </c>
      <c r="B5533" s="65" t="s">
        <v>6104</v>
      </c>
      <c r="C5533" s="65" t="s">
        <v>793</v>
      </c>
    </row>
    <row r="5534" spans="1:3" hidden="1">
      <c r="A5534" s="65">
        <v>9007410</v>
      </c>
      <c r="B5534" s="65" t="s">
        <v>6105</v>
      </c>
      <c r="C5534" s="65" t="s">
        <v>793</v>
      </c>
    </row>
    <row r="5535" spans="1:3" hidden="1">
      <c r="A5535" s="65">
        <v>9007411</v>
      </c>
      <c r="B5535" s="65" t="s">
        <v>6106</v>
      </c>
      <c r="C5535" s="65" t="s">
        <v>793</v>
      </c>
    </row>
    <row r="5536" spans="1:3" hidden="1">
      <c r="A5536" s="65">
        <v>9007412</v>
      </c>
      <c r="B5536" s="65" t="s">
        <v>6107</v>
      </c>
      <c r="C5536" s="65" t="s">
        <v>793</v>
      </c>
    </row>
    <row r="5537" spans="1:3" hidden="1">
      <c r="A5537" s="65">
        <v>9007413</v>
      </c>
      <c r="B5537" s="65" t="s">
        <v>6108</v>
      </c>
      <c r="C5537" s="65" t="s">
        <v>793</v>
      </c>
    </row>
    <row r="5538" spans="1:3" hidden="1">
      <c r="A5538" s="65">
        <v>9007414</v>
      </c>
      <c r="B5538" s="65" t="s">
        <v>6109</v>
      </c>
      <c r="C5538" s="65" t="s">
        <v>793</v>
      </c>
    </row>
    <row r="5539" spans="1:3" hidden="1">
      <c r="A5539" s="65">
        <v>9007415</v>
      </c>
      <c r="B5539" s="65" t="s">
        <v>6110</v>
      </c>
      <c r="C5539" s="65" t="s">
        <v>793</v>
      </c>
    </row>
    <row r="5540" spans="1:3" hidden="1">
      <c r="A5540" s="65">
        <v>9007416</v>
      </c>
      <c r="B5540" s="65" t="s">
        <v>6111</v>
      </c>
      <c r="C5540" s="65" t="s">
        <v>793</v>
      </c>
    </row>
    <row r="5541" spans="1:3" hidden="1">
      <c r="A5541" s="65">
        <v>9007417</v>
      </c>
      <c r="B5541" s="65" t="s">
        <v>6112</v>
      </c>
      <c r="C5541" s="65" t="s">
        <v>793</v>
      </c>
    </row>
    <row r="5542" spans="1:3" hidden="1">
      <c r="A5542" s="65">
        <v>9007418</v>
      </c>
      <c r="B5542" s="65" t="s">
        <v>6113</v>
      </c>
      <c r="C5542" s="65" t="s">
        <v>793</v>
      </c>
    </row>
    <row r="5543" spans="1:3" hidden="1">
      <c r="A5543" s="65">
        <v>9007419</v>
      </c>
      <c r="B5543" s="65" t="s">
        <v>6114</v>
      </c>
      <c r="C5543" s="65" t="s">
        <v>793</v>
      </c>
    </row>
    <row r="5544" spans="1:3" hidden="1">
      <c r="A5544" s="65">
        <v>9007420</v>
      </c>
      <c r="B5544" s="65" t="s">
        <v>6115</v>
      </c>
      <c r="C5544" s="65" t="s">
        <v>793</v>
      </c>
    </row>
    <row r="5545" spans="1:3" hidden="1">
      <c r="A5545" s="65">
        <v>9007421</v>
      </c>
      <c r="B5545" s="65" t="s">
        <v>6116</v>
      </c>
      <c r="C5545" s="65" t="s">
        <v>793</v>
      </c>
    </row>
    <row r="5546" spans="1:3" hidden="1">
      <c r="A5546" s="65">
        <v>9007422</v>
      </c>
      <c r="B5546" s="65" t="s">
        <v>6117</v>
      </c>
      <c r="C5546" s="65" t="s">
        <v>793</v>
      </c>
    </row>
    <row r="5547" spans="1:3" hidden="1">
      <c r="A5547" s="65">
        <v>9007423</v>
      </c>
      <c r="B5547" s="65" t="s">
        <v>6118</v>
      </c>
      <c r="C5547" s="65" t="s">
        <v>793</v>
      </c>
    </row>
    <row r="5548" spans="1:3" hidden="1">
      <c r="A5548" s="65">
        <v>9007424</v>
      </c>
      <c r="B5548" s="65" t="s">
        <v>6119</v>
      </c>
      <c r="C5548" s="65" t="s">
        <v>793</v>
      </c>
    </row>
    <row r="5549" spans="1:3" hidden="1">
      <c r="A5549" s="65">
        <v>9007425</v>
      </c>
      <c r="B5549" s="65" t="s">
        <v>6120</v>
      </c>
      <c r="C5549" s="65" t="s">
        <v>942</v>
      </c>
    </row>
    <row r="5550" spans="1:3" hidden="1">
      <c r="A5550" s="65">
        <v>9007429</v>
      </c>
      <c r="B5550" s="65" t="s">
        <v>6121</v>
      </c>
      <c r="C5550" s="65" t="s">
        <v>743</v>
      </c>
    </row>
    <row r="5551" spans="1:3" hidden="1">
      <c r="A5551" s="65">
        <v>9007430</v>
      </c>
      <c r="B5551" s="65" t="s">
        <v>6122</v>
      </c>
      <c r="C5551" s="65" t="s">
        <v>5653</v>
      </c>
    </row>
    <row r="5552" spans="1:3" hidden="1">
      <c r="A5552" s="65">
        <v>9007431</v>
      </c>
      <c r="B5552" s="65" t="s">
        <v>6123</v>
      </c>
      <c r="C5552" s="65" t="s">
        <v>732</v>
      </c>
    </row>
    <row r="5553" spans="1:3" hidden="1">
      <c r="A5553" s="65">
        <v>9007432</v>
      </c>
      <c r="B5553" s="65" t="s">
        <v>6124</v>
      </c>
      <c r="C5553" s="65" t="s">
        <v>732</v>
      </c>
    </row>
    <row r="5554" spans="1:3" hidden="1">
      <c r="A5554" s="65">
        <v>9007433</v>
      </c>
      <c r="B5554" s="65" t="s">
        <v>6125</v>
      </c>
      <c r="C5554" s="65" t="s">
        <v>732</v>
      </c>
    </row>
    <row r="5555" spans="1:3" hidden="1">
      <c r="A5555" s="65">
        <v>9007434</v>
      </c>
      <c r="B5555" s="65" t="s">
        <v>6126</v>
      </c>
      <c r="C5555" s="65" t="s">
        <v>732</v>
      </c>
    </row>
    <row r="5556" spans="1:3" hidden="1">
      <c r="A5556" s="65">
        <v>9007435</v>
      </c>
      <c r="B5556" s="65" t="s">
        <v>6127</v>
      </c>
      <c r="C5556" s="65" t="s">
        <v>732</v>
      </c>
    </row>
    <row r="5557" spans="1:3" hidden="1">
      <c r="A5557" s="65">
        <v>9007436</v>
      </c>
      <c r="B5557" s="65" t="s">
        <v>6128</v>
      </c>
      <c r="C5557" s="65" t="s">
        <v>732</v>
      </c>
    </row>
    <row r="5558" spans="1:3" hidden="1">
      <c r="A5558" s="65">
        <v>9007437</v>
      </c>
      <c r="B5558" s="65" t="s">
        <v>6129</v>
      </c>
      <c r="C5558" s="65" t="s">
        <v>732</v>
      </c>
    </row>
    <row r="5559" spans="1:3" hidden="1">
      <c r="A5559" s="65">
        <v>9007438</v>
      </c>
      <c r="B5559" s="65" t="s">
        <v>6130</v>
      </c>
      <c r="C5559" s="65" t="s">
        <v>745</v>
      </c>
    </row>
    <row r="5560" spans="1:3" hidden="1">
      <c r="A5560" s="65">
        <v>9007439</v>
      </c>
      <c r="B5560" s="65" t="s">
        <v>6131</v>
      </c>
      <c r="C5560" s="65" t="s">
        <v>745</v>
      </c>
    </row>
    <row r="5561" spans="1:3" hidden="1">
      <c r="A5561" s="65">
        <v>9007449</v>
      </c>
      <c r="B5561" s="65" t="s">
        <v>6132</v>
      </c>
      <c r="C5561" s="65" t="s">
        <v>1926</v>
      </c>
    </row>
    <row r="5562" spans="1:3" hidden="1">
      <c r="A5562" s="65">
        <v>9007450</v>
      </c>
      <c r="B5562" s="65" t="s">
        <v>6133</v>
      </c>
      <c r="C5562" s="65" t="s">
        <v>793</v>
      </c>
    </row>
    <row r="5563" spans="1:3" hidden="1">
      <c r="A5563" s="65">
        <v>9007451</v>
      </c>
      <c r="B5563" s="65" t="s">
        <v>6134</v>
      </c>
      <c r="C5563" s="65" t="s">
        <v>793</v>
      </c>
    </row>
    <row r="5564" spans="1:3" hidden="1">
      <c r="A5564" s="65">
        <v>9007452</v>
      </c>
      <c r="B5564" s="65" t="s">
        <v>6135</v>
      </c>
      <c r="C5564" s="65" t="s">
        <v>793</v>
      </c>
    </row>
    <row r="5565" spans="1:3" hidden="1">
      <c r="A5565" s="65">
        <v>9007453</v>
      </c>
      <c r="B5565" s="65" t="s">
        <v>6136</v>
      </c>
      <c r="C5565" s="65" t="s">
        <v>793</v>
      </c>
    </row>
    <row r="5566" spans="1:3" hidden="1">
      <c r="A5566" s="65">
        <v>9007454</v>
      </c>
      <c r="B5566" s="65" t="s">
        <v>6137</v>
      </c>
      <c r="C5566" s="65" t="s">
        <v>793</v>
      </c>
    </row>
    <row r="5567" spans="1:3" hidden="1">
      <c r="A5567" s="65">
        <v>9007455</v>
      </c>
      <c r="B5567" s="65" t="s">
        <v>2619</v>
      </c>
      <c r="C5567" s="65" t="s">
        <v>793</v>
      </c>
    </row>
    <row r="5568" spans="1:3" hidden="1">
      <c r="A5568" s="65">
        <v>9007456</v>
      </c>
      <c r="B5568" s="65" t="s">
        <v>6138</v>
      </c>
      <c r="C5568" s="65" t="s">
        <v>793</v>
      </c>
    </row>
    <row r="5569" spans="1:3" hidden="1">
      <c r="A5569" s="65">
        <v>9007457</v>
      </c>
      <c r="B5569" s="65" t="s">
        <v>6139</v>
      </c>
      <c r="C5569" s="65" t="s">
        <v>793</v>
      </c>
    </row>
    <row r="5570" spans="1:3" hidden="1">
      <c r="A5570" s="65">
        <v>9007458</v>
      </c>
      <c r="B5570" s="65" t="s">
        <v>6140</v>
      </c>
      <c r="C5570" s="65" t="s">
        <v>793</v>
      </c>
    </row>
    <row r="5571" spans="1:3" hidden="1">
      <c r="A5571" s="65">
        <v>9007459</v>
      </c>
      <c r="B5571" s="65" t="s">
        <v>6141</v>
      </c>
      <c r="C5571" s="65" t="s">
        <v>942</v>
      </c>
    </row>
    <row r="5572" spans="1:3" hidden="1">
      <c r="A5572" s="65">
        <v>9007469</v>
      </c>
      <c r="B5572" s="65" t="s">
        <v>6142</v>
      </c>
      <c r="C5572" s="65" t="s">
        <v>1101</v>
      </c>
    </row>
    <row r="5573" spans="1:3" hidden="1">
      <c r="A5573" s="65">
        <v>9007470</v>
      </c>
      <c r="B5573" s="65" t="s">
        <v>6143</v>
      </c>
      <c r="C5573" s="65" t="s">
        <v>738</v>
      </c>
    </row>
    <row r="5574" spans="1:3" hidden="1">
      <c r="A5574" s="65">
        <v>9007471</v>
      </c>
      <c r="B5574" s="65" t="s">
        <v>6144</v>
      </c>
      <c r="C5574" s="65" t="s">
        <v>805</v>
      </c>
    </row>
    <row r="5575" spans="1:3" hidden="1">
      <c r="A5575" s="65">
        <v>9007472</v>
      </c>
      <c r="B5575" s="65" t="s">
        <v>6145</v>
      </c>
      <c r="C5575" s="65" t="s">
        <v>942</v>
      </c>
    </row>
    <row r="5576" spans="1:3" hidden="1">
      <c r="A5576" s="65">
        <v>9007473</v>
      </c>
      <c r="B5576" s="65" t="s">
        <v>6146</v>
      </c>
      <c r="C5576" s="65" t="s">
        <v>942</v>
      </c>
    </row>
    <row r="5577" spans="1:3" hidden="1">
      <c r="A5577" s="65">
        <v>9007474</v>
      </c>
      <c r="B5577" s="65" t="s">
        <v>6147</v>
      </c>
      <c r="C5577" s="65" t="s">
        <v>850</v>
      </c>
    </row>
    <row r="5578" spans="1:3" hidden="1">
      <c r="A5578" s="65">
        <v>9007475</v>
      </c>
      <c r="B5578" s="65" t="s">
        <v>6148</v>
      </c>
      <c r="C5578" s="65" t="s">
        <v>942</v>
      </c>
    </row>
    <row r="5579" spans="1:3" hidden="1">
      <c r="A5579" s="65">
        <v>9007476</v>
      </c>
      <c r="B5579" s="65" t="s">
        <v>6149</v>
      </c>
      <c r="C5579" s="65" t="s">
        <v>942</v>
      </c>
    </row>
    <row r="5580" spans="1:3" hidden="1">
      <c r="A5580" s="65">
        <v>9007477</v>
      </c>
      <c r="B5580" s="65" t="s">
        <v>6150</v>
      </c>
      <c r="C5580" s="65" t="s">
        <v>942</v>
      </c>
    </row>
    <row r="5581" spans="1:3" hidden="1">
      <c r="A5581" s="65">
        <v>9007478</v>
      </c>
      <c r="B5581" s="65" t="s">
        <v>6151</v>
      </c>
      <c r="C5581" s="65" t="s">
        <v>942</v>
      </c>
    </row>
    <row r="5582" spans="1:3" hidden="1">
      <c r="A5582" s="65">
        <v>9007479</v>
      </c>
      <c r="B5582" s="65" t="s">
        <v>6152</v>
      </c>
      <c r="C5582" s="65" t="s">
        <v>664</v>
      </c>
    </row>
    <row r="5583" spans="1:3" hidden="1">
      <c r="A5583" s="65">
        <v>9007480</v>
      </c>
      <c r="B5583" s="65" t="s">
        <v>6153</v>
      </c>
      <c r="C5583" s="65" t="s">
        <v>942</v>
      </c>
    </row>
    <row r="5584" spans="1:3" hidden="1">
      <c r="A5584" s="65">
        <v>9007481</v>
      </c>
      <c r="B5584" s="65" t="s">
        <v>6154</v>
      </c>
      <c r="C5584" s="65" t="s">
        <v>942</v>
      </c>
    </row>
    <row r="5585" spans="1:3" hidden="1">
      <c r="A5585" s="65">
        <v>9007482</v>
      </c>
      <c r="B5585" s="65" t="s">
        <v>6155</v>
      </c>
      <c r="C5585" s="65" t="s">
        <v>942</v>
      </c>
    </row>
    <row r="5586" spans="1:3" hidden="1">
      <c r="A5586" s="65">
        <v>9007483</v>
      </c>
      <c r="B5586" s="65" t="s">
        <v>6156</v>
      </c>
      <c r="C5586" s="65" t="s">
        <v>942</v>
      </c>
    </row>
    <row r="5587" spans="1:3" hidden="1">
      <c r="A5587" s="65">
        <v>9007484</v>
      </c>
      <c r="B5587" s="65" t="s">
        <v>6157</v>
      </c>
      <c r="C5587" s="65" t="s">
        <v>942</v>
      </c>
    </row>
    <row r="5588" spans="1:3" hidden="1">
      <c r="A5588" s="65">
        <v>9007485</v>
      </c>
      <c r="B5588" s="65" t="s">
        <v>6158</v>
      </c>
      <c r="C5588" s="65" t="s">
        <v>942</v>
      </c>
    </row>
    <row r="5589" spans="1:3" hidden="1">
      <c r="A5589" s="65">
        <v>9007486</v>
      </c>
      <c r="B5589" s="65" t="s">
        <v>6159</v>
      </c>
      <c r="C5589" s="65" t="s">
        <v>942</v>
      </c>
    </row>
    <row r="5590" spans="1:3" hidden="1">
      <c r="A5590" s="65">
        <v>9007487</v>
      </c>
      <c r="B5590" s="65" t="s">
        <v>6160</v>
      </c>
      <c r="C5590" s="65" t="s">
        <v>942</v>
      </c>
    </row>
    <row r="5591" spans="1:3" hidden="1">
      <c r="A5591" s="65">
        <v>9007488</v>
      </c>
      <c r="B5591" s="65" t="s">
        <v>6161</v>
      </c>
      <c r="C5591" s="65" t="s">
        <v>942</v>
      </c>
    </row>
    <row r="5592" spans="1:3" hidden="1">
      <c r="A5592" s="65">
        <v>9007489</v>
      </c>
      <c r="B5592" s="65" t="s">
        <v>6162</v>
      </c>
      <c r="C5592" s="65" t="s">
        <v>942</v>
      </c>
    </row>
    <row r="5593" spans="1:3" hidden="1">
      <c r="A5593" s="65">
        <v>9007490</v>
      </c>
      <c r="B5593" s="65" t="s">
        <v>6163</v>
      </c>
      <c r="C5593" s="65" t="s">
        <v>942</v>
      </c>
    </row>
    <row r="5594" spans="1:3" hidden="1">
      <c r="A5594" s="65">
        <v>9007491</v>
      </c>
      <c r="B5594" s="65" t="s">
        <v>6164</v>
      </c>
      <c r="C5594" s="65" t="s">
        <v>942</v>
      </c>
    </row>
    <row r="5595" spans="1:3" hidden="1">
      <c r="A5595" s="65">
        <v>9007492</v>
      </c>
      <c r="B5595" s="65" t="s">
        <v>6165</v>
      </c>
      <c r="C5595" s="65" t="s">
        <v>942</v>
      </c>
    </row>
    <row r="5596" spans="1:3" hidden="1">
      <c r="A5596" s="65">
        <v>9007493</v>
      </c>
      <c r="B5596" s="65" t="s">
        <v>6166</v>
      </c>
      <c r="C5596" s="65" t="s">
        <v>942</v>
      </c>
    </row>
    <row r="5597" spans="1:3" hidden="1">
      <c r="A5597" s="65">
        <v>9007494</v>
      </c>
      <c r="B5597" s="65" t="s">
        <v>6167</v>
      </c>
      <c r="C5597" s="65" t="s">
        <v>942</v>
      </c>
    </row>
    <row r="5598" spans="1:3" hidden="1">
      <c r="A5598" s="65">
        <v>9007495</v>
      </c>
      <c r="B5598" s="65" t="s">
        <v>6168</v>
      </c>
      <c r="C5598" s="65" t="s">
        <v>942</v>
      </c>
    </row>
    <row r="5599" spans="1:3" hidden="1">
      <c r="A5599" s="65">
        <v>9007496</v>
      </c>
      <c r="B5599" s="65" t="s">
        <v>6169</v>
      </c>
      <c r="C5599" s="65" t="s">
        <v>942</v>
      </c>
    </row>
    <row r="5600" spans="1:3" hidden="1">
      <c r="A5600" s="65">
        <v>9007497</v>
      </c>
      <c r="B5600" s="65" t="s">
        <v>6170</v>
      </c>
      <c r="C5600" s="65" t="s">
        <v>942</v>
      </c>
    </row>
    <row r="5601" spans="1:3" hidden="1">
      <c r="A5601" s="65">
        <v>9007498</v>
      </c>
      <c r="B5601" s="65" t="s">
        <v>6171</v>
      </c>
      <c r="C5601" s="65" t="s">
        <v>942</v>
      </c>
    </row>
    <row r="5602" spans="1:3" hidden="1">
      <c r="A5602" s="65">
        <v>9007499</v>
      </c>
      <c r="B5602" s="65" t="s">
        <v>6172</v>
      </c>
      <c r="C5602" s="65" t="s">
        <v>942</v>
      </c>
    </row>
    <row r="5603" spans="1:3" hidden="1">
      <c r="A5603" s="65">
        <v>9007500</v>
      </c>
      <c r="B5603" s="65" t="s">
        <v>6173</v>
      </c>
      <c r="C5603" s="65" t="s">
        <v>942</v>
      </c>
    </row>
    <row r="5604" spans="1:3" hidden="1">
      <c r="A5604" s="65">
        <v>9007501</v>
      </c>
      <c r="B5604" s="65" t="s">
        <v>6174</v>
      </c>
      <c r="C5604" s="65" t="s">
        <v>942</v>
      </c>
    </row>
    <row r="5605" spans="1:3" hidden="1">
      <c r="A5605" s="65">
        <v>9007502</v>
      </c>
      <c r="B5605" s="65" t="s">
        <v>6175</v>
      </c>
      <c r="C5605" s="65" t="s">
        <v>942</v>
      </c>
    </row>
    <row r="5606" spans="1:3" hidden="1">
      <c r="A5606" s="65">
        <v>9007503</v>
      </c>
      <c r="B5606" s="65" t="s">
        <v>6176</v>
      </c>
      <c r="C5606" s="65" t="s">
        <v>942</v>
      </c>
    </row>
    <row r="5607" spans="1:3" hidden="1">
      <c r="A5607" s="65">
        <v>9007504</v>
      </c>
      <c r="B5607" s="65" t="s">
        <v>6177</v>
      </c>
      <c r="C5607" s="65" t="s">
        <v>942</v>
      </c>
    </row>
    <row r="5608" spans="1:3" hidden="1">
      <c r="A5608" s="65">
        <v>9007505</v>
      </c>
      <c r="B5608" s="65" t="s">
        <v>6178</v>
      </c>
      <c r="C5608" s="65" t="s">
        <v>942</v>
      </c>
    </row>
    <row r="5609" spans="1:3" hidden="1">
      <c r="A5609" s="65">
        <v>9007506</v>
      </c>
      <c r="B5609" s="65" t="s">
        <v>6179</v>
      </c>
      <c r="C5609" s="65" t="s">
        <v>942</v>
      </c>
    </row>
    <row r="5610" spans="1:3" hidden="1">
      <c r="A5610" s="65">
        <v>9007507</v>
      </c>
      <c r="B5610" s="65" t="s">
        <v>6180</v>
      </c>
      <c r="C5610" s="65" t="s">
        <v>942</v>
      </c>
    </row>
    <row r="5611" spans="1:3" hidden="1">
      <c r="A5611" s="65">
        <v>9007508</v>
      </c>
      <c r="B5611" s="65" t="s">
        <v>6181</v>
      </c>
      <c r="C5611" s="65" t="s">
        <v>942</v>
      </c>
    </row>
    <row r="5612" spans="1:3" hidden="1">
      <c r="A5612" s="65">
        <v>9007509</v>
      </c>
      <c r="B5612" s="65" t="s">
        <v>6182</v>
      </c>
      <c r="C5612" s="65" t="s">
        <v>942</v>
      </c>
    </row>
    <row r="5613" spans="1:3" hidden="1">
      <c r="A5613" s="65">
        <v>9007510</v>
      </c>
      <c r="B5613" s="65" t="s">
        <v>6183</v>
      </c>
      <c r="C5613" s="65" t="s">
        <v>942</v>
      </c>
    </row>
    <row r="5614" spans="1:3" hidden="1">
      <c r="A5614" s="65">
        <v>9007511</v>
      </c>
      <c r="B5614" s="65" t="s">
        <v>6184</v>
      </c>
      <c r="C5614" s="65" t="s">
        <v>942</v>
      </c>
    </row>
    <row r="5615" spans="1:3" hidden="1">
      <c r="A5615" s="65">
        <v>9007512</v>
      </c>
      <c r="B5615" s="65" t="s">
        <v>6185</v>
      </c>
      <c r="C5615" s="65" t="s">
        <v>942</v>
      </c>
    </row>
    <row r="5616" spans="1:3" hidden="1">
      <c r="A5616" s="65">
        <v>9007513</v>
      </c>
      <c r="B5616" s="65" t="s">
        <v>6186</v>
      </c>
      <c r="C5616" s="65" t="s">
        <v>942</v>
      </c>
    </row>
    <row r="5617" spans="1:3" hidden="1">
      <c r="A5617" s="65">
        <v>9007514</v>
      </c>
      <c r="B5617" s="65" t="s">
        <v>6187</v>
      </c>
      <c r="C5617" s="65" t="s">
        <v>942</v>
      </c>
    </row>
    <row r="5618" spans="1:3" hidden="1">
      <c r="A5618" s="65">
        <v>9007515</v>
      </c>
      <c r="B5618" s="65" t="s">
        <v>6188</v>
      </c>
      <c r="C5618" s="65" t="s">
        <v>942</v>
      </c>
    </row>
    <row r="5619" spans="1:3" hidden="1">
      <c r="A5619" s="65">
        <v>9007516</v>
      </c>
      <c r="B5619" s="65" t="s">
        <v>6189</v>
      </c>
      <c r="C5619" s="65" t="s">
        <v>942</v>
      </c>
    </row>
    <row r="5620" spans="1:3" hidden="1">
      <c r="A5620" s="65">
        <v>9007517</v>
      </c>
      <c r="B5620" s="65" t="s">
        <v>6190</v>
      </c>
      <c r="C5620" s="65" t="s">
        <v>942</v>
      </c>
    </row>
    <row r="5621" spans="1:3" hidden="1">
      <c r="A5621" s="65">
        <v>9007518</v>
      </c>
      <c r="B5621" s="65" t="s">
        <v>6191</v>
      </c>
      <c r="C5621" s="65" t="s">
        <v>942</v>
      </c>
    </row>
    <row r="5622" spans="1:3" hidden="1">
      <c r="A5622" s="65">
        <v>9007519</v>
      </c>
      <c r="B5622" s="65" t="s">
        <v>6192</v>
      </c>
      <c r="C5622" s="65" t="s">
        <v>942</v>
      </c>
    </row>
    <row r="5623" spans="1:3" hidden="1">
      <c r="A5623" s="65">
        <v>9007520</v>
      </c>
      <c r="B5623" s="65" t="s">
        <v>6193</v>
      </c>
      <c r="C5623" s="65" t="s">
        <v>942</v>
      </c>
    </row>
    <row r="5624" spans="1:3" hidden="1">
      <c r="A5624" s="65">
        <v>9007521</v>
      </c>
      <c r="B5624" s="65" t="s">
        <v>6194</v>
      </c>
      <c r="C5624" s="65" t="s">
        <v>942</v>
      </c>
    </row>
    <row r="5625" spans="1:3" hidden="1">
      <c r="A5625" s="65">
        <v>9007522</v>
      </c>
      <c r="B5625" s="65" t="s">
        <v>6195</v>
      </c>
      <c r="C5625" s="65" t="s">
        <v>942</v>
      </c>
    </row>
    <row r="5626" spans="1:3" hidden="1">
      <c r="A5626" s="65">
        <v>9007523</v>
      </c>
      <c r="B5626" s="65" t="s">
        <v>6196</v>
      </c>
      <c r="C5626" s="65" t="s">
        <v>942</v>
      </c>
    </row>
    <row r="5627" spans="1:3" hidden="1">
      <c r="A5627" s="65">
        <v>9007524</v>
      </c>
      <c r="B5627" s="65" t="s">
        <v>6197</v>
      </c>
      <c r="C5627" s="65" t="s">
        <v>942</v>
      </c>
    </row>
    <row r="5628" spans="1:3" hidden="1">
      <c r="A5628" s="65">
        <v>9007525</v>
      </c>
      <c r="B5628" s="65" t="s">
        <v>6198</v>
      </c>
      <c r="C5628" s="65" t="s">
        <v>942</v>
      </c>
    </row>
    <row r="5629" spans="1:3" hidden="1">
      <c r="A5629" s="65">
        <v>9007526</v>
      </c>
      <c r="B5629" s="65" t="s">
        <v>6199</v>
      </c>
      <c r="C5629" s="65" t="s">
        <v>942</v>
      </c>
    </row>
    <row r="5630" spans="1:3" hidden="1">
      <c r="A5630" s="65">
        <v>9007527</v>
      </c>
      <c r="B5630" s="65" t="s">
        <v>6200</v>
      </c>
      <c r="C5630" s="65" t="s">
        <v>942</v>
      </c>
    </row>
    <row r="5631" spans="1:3" hidden="1">
      <c r="A5631" s="65">
        <v>9007528</v>
      </c>
      <c r="B5631" s="65" t="s">
        <v>6201</v>
      </c>
      <c r="C5631" s="65" t="s">
        <v>942</v>
      </c>
    </row>
    <row r="5632" spans="1:3" hidden="1">
      <c r="A5632" s="65">
        <v>9007529</v>
      </c>
      <c r="B5632" s="65" t="s">
        <v>6202</v>
      </c>
      <c r="C5632" s="65" t="s">
        <v>942</v>
      </c>
    </row>
    <row r="5633" spans="1:3" hidden="1">
      <c r="A5633" s="65">
        <v>9007530</v>
      </c>
      <c r="B5633" s="65" t="s">
        <v>6203</v>
      </c>
      <c r="C5633" s="65" t="s">
        <v>942</v>
      </c>
    </row>
    <row r="5634" spans="1:3" hidden="1">
      <c r="A5634" s="65">
        <v>9007531</v>
      </c>
      <c r="B5634" s="65" t="s">
        <v>6204</v>
      </c>
      <c r="C5634" s="65" t="s">
        <v>942</v>
      </c>
    </row>
    <row r="5635" spans="1:3" hidden="1">
      <c r="A5635" s="65">
        <v>9007532</v>
      </c>
      <c r="B5635" s="65" t="s">
        <v>6205</v>
      </c>
      <c r="C5635" s="65" t="s">
        <v>942</v>
      </c>
    </row>
    <row r="5636" spans="1:3" hidden="1">
      <c r="A5636" s="65">
        <v>9007533</v>
      </c>
      <c r="B5636" s="65" t="s">
        <v>6206</v>
      </c>
      <c r="C5636" s="65" t="s">
        <v>942</v>
      </c>
    </row>
    <row r="5637" spans="1:3" hidden="1">
      <c r="A5637" s="65">
        <v>9007534</v>
      </c>
      <c r="B5637" s="65" t="s">
        <v>6207</v>
      </c>
      <c r="C5637" s="65" t="s">
        <v>738</v>
      </c>
    </row>
    <row r="5638" spans="1:3" hidden="1">
      <c r="A5638" s="65">
        <v>9007535</v>
      </c>
      <c r="B5638" s="65" t="s">
        <v>6208</v>
      </c>
      <c r="C5638" s="65" t="s">
        <v>738</v>
      </c>
    </row>
    <row r="5639" spans="1:3" hidden="1">
      <c r="A5639" s="65">
        <v>9007536</v>
      </c>
      <c r="B5639" s="65" t="s">
        <v>6209</v>
      </c>
      <c r="C5639" s="65" t="s">
        <v>1181</v>
      </c>
    </row>
    <row r="5640" spans="1:3" hidden="1">
      <c r="A5640" s="65">
        <v>9007537</v>
      </c>
      <c r="B5640" s="65" t="s">
        <v>6210</v>
      </c>
      <c r="C5640" s="65" t="s">
        <v>1181</v>
      </c>
    </row>
    <row r="5641" spans="1:3" hidden="1">
      <c r="A5641" s="65">
        <v>9007538</v>
      </c>
      <c r="B5641" s="65" t="s">
        <v>6211</v>
      </c>
      <c r="C5641" s="65" t="s">
        <v>1181</v>
      </c>
    </row>
    <row r="5642" spans="1:3" hidden="1">
      <c r="A5642" s="65">
        <v>9007539</v>
      </c>
      <c r="B5642" s="65" t="s">
        <v>6212</v>
      </c>
      <c r="C5642" s="65" t="s">
        <v>805</v>
      </c>
    </row>
    <row r="5643" spans="1:3" hidden="1">
      <c r="A5643" s="65">
        <v>9007549</v>
      </c>
      <c r="B5643" s="65" t="s">
        <v>6213</v>
      </c>
      <c r="C5643" s="65" t="s">
        <v>745</v>
      </c>
    </row>
    <row r="5644" spans="1:3" hidden="1">
      <c r="A5644" s="65">
        <v>9007550</v>
      </c>
      <c r="B5644" s="65" t="s">
        <v>6214</v>
      </c>
      <c r="C5644" s="65" t="s">
        <v>5741</v>
      </c>
    </row>
    <row r="5645" spans="1:3" hidden="1">
      <c r="A5645" s="65">
        <v>9007559</v>
      </c>
      <c r="B5645" s="65" t="s">
        <v>6215</v>
      </c>
      <c r="C5645" s="65" t="s">
        <v>751</v>
      </c>
    </row>
    <row r="5646" spans="1:3" hidden="1">
      <c r="A5646" s="65">
        <v>9007560</v>
      </c>
      <c r="B5646" s="65" t="s">
        <v>6216</v>
      </c>
      <c r="C5646" s="65" t="s">
        <v>1181</v>
      </c>
    </row>
    <row r="5647" spans="1:3" hidden="1">
      <c r="A5647" s="65">
        <v>9007561</v>
      </c>
      <c r="B5647" s="65" t="s">
        <v>6217</v>
      </c>
      <c r="C5647" s="65" t="s">
        <v>1181</v>
      </c>
    </row>
    <row r="5648" spans="1:3" hidden="1">
      <c r="A5648" s="65">
        <v>9007562</v>
      </c>
      <c r="B5648" s="65" t="s">
        <v>6218</v>
      </c>
      <c r="C5648" s="65" t="s">
        <v>1181</v>
      </c>
    </row>
    <row r="5649" spans="1:3" hidden="1">
      <c r="A5649" s="65">
        <v>9007563</v>
      </c>
      <c r="B5649" s="65" t="s">
        <v>6219</v>
      </c>
      <c r="C5649" s="65" t="s">
        <v>1181</v>
      </c>
    </row>
    <row r="5650" spans="1:3" hidden="1">
      <c r="A5650" s="65">
        <v>9007564</v>
      </c>
      <c r="B5650" s="65" t="s">
        <v>6220</v>
      </c>
      <c r="C5650" s="65" t="s">
        <v>942</v>
      </c>
    </row>
    <row r="5651" spans="1:3" hidden="1">
      <c r="A5651" s="65">
        <v>9007565</v>
      </c>
      <c r="B5651" s="65" t="s">
        <v>6221</v>
      </c>
      <c r="C5651" s="65" t="s">
        <v>942</v>
      </c>
    </row>
    <row r="5652" spans="1:3" hidden="1">
      <c r="A5652" s="65">
        <v>9007569</v>
      </c>
      <c r="B5652" s="65" t="s">
        <v>6222</v>
      </c>
      <c r="C5652" s="65" t="s">
        <v>813</v>
      </c>
    </row>
    <row r="5653" spans="1:3" hidden="1">
      <c r="A5653" s="65">
        <v>9007570</v>
      </c>
      <c r="B5653" s="65" t="s">
        <v>6223</v>
      </c>
      <c r="C5653" s="65" t="s">
        <v>738</v>
      </c>
    </row>
    <row r="5654" spans="1:3" hidden="1">
      <c r="A5654" s="65">
        <v>9007571</v>
      </c>
      <c r="B5654" s="65" t="s">
        <v>6224</v>
      </c>
      <c r="C5654" s="65" t="s">
        <v>793</v>
      </c>
    </row>
    <row r="5655" spans="1:3" hidden="1">
      <c r="A5655" s="65">
        <v>9007572</v>
      </c>
      <c r="B5655" s="65" t="s">
        <v>6225</v>
      </c>
      <c r="C5655" s="65" t="s">
        <v>793</v>
      </c>
    </row>
    <row r="5656" spans="1:3" hidden="1">
      <c r="A5656" s="65">
        <v>9007573</v>
      </c>
      <c r="B5656" s="65" t="s">
        <v>6226</v>
      </c>
      <c r="C5656" s="65" t="s">
        <v>738</v>
      </c>
    </row>
    <row r="5657" spans="1:3" hidden="1">
      <c r="A5657" s="65">
        <v>9007579</v>
      </c>
      <c r="B5657" s="65" t="s">
        <v>6227</v>
      </c>
      <c r="C5657" s="65" t="s">
        <v>942</v>
      </c>
    </row>
    <row r="5658" spans="1:3" hidden="1">
      <c r="A5658" s="65">
        <v>9007580</v>
      </c>
      <c r="B5658" s="65" t="s">
        <v>6228</v>
      </c>
      <c r="C5658" s="65" t="s">
        <v>942</v>
      </c>
    </row>
    <row r="5659" spans="1:3" hidden="1">
      <c r="A5659" s="65">
        <v>9007581</v>
      </c>
      <c r="B5659" s="65" t="s">
        <v>6229</v>
      </c>
      <c r="C5659" s="65" t="s">
        <v>850</v>
      </c>
    </row>
    <row r="5660" spans="1:3" hidden="1">
      <c r="A5660" s="65">
        <v>9007589</v>
      </c>
      <c r="B5660" s="65" t="s">
        <v>6230</v>
      </c>
      <c r="C5660" s="65" t="s">
        <v>775</v>
      </c>
    </row>
    <row r="5661" spans="1:3" hidden="1">
      <c r="A5661" s="65">
        <v>9007590</v>
      </c>
      <c r="B5661" s="65" t="s">
        <v>6231</v>
      </c>
      <c r="C5661" s="65" t="s">
        <v>942</v>
      </c>
    </row>
    <row r="5662" spans="1:3" hidden="1">
      <c r="A5662" s="65">
        <v>9007591</v>
      </c>
      <c r="B5662" s="65" t="s">
        <v>6232</v>
      </c>
      <c r="C5662" s="65" t="s">
        <v>942</v>
      </c>
    </row>
    <row r="5663" spans="1:3" hidden="1">
      <c r="A5663" s="65">
        <v>9007599</v>
      </c>
      <c r="B5663" s="65" t="s">
        <v>6233</v>
      </c>
      <c r="C5663" s="65" t="s">
        <v>664</v>
      </c>
    </row>
    <row r="5664" spans="1:3" hidden="1">
      <c r="A5664" s="65">
        <v>9007600</v>
      </c>
      <c r="B5664" s="65" t="s">
        <v>6234</v>
      </c>
      <c r="C5664" s="65" t="s">
        <v>1553</v>
      </c>
    </row>
    <row r="5665" spans="1:3" hidden="1">
      <c r="A5665" s="65">
        <v>9007601</v>
      </c>
      <c r="B5665" s="65" t="s">
        <v>6235</v>
      </c>
      <c r="C5665" s="65" t="s">
        <v>670</v>
      </c>
    </row>
    <row r="5666" spans="1:3" hidden="1">
      <c r="A5666" s="65">
        <v>9007602</v>
      </c>
      <c r="B5666" s="65" t="s">
        <v>6236</v>
      </c>
      <c r="C5666" s="65" t="s">
        <v>942</v>
      </c>
    </row>
    <row r="5667" spans="1:3" hidden="1">
      <c r="A5667" s="65">
        <v>9007603</v>
      </c>
      <c r="B5667" s="65" t="s">
        <v>6237</v>
      </c>
      <c r="C5667" s="65" t="s">
        <v>850</v>
      </c>
    </row>
    <row r="5668" spans="1:3" hidden="1">
      <c r="A5668" s="65">
        <v>9007604</v>
      </c>
      <c r="B5668" s="65" t="s">
        <v>6238</v>
      </c>
      <c r="C5668" s="65" t="s">
        <v>683</v>
      </c>
    </row>
    <row r="5669" spans="1:3" hidden="1">
      <c r="A5669" s="65">
        <v>9007605</v>
      </c>
      <c r="B5669" s="65" t="s">
        <v>6239</v>
      </c>
      <c r="C5669" s="65" t="s">
        <v>813</v>
      </c>
    </row>
    <row r="5670" spans="1:3" hidden="1">
      <c r="A5670" s="65">
        <v>9007606</v>
      </c>
      <c r="B5670" s="65" t="s">
        <v>6240</v>
      </c>
      <c r="C5670" s="65" t="s">
        <v>664</v>
      </c>
    </row>
    <row r="5671" spans="1:3" hidden="1">
      <c r="A5671" s="65">
        <v>9007609</v>
      </c>
      <c r="B5671" s="65" t="s">
        <v>6241</v>
      </c>
      <c r="C5671" s="65" t="s">
        <v>670</v>
      </c>
    </row>
    <row r="5672" spans="1:3" hidden="1">
      <c r="A5672" s="65">
        <v>9007610</v>
      </c>
      <c r="B5672" s="65" t="s">
        <v>6242</v>
      </c>
      <c r="C5672" s="65" t="s">
        <v>809</v>
      </c>
    </row>
    <row r="5673" spans="1:3" hidden="1">
      <c r="A5673" s="65">
        <v>9007611</v>
      </c>
      <c r="B5673" s="65" t="s">
        <v>6243</v>
      </c>
      <c r="C5673" s="65" t="s">
        <v>809</v>
      </c>
    </row>
    <row r="5674" spans="1:3" hidden="1">
      <c r="A5674" s="65">
        <v>9007619</v>
      </c>
      <c r="B5674" s="65" t="s">
        <v>6244</v>
      </c>
      <c r="C5674" s="65" t="s">
        <v>926</v>
      </c>
    </row>
    <row r="5675" spans="1:3" hidden="1">
      <c r="A5675" s="65">
        <v>9007620</v>
      </c>
      <c r="B5675" s="65" t="s">
        <v>6245</v>
      </c>
      <c r="C5675" s="65" t="s">
        <v>825</v>
      </c>
    </row>
    <row r="5676" spans="1:3" hidden="1">
      <c r="A5676" s="65">
        <v>9007629</v>
      </c>
      <c r="B5676" s="65" t="s">
        <v>6246</v>
      </c>
      <c r="C5676" s="65" t="s">
        <v>852</v>
      </c>
    </row>
    <row r="5677" spans="1:3" hidden="1">
      <c r="A5677" s="65">
        <v>9007630</v>
      </c>
      <c r="B5677" s="65" t="s">
        <v>6247</v>
      </c>
      <c r="C5677" s="65" t="s">
        <v>852</v>
      </c>
    </row>
    <row r="5678" spans="1:3" hidden="1">
      <c r="A5678" s="65">
        <v>9007631</v>
      </c>
      <c r="B5678" s="65" t="s">
        <v>6248</v>
      </c>
      <c r="C5678" s="65" t="s">
        <v>942</v>
      </c>
    </row>
    <row r="5679" spans="1:3" hidden="1">
      <c r="A5679" s="65">
        <v>9007632</v>
      </c>
      <c r="B5679" s="65" t="s">
        <v>6249</v>
      </c>
      <c r="C5679" s="65" t="s">
        <v>805</v>
      </c>
    </row>
    <row r="5680" spans="1:3" hidden="1">
      <c r="A5680" s="65">
        <v>9007633</v>
      </c>
      <c r="B5680" s="65" t="s">
        <v>6250</v>
      </c>
      <c r="C5680" s="65" t="s">
        <v>805</v>
      </c>
    </row>
    <row r="5681" spans="1:3" hidden="1">
      <c r="A5681" s="65">
        <v>9007634</v>
      </c>
      <c r="B5681" s="65" t="s">
        <v>6251</v>
      </c>
      <c r="C5681" s="65" t="s">
        <v>805</v>
      </c>
    </row>
    <row r="5682" spans="1:3" hidden="1">
      <c r="A5682" s="65">
        <v>9007635</v>
      </c>
      <c r="B5682" s="65" t="s">
        <v>6252</v>
      </c>
      <c r="C5682" s="65" t="s">
        <v>738</v>
      </c>
    </row>
    <row r="5683" spans="1:3" hidden="1">
      <c r="A5683" s="65">
        <v>9007636</v>
      </c>
      <c r="B5683" s="65" t="s">
        <v>6253</v>
      </c>
      <c r="C5683" s="65" t="s">
        <v>738</v>
      </c>
    </row>
    <row r="5684" spans="1:3" hidden="1">
      <c r="A5684" s="65">
        <v>9007637</v>
      </c>
      <c r="B5684" s="65" t="s">
        <v>6254</v>
      </c>
      <c r="C5684" s="65" t="s">
        <v>738</v>
      </c>
    </row>
    <row r="5685" spans="1:3" hidden="1">
      <c r="A5685" s="65">
        <v>9007639</v>
      </c>
      <c r="B5685" s="65" t="s">
        <v>6255</v>
      </c>
      <c r="C5685" s="65" t="s">
        <v>942</v>
      </c>
    </row>
    <row r="5686" spans="1:3" hidden="1">
      <c r="A5686" s="65">
        <v>9007640</v>
      </c>
      <c r="B5686" s="65" t="s">
        <v>6256</v>
      </c>
      <c r="C5686" s="65" t="s">
        <v>942</v>
      </c>
    </row>
    <row r="5687" spans="1:3" hidden="1">
      <c r="A5687" s="65">
        <v>9007641</v>
      </c>
      <c r="B5687" s="65" t="s">
        <v>6257</v>
      </c>
      <c r="C5687" s="65" t="s">
        <v>942</v>
      </c>
    </row>
    <row r="5688" spans="1:3" hidden="1">
      <c r="A5688" s="65">
        <v>9007649</v>
      </c>
      <c r="B5688" s="65" t="s">
        <v>6258</v>
      </c>
      <c r="C5688" s="65" t="s">
        <v>942</v>
      </c>
    </row>
    <row r="5689" spans="1:3" hidden="1">
      <c r="A5689" s="65">
        <v>9007659</v>
      </c>
      <c r="B5689" s="65" t="s">
        <v>6259</v>
      </c>
      <c r="C5689" s="65" t="s">
        <v>1181</v>
      </c>
    </row>
    <row r="5690" spans="1:3" hidden="1">
      <c r="A5690" s="65">
        <v>9007660</v>
      </c>
      <c r="B5690" s="65" t="s">
        <v>6260</v>
      </c>
      <c r="C5690" s="65" t="s">
        <v>1181</v>
      </c>
    </row>
    <row r="5691" spans="1:3" hidden="1">
      <c r="A5691" s="65">
        <v>9007661</v>
      </c>
      <c r="B5691" s="65" t="s">
        <v>6261</v>
      </c>
      <c r="C5691" s="65" t="s">
        <v>5629</v>
      </c>
    </row>
    <row r="5692" spans="1:3" hidden="1">
      <c r="A5692" s="65">
        <v>9007669</v>
      </c>
      <c r="B5692" s="65" t="s">
        <v>6262</v>
      </c>
      <c r="C5692" s="65" t="s">
        <v>747</v>
      </c>
    </row>
    <row r="5693" spans="1:3" hidden="1">
      <c r="A5693" s="65">
        <v>9007670</v>
      </c>
      <c r="B5693" s="65" t="s">
        <v>6263</v>
      </c>
      <c r="C5693" s="65" t="s">
        <v>747</v>
      </c>
    </row>
    <row r="5694" spans="1:3" hidden="1">
      <c r="A5694" s="65">
        <v>9007671</v>
      </c>
      <c r="B5694" s="65" t="s">
        <v>6264</v>
      </c>
      <c r="C5694" s="65" t="s">
        <v>751</v>
      </c>
    </row>
    <row r="5695" spans="1:3" hidden="1">
      <c r="A5695" s="65">
        <v>9007672</v>
      </c>
      <c r="B5695" s="65" t="s">
        <v>6265</v>
      </c>
      <c r="C5695" s="65" t="s">
        <v>805</v>
      </c>
    </row>
    <row r="5696" spans="1:3" hidden="1">
      <c r="A5696" s="65">
        <v>9007679</v>
      </c>
      <c r="B5696" s="65" t="s">
        <v>6266</v>
      </c>
      <c r="C5696" s="65" t="s">
        <v>5615</v>
      </c>
    </row>
    <row r="5697" spans="1:3" hidden="1">
      <c r="A5697" s="65">
        <v>9007680</v>
      </c>
      <c r="B5697" s="65" t="s">
        <v>6267</v>
      </c>
      <c r="C5697" s="65" t="s">
        <v>5615</v>
      </c>
    </row>
    <row r="5698" spans="1:3" hidden="1">
      <c r="A5698" s="65">
        <v>9007681</v>
      </c>
      <c r="B5698" s="65" t="s">
        <v>6268</v>
      </c>
      <c r="C5698" s="65" t="s">
        <v>5615</v>
      </c>
    </row>
    <row r="5699" spans="1:3" hidden="1">
      <c r="A5699" s="65">
        <v>9007682</v>
      </c>
      <c r="B5699" s="65" t="s">
        <v>6269</v>
      </c>
      <c r="C5699" s="65" t="s">
        <v>795</v>
      </c>
    </row>
    <row r="5700" spans="1:3" hidden="1">
      <c r="A5700" s="65">
        <v>9007683</v>
      </c>
      <c r="B5700" s="65" t="s">
        <v>6270</v>
      </c>
      <c r="C5700" s="65" t="s">
        <v>805</v>
      </c>
    </row>
    <row r="5701" spans="1:3" hidden="1">
      <c r="A5701" s="65">
        <v>9007684</v>
      </c>
      <c r="B5701" s="65" t="s">
        <v>6271</v>
      </c>
      <c r="C5701" s="65" t="s">
        <v>805</v>
      </c>
    </row>
    <row r="5702" spans="1:3" hidden="1">
      <c r="A5702" s="65">
        <v>9007685</v>
      </c>
      <c r="B5702" s="65" t="s">
        <v>6272</v>
      </c>
      <c r="C5702" s="65" t="s">
        <v>805</v>
      </c>
    </row>
    <row r="5703" spans="1:3" hidden="1">
      <c r="A5703" s="65">
        <v>9007686</v>
      </c>
      <c r="B5703" s="65" t="s">
        <v>6273</v>
      </c>
      <c r="C5703" s="65" t="s">
        <v>805</v>
      </c>
    </row>
    <row r="5704" spans="1:3" hidden="1">
      <c r="A5704" s="65">
        <v>9007687</v>
      </c>
      <c r="B5704" s="65" t="s">
        <v>6274</v>
      </c>
      <c r="C5704" s="65" t="s">
        <v>942</v>
      </c>
    </row>
    <row r="5705" spans="1:3" hidden="1">
      <c r="A5705" s="65">
        <v>9007688</v>
      </c>
      <c r="B5705" s="65" t="s">
        <v>6275</v>
      </c>
      <c r="C5705" s="65" t="s">
        <v>942</v>
      </c>
    </row>
    <row r="5706" spans="1:3" hidden="1">
      <c r="A5706" s="65">
        <v>9007689</v>
      </c>
      <c r="B5706" s="65" t="s">
        <v>6276</v>
      </c>
      <c r="C5706" s="65" t="s">
        <v>738</v>
      </c>
    </row>
    <row r="5707" spans="1:3" hidden="1">
      <c r="A5707" s="65">
        <v>9007690</v>
      </c>
      <c r="B5707" s="65" t="s">
        <v>6277</v>
      </c>
      <c r="C5707" s="65" t="s">
        <v>942</v>
      </c>
    </row>
    <row r="5708" spans="1:3" hidden="1">
      <c r="A5708" s="65">
        <v>9007691</v>
      </c>
      <c r="B5708" s="65" t="s">
        <v>6278</v>
      </c>
      <c r="C5708" s="65" t="s">
        <v>942</v>
      </c>
    </row>
    <row r="5709" spans="1:3" hidden="1">
      <c r="A5709" s="65">
        <v>9007692</v>
      </c>
      <c r="B5709" s="65" t="s">
        <v>6279</v>
      </c>
      <c r="C5709" s="65" t="s">
        <v>942</v>
      </c>
    </row>
    <row r="5710" spans="1:3" hidden="1">
      <c r="A5710" s="65">
        <v>9007699</v>
      </c>
      <c r="B5710" s="65" t="s">
        <v>6280</v>
      </c>
      <c r="C5710" s="65" t="s">
        <v>786</v>
      </c>
    </row>
    <row r="5711" spans="1:3" hidden="1">
      <c r="A5711" s="65">
        <v>9007700</v>
      </c>
      <c r="B5711" s="65" t="s">
        <v>6281</v>
      </c>
      <c r="C5711" s="65" t="s">
        <v>942</v>
      </c>
    </row>
    <row r="5712" spans="1:3" hidden="1">
      <c r="A5712" s="65">
        <v>9007701</v>
      </c>
      <c r="B5712" s="65" t="s">
        <v>6282</v>
      </c>
      <c r="C5712" s="65" t="s">
        <v>942</v>
      </c>
    </row>
    <row r="5713" spans="1:3" hidden="1">
      <c r="A5713" s="65">
        <v>9007702</v>
      </c>
      <c r="B5713" s="65" t="s">
        <v>6283</v>
      </c>
      <c r="C5713" s="65" t="s">
        <v>942</v>
      </c>
    </row>
    <row r="5714" spans="1:3" hidden="1">
      <c r="A5714" s="65">
        <v>9007703</v>
      </c>
      <c r="B5714" s="65" t="s">
        <v>6284</v>
      </c>
      <c r="C5714" s="65" t="s">
        <v>743</v>
      </c>
    </row>
    <row r="5715" spans="1:3" hidden="1">
      <c r="A5715" s="65">
        <v>9007704</v>
      </c>
      <c r="B5715" s="65" t="s">
        <v>6285</v>
      </c>
      <c r="C5715" s="65" t="s">
        <v>807</v>
      </c>
    </row>
    <row r="5716" spans="1:3" hidden="1">
      <c r="A5716" s="65">
        <v>9007705</v>
      </c>
      <c r="B5716" s="65" t="s">
        <v>6286</v>
      </c>
      <c r="C5716" s="65" t="s">
        <v>741</v>
      </c>
    </row>
    <row r="5717" spans="1:3" hidden="1">
      <c r="A5717" s="65">
        <v>9007706</v>
      </c>
      <c r="B5717" s="65" t="s">
        <v>6287</v>
      </c>
      <c r="C5717" s="65" t="s">
        <v>813</v>
      </c>
    </row>
    <row r="5718" spans="1:3" hidden="1">
      <c r="A5718" s="65">
        <v>9007707</v>
      </c>
      <c r="B5718" s="65" t="s">
        <v>6288</v>
      </c>
      <c r="C5718" s="65" t="s">
        <v>942</v>
      </c>
    </row>
    <row r="5719" spans="1:3" hidden="1">
      <c r="A5719" s="65">
        <v>9007708</v>
      </c>
      <c r="B5719" s="65" t="s">
        <v>6289</v>
      </c>
      <c r="C5719" s="65" t="s">
        <v>942</v>
      </c>
    </row>
    <row r="5720" spans="1:3" hidden="1">
      <c r="A5720" s="65">
        <v>9007709</v>
      </c>
      <c r="B5720" s="65" t="s">
        <v>6290</v>
      </c>
      <c r="C5720" s="65" t="s">
        <v>738</v>
      </c>
    </row>
    <row r="5721" spans="1:3" hidden="1">
      <c r="A5721" s="65">
        <v>9007710</v>
      </c>
      <c r="B5721" s="65" t="s">
        <v>6291</v>
      </c>
      <c r="C5721" s="65" t="s">
        <v>1181</v>
      </c>
    </row>
    <row r="5722" spans="1:3" hidden="1">
      <c r="A5722" s="65">
        <v>9007711</v>
      </c>
      <c r="B5722" s="65" t="s">
        <v>6292</v>
      </c>
      <c r="C5722" s="65" t="s">
        <v>1181</v>
      </c>
    </row>
    <row r="5723" spans="1:3" hidden="1">
      <c r="A5723" s="65">
        <v>9007712</v>
      </c>
      <c r="B5723" s="65" t="s">
        <v>6293</v>
      </c>
      <c r="C5723" s="65" t="s">
        <v>1181</v>
      </c>
    </row>
    <row r="5724" spans="1:3" hidden="1">
      <c r="A5724" s="65">
        <v>9007713</v>
      </c>
      <c r="B5724" s="65" t="s">
        <v>6294</v>
      </c>
      <c r="C5724" s="65" t="s">
        <v>813</v>
      </c>
    </row>
    <row r="5725" spans="1:3" hidden="1">
      <c r="A5725" s="65">
        <v>9007714</v>
      </c>
      <c r="B5725" s="65" t="s">
        <v>6295</v>
      </c>
      <c r="C5725" s="65" t="s">
        <v>670</v>
      </c>
    </row>
    <row r="5726" spans="1:3" hidden="1">
      <c r="A5726" s="65">
        <v>9007715</v>
      </c>
      <c r="B5726" s="65" t="s">
        <v>6296</v>
      </c>
      <c r="C5726" s="65" t="s">
        <v>683</v>
      </c>
    </row>
    <row r="5727" spans="1:3" hidden="1">
      <c r="A5727" s="65">
        <v>9007716</v>
      </c>
      <c r="B5727" s="65" t="s">
        <v>6297</v>
      </c>
      <c r="C5727" s="65" t="s">
        <v>1101</v>
      </c>
    </row>
    <row r="5728" spans="1:3" hidden="1">
      <c r="A5728" s="65">
        <v>9007717</v>
      </c>
      <c r="B5728" s="65" t="s">
        <v>6298</v>
      </c>
      <c r="C5728" s="65" t="s">
        <v>1181</v>
      </c>
    </row>
    <row r="5729" spans="1:3" hidden="1">
      <c r="A5729" s="65">
        <v>9007718</v>
      </c>
      <c r="B5729" s="65" t="s">
        <v>6299</v>
      </c>
      <c r="C5729" s="65" t="s">
        <v>1181</v>
      </c>
    </row>
    <row r="5730" spans="1:3" hidden="1">
      <c r="A5730" s="65">
        <v>9007719</v>
      </c>
      <c r="B5730" s="65" t="s">
        <v>6300</v>
      </c>
      <c r="C5730" s="65" t="s">
        <v>942</v>
      </c>
    </row>
    <row r="5731" spans="1:3" hidden="1">
      <c r="A5731" s="65">
        <v>9007720</v>
      </c>
      <c r="B5731" s="65" t="s">
        <v>6301</v>
      </c>
      <c r="C5731" s="65" t="s">
        <v>942</v>
      </c>
    </row>
    <row r="5732" spans="1:3" hidden="1">
      <c r="A5732" s="65">
        <v>9007721</v>
      </c>
      <c r="B5732" s="65" t="s">
        <v>6302</v>
      </c>
      <c r="C5732" s="65" t="s">
        <v>942</v>
      </c>
    </row>
    <row r="5733" spans="1:3" hidden="1">
      <c r="A5733" s="65">
        <v>9007722</v>
      </c>
      <c r="B5733" s="65" t="s">
        <v>6303</v>
      </c>
      <c r="C5733" s="65" t="s">
        <v>942</v>
      </c>
    </row>
    <row r="5734" spans="1:3" hidden="1">
      <c r="A5734" s="65">
        <v>9007723</v>
      </c>
      <c r="B5734" s="65" t="s">
        <v>6304</v>
      </c>
      <c r="C5734" s="65" t="s">
        <v>942</v>
      </c>
    </row>
    <row r="5735" spans="1:3" hidden="1">
      <c r="A5735" s="65">
        <v>9007724</v>
      </c>
      <c r="B5735" s="65" t="s">
        <v>6305</v>
      </c>
      <c r="C5735" s="65" t="s">
        <v>942</v>
      </c>
    </row>
    <row r="5736" spans="1:3" hidden="1">
      <c r="A5736" s="65">
        <v>9007725</v>
      </c>
      <c r="B5736" s="65" t="s">
        <v>6306</v>
      </c>
      <c r="C5736" s="65" t="s">
        <v>942</v>
      </c>
    </row>
    <row r="5737" spans="1:3" hidden="1">
      <c r="A5737" s="65">
        <v>9007726</v>
      </c>
      <c r="B5737" s="65" t="s">
        <v>6307</v>
      </c>
      <c r="C5737" s="65" t="s">
        <v>751</v>
      </c>
    </row>
    <row r="5738" spans="1:3" hidden="1">
      <c r="A5738" s="65">
        <v>9007727</v>
      </c>
      <c r="B5738" s="65" t="s">
        <v>6308</v>
      </c>
      <c r="C5738" s="65" t="s">
        <v>942</v>
      </c>
    </row>
    <row r="5739" spans="1:3" hidden="1">
      <c r="A5739" s="65">
        <v>9007728</v>
      </c>
      <c r="B5739" s="65" t="s">
        <v>6309</v>
      </c>
      <c r="C5739" s="65" t="s">
        <v>942</v>
      </c>
    </row>
    <row r="5740" spans="1:3" hidden="1">
      <c r="A5740" s="65">
        <v>9007729</v>
      </c>
      <c r="B5740" s="65" t="s">
        <v>6310</v>
      </c>
      <c r="C5740" s="65" t="s">
        <v>807</v>
      </c>
    </row>
    <row r="5741" spans="1:3" hidden="1">
      <c r="A5741" s="65">
        <v>9007730</v>
      </c>
      <c r="B5741" s="65" t="s">
        <v>6311</v>
      </c>
      <c r="C5741" s="65" t="s">
        <v>807</v>
      </c>
    </row>
    <row r="5742" spans="1:3" hidden="1">
      <c r="A5742" s="65">
        <v>9007731</v>
      </c>
      <c r="B5742" s="65" t="s">
        <v>6312</v>
      </c>
      <c r="C5742" s="65" t="s">
        <v>807</v>
      </c>
    </row>
    <row r="5743" spans="1:3" hidden="1">
      <c r="A5743" s="65">
        <v>9007732</v>
      </c>
      <c r="B5743" s="65" t="s">
        <v>6313</v>
      </c>
      <c r="C5743" s="65" t="s">
        <v>807</v>
      </c>
    </row>
    <row r="5744" spans="1:3" hidden="1">
      <c r="A5744" s="65">
        <v>9007733</v>
      </c>
      <c r="B5744" s="65" t="s">
        <v>6314</v>
      </c>
      <c r="C5744" s="65" t="s">
        <v>942</v>
      </c>
    </row>
    <row r="5745" spans="1:3" hidden="1">
      <c r="A5745" s="65">
        <v>9007734</v>
      </c>
      <c r="B5745" s="65" t="s">
        <v>6315</v>
      </c>
      <c r="C5745" s="65" t="s">
        <v>942</v>
      </c>
    </row>
    <row r="5746" spans="1:3" hidden="1">
      <c r="A5746" s="65">
        <v>9007735</v>
      </c>
      <c r="B5746" s="65" t="s">
        <v>6316</v>
      </c>
      <c r="C5746" s="65" t="s">
        <v>942</v>
      </c>
    </row>
    <row r="5747" spans="1:3" hidden="1">
      <c r="A5747" s="65">
        <v>9007736</v>
      </c>
      <c r="B5747" s="65" t="s">
        <v>6317</v>
      </c>
      <c r="C5747" s="65" t="s">
        <v>807</v>
      </c>
    </row>
    <row r="5748" spans="1:3" hidden="1">
      <c r="A5748" s="65">
        <v>9007737</v>
      </c>
      <c r="B5748" s="65" t="s">
        <v>6318</v>
      </c>
      <c r="C5748" s="65" t="s">
        <v>807</v>
      </c>
    </row>
    <row r="5749" spans="1:3" hidden="1">
      <c r="A5749" s="65">
        <v>9007738</v>
      </c>
      <c r="B5749" s="65" t="s">
        <v>6319</v>
      </c>
      <c r="C5749" s="65" t="s">
        <v>942</v>
      </c>
    </row>
    <row r="5750" spans="1:3" hidden="1">
      <c r="A5750" s="65">
        <v>9007739</v>
      </c>
      <c r="B5750" s="65" t="s">
        <v>6320</v>
      </c>
      <c r="C5750" s="65" t="s">
        <v>942</v>
      </c>
    </row>
    <row r="5751" spans="1:3" hidden="1">
      <c r="A5751" s="65">
        <v>9007740</v>
      </c>
      <c r="B5751" s="65" t="s">
        <v>6321</v>
      </c>
      <c r="C5751" s="65" t="s">
        <v>942</v>
      </c>
    </row>
    <row r="5752" spans="1:3" hidden="1">
      <c r="A5752" s="65">
        <v>9007741</v>
      </c>
      <c r="B5752" s="65" t="s">
        <v>6322</v>
      </c>
      <c r="C5752" s="65" t="s">
        <v>683</v>
      </c>
    </row>
    <row r="5753" spans="1:3" hidden="1">
      <c r="A5753" s="65">
        <v>9007742</v>
      </c>
      <c r="B5753" s="65" t="s">
        <v>6323</v>
      </c>
      <c r="C5753" s="65" t="s">
        <v>683</v>
      </c>
    </row>
    <row r="5754" spans="1:3" hidden="1">
      <c r="A5754" s="65">
        <v>9007743</v>
      </c>
      <c r="B5754" s="65" t="s">
        <v>6324</v>
      </c>
      <c r="C5754" s="65" t="s">
        <v>743</v>
      </c>
    </row>
    <row r="5755" spans="1:3" hidden="1">
      <c r="A5755" s="65">
        <v>9007744</v>
      </c>
      <c r="B5755" s="65" t="s">
        <v>6325</v>
      </c>
      <c r="C5755" s="65" t="s">
        <v>805</v>
      </c>
    </row>
    <row r="5756" spans="1:3" hidden="1">
      <c r="A5756" s="65">
        <v>9007745</v>
      </c>
      <c r="B5756" s="65" t="s">
        <v>6326</v>
      </c>
      <c r="C5756" s="65" t="s">
        <v>1101</v>
      </c>
    </row>
    <row r="5757" spans="1:3" hidden="1">
      <c r="A5757" s="65">
        <v>9007746</v>
      </c>
      <c r="B5757" s="65" t="s">
        <v>6327</v>
      </c>
      <c r="C5757" s="65" t="s">
        <v>1101</v>
      </c>
    </row>
    <row r="5758" spans="1:3" hidden="1">
      <c r="A5758" s="65">
        <v>9007747</v>
      </c>
      <c r="B5758" s="65" t="s">
        <v>6328</v>
      </c>
      <c r="C5758" s="65" t="s">
        <v>1101</v>
      </c>
    </row>
    <row r="5759" spans="1:3" hidden="1">
      <c r="A5759" s="65">
        <v>9007748</v>
      </c>
      <c r="B5759" s="65" t="s">
        <v>6329</v>
      </c>
      <c r="C5759" s="65" t="s">
        <v>805</v>
      </c>
    </row>
    <row r="5760" spans="1:3" hidden="1">
      <c r="A5760" s="65">
        <v>9007749</v>
      </c>
      <c r="B5760" s="65" t="s">
        <v>6330</v>
      </c>
      <c r="C5760" s="65" t="s">
        <v>942</v>
      </c>
    </row>
    <row r="5761" spans="1:3" hidden="1">
      <c r="A5761" s="65">
        <v>9007750</v>
      </c>
      <c r="B5761" s="65" t="s">
        <v>6331</v>
      </c>
      <c r="C5761" s="65" t="s">
        <v>683</v>
      </c>
    </row>
    <row r="5762" spans="1:3" hidden="1">
      <c r="A5762" s="65">
        <v>9007751</v>
      </c>
      <c r="B5762" s="65" t="s">
        <v>6332</v>
      </c>
      <c r="C5762" s="65" t="s">
        <v>683</v>
      </c>
    </row>
    <row r="5763" spans="1:3" hidden="1">
      <c r="A5763" s="65">
        <v>9007752</v>
      </c>
      <c r="B5763" s="65" t="s">
        <v>6333</v>
      </c>
      <c r="C5763" s="65" t="s">
        <v>683</v>
      </c>
    </row>
    <row r="5764" spans="1:3" hidden="1">
      <c r="A5764" s="65">
        <v>9007753</v>
      </c>
      <c r="B5764" s="65" t="s">
        <v>6334</v>
      </c>
      <c r="C5764" s="65" t="s">
        <v>693</v>
      </c>
    </row>
    <row r="5765" spans="1:3" hidden="1">
      <c r="A5765" s="65">
        <v>9007754</v>
      </c>
      <c r="B5765" s="65" t="s">
        <v>6335</v>
      </c>
      <c r="C5765" s="65" t="s">
        <v>751</v>
      </c>
    </row>
    <row r="5766" spans="1:3" hidden="1">
      <c r="A5766" s="65">
        <v>9007755</v>
      </c>
      <c r="B5766" s="65" t="s">
        <v>6336</v>
      </c>
      <c r="C5766" s="65" t="s">
        <v>995</v>
      </c>
    </row>
    <row r="5767" spans="1:3" hidden="1">
      <c r="A5767" s="65">
        <v>9007756</v>
      </c>
      <c r="B5767" s="65" t="s">
        <v>6337</v>
      </c>
      <c r="C5767" s="65" t="s">
        <v>995</v>
      </c>
    </row>
    <row r="5768" spans="1:3" hidden="1">
      <c r="A5768" s="65">
        <v>9007757</v>
      </c>
      <c r="B5768" s="65" t="s">
        <v>6338</v>
      </c>
      <c r="C5768" s="65" t="s">
        <v>995</v>
      </c>
    </row>
    <row r="5769" spans="1:3" hidden="1">
      <c r="A5769" s="65">
        <v>9007758</v>
      </c>
      <c r="B5769" s="65" t="s">
        <v>6339</v>
      </c>
      <c r="C5769" s="65" t="s">
        <v>763</v>
      </c>
    </row>
    <row r="5770" spans="1:3" hidden="1">
      <c r="A5770" s="65">
        <v>9007759</v>
      </c>
      <c r="B5770" s="65" t="s">
        <v>6340</v>
      </c>
      <c r="C5770" s="65" t="s">
        <v>805</v>
      </c>
    </row>
    <row r="5771" spans="1:3" hidden="1">
      <c r="A5771" s="65">
        <v>9007760</v>
      </c>
      <c r="B5771" s="65" t="s">
        <v>6341</v>
      </c>
      <c r="C5771" s="65" t="s">
        <v>738</v>
      </c>
    </row>
    <row r="5772" spans="1:3" hidden="1">
      <c r="A5772" s="65">
        <v>9007761</v>
      </c>
      <c r="B5772" s="65" t="s">
        <v>6342</v>
      </c>
      <c r="C5772" s="65" t="s">
        <v>751</v>
      </c>
    </row>
    <row r="5773" spans="1:3" hidden="1">
      <c r="A5773" s="65">
        <v>9007762</v>
      </c>
      <c r="B5773" s="65" t="s">
        <v>6343</v>
      </c>
      <c r="C5773" s="65" t="s">
        <v>751</v>
      </c>
    </row>
    <row r="5774" spans="1:3" hidden="1">
      <c r="A5774" s="65">
        <v>9007763</v>
      </c>
      <c r="B5774" s="65" t="s">
        <v>6344</v>
      </c>
      <c r="C5774" s="65" t="s">
        <v>942</v>
      </c>
    </row>
    <row r="5775" spans="1:3" hidden="1">
      <c r="A5775" s="65">
        <v>9007764</v>
      </c>
      <c r="B5775" s="65" t="s">
        <v>6345</v>
      </c>
      <c r="C5775" s="65" t="s">
        <v>942</v>
      </c>
    </row>
    <row r="5776" spans="1:3" hidden="1">
      <c r="A5776" s="65">
        <v>9007765</v>
      </c>
      <c r="B5776" s="65" t="s">
        <v>6346</v>
      </c>
      <c r="C5776" s="65" t="s">
        <v>942</v>
      </c>
    </row>
    <row r="5777" spans="1:3" hidden="1">
      <c r="A5777" s="65">
        <v>9007766</v>
      </c>
      <c r="B5777" s="65" t="s">
        <v>6347</v>
      </c>
      <c r="C5777" s="65" t="s">
        <v>942</v>
      </c>
    </row>
    <row r="5778" spans="1:3" hidden="1">
      <c r="A5778" s="65">
        <v>9007767</v>
      </c>
      <c r="B5778" s="65" t="s">
        <v>6348</v>
      </c>
      <c r="C5778" s="65" t="s">
        <v>942</v>
      </c>
    </row>
    <row r="5779" spans="1:3" hidden="1">
      <c r="A5779" s="65">
        <v>9007769</v>
      </c>
      <c r="B5779" s="65" t="s">
        <v>6349</v>
      </c>
      <c r="C5779" s="65" t="s">
        <v>805</v>
      </c>
    </row>
    <row r="5780" spans="1:3" hidden="1">
      <c r="A5780" s="65">
        <v>9007770</v>
      </c>
      <c r="B5780" s="65" t="s">
        <v>6350</v>
      </c>
      <c r="C5780" s="65" t="s">
        <v>775</v>
      </c>
    </row>
    <row r="5781" spans="1:3" hidden="1">
      <c r="A5781" s="65">
        <v>9007771</v>
      </c>
      <c r="B5781" s="65" t="s">
        <v>6351</v>
      </c>
      <c r="C5781" s="65" t="s">
        <v>745</v>
      </c>
    </row>
    <row r="5782" spans="1:3" hidden="1">
      <c r="A5782" s="65">
        <v>9007772</v>
      </c>
      <c r="B5782" s="65" t="s">
        <v>6352</v>
      </c>
      <c r="C5782" s="65" t="s">
        <v>745</v>
      </c>
    </row>
    <row r="5783" spans="1:3" hidden="1">
      <c r="A5783" s="65">
        <v>9007773</v>
      </c>
      <c r="B5783" s="65" t="s">
        <v>6353</v>
      </c>
      <c r="C5783" s="65" t="s">
        <v>805</v>
      </c>
    </row>
    <row r="5784" spans="1:3" hidden="1">
      <c r="A5784" s="65">
        <v>9007774</v>
      </c>
      <c r="B5784" s="65" t="s">
        <v>6354</v>
      </c>
      <c r="C5784" s="65" t="s">
        <v>850</v>
      </c>
    </row>
    <row r="5785" spans="1:3" hidden="1">
      <c r="A5785" s="65">
        <v>9007775</v>
      </c>
      <c r="B5785" s="65" t="s">
        <v>6355</v>
      </c>
      <c r="C5785" s="65" t="s">
        <v>805</v>
      </c>
    </row>
    <row r="5786" spans="1:3" hidden="1">
      <c r="A5786" s="65">
        <v>9007776</v>
      </c>
      <c r="B5786" s="65" t="s">
        <v>6356</v>
      </c>
      <c r="C5786" s="65" t="s">
        <v>745</v>
      </c>
    </row>
    <row r="5787" spans="1:3" hidden="1">
      <c r="A5787" s="65">
        <v>9007777</v>
      </c>
      <c r="B5787" s="65" t="s">
        <v>6357</v>
      </c>
      <c r="C5787" s="65" t="s">
        <v>775</v>
      </c>
    </row>
    <row r="5788" spans="1:3" hidden="1">
      <c r="A5788" s="65">
        <v>9007778</v>
      </c>
      <c r="B5788" s="65" t="s">
        <v>6358</v>
      </c>
      <c r="C5788" s="65" t="s">
        <v>942</v>
      </c>
    </row>
    <row r="5789" spans="1:3" hidden="1">
      <c r="A5789" s="65">
        <v>9007779</v>
      </c>
      <c r="B5789" s="65" t="s">
        <v>6359</v>
      </c>
      <c r="C5789" s="65" t="s">
        <v>1425</v>
      </c>
    </row>
    <row r="5790" spans="1:3" hidden="1">
      <c r="A5790" s="65">
        <v>9007780</v>
      </c>
      <c r="B5790" s="65" t="s">
        <v>6360</v>
      </c>
      <c r="C5790" s="65" t="s">
        <v>807</v>
      </c>
    </row>
    <row r="5791" spans="1:3" hidden="1">
      <c r="A5791" s="65">
        <v>9007781</v>
      </c>
      <c r="B5791" s="65" t="s">
        <v>6361</v>
      </c>
      <c r="C5791" s="65" t="s">
        <v>807</v>
      </c>
    </row>
    <row r="5792" spans="1:3" hidden="1">
      <c r="A5792" s="65">
        <v>9007782</v>
      </c>
      <c r="B5792" s="65" t="s">
        <v>6362</v>
      </c>
      <c r="C5792" s="65" t="s">
        <v>786</v>
      </c>
    </row>
    <row r="5793" spans="1:3" hidden="1">
      <c r="A5793" s="65">
        <v>9007783</v>
      </c>
      <c r="B5793" s="65" t="s">
        <v>6363</v>
      </c>
      <c r="C5793" s="65" t="s">
        <v>807</v>
      </c>
    </row>
    <row r="5794" spans="1:3" hidden="1">
      <c r="A5794" s="65">
        <v>9007784</v>
      </c>
      <c r="B5794" s="65" t="s">
        <v>6364</v>
      </c>
      <c r="C5794" s="65" t="s">
        <v>786</v>
      </c>
    </row>
    <row r="5795" spans="1:3" hidden="1">
      <c r="A5795" s="65">
        <v>9007785</v>
      </c>
      <c r="B5795" s="65" t="s">
        <v>6365</v>
      </c>
      <c r="C5795" s="65" t="s">
        <v>942</v>
      </c>
    </row>
    <row r="5796" spans="1:3" hidden="1">
      <c r="A5796" s="65">
        <v>9007786</v>
      </c>
      <c r="B5796" s="65" t="s">
        <v>6366</v>
      </c>
      <c r="C5796" s="65" t="s">
        <v>5609</v>
      </c>
    </row>
    <row r="5797" spans="1:3" hidden="1">
      <c r="A5797" s="65">
        <v>9007787</v>
      </c>
      <c r="B5797" s="65" t="s">
        <v>6367</v>
      </c>
      <c r="C5797" s="65" t="s">
        <v>942</v>
      </c>
    </row>
    <row r="5798" spans="1:3" hidden="1">
      <c r="A5798" s="65">
        <v>9007788</v>
      </c>
      <c r="B5798" s="65" t="s">
        <v>6368</v>
      </c>
      <c r="C5798" s="65" t="s">
        <v>942</v>
      </c>
    </row>
    <row r="5799" spans="1:3" hidden="1">
      <c r="A5799" s="65">
        <v>9007789</v>
      </c>
      <c r="B5799" s="65" t="s">
        <v>6369</v>
      </c>
      <c r="C5799" s="65" t="s">
        <v>942</v>
      </c>
    </row>
    <row r="5800" spans="1:3" hidden="1">
      <c r="A5800" s="65">
        <v>9007790</v>
      </c>
      <c r="B5800" s="65" t="s">
        <v>6370</v>
      </c>
      <c r="C5800" s="65" t="s">
        <v>942</v>
      </c>
    </row>
    <row r="5801" spans="1:3" hidden="1">
      <c r="A5801" s="65">
        <v>9007791</v>
      </c>
      <c r="B5801" s="65" t="s">
        <v>6371</v>
      </c>
      <c r="C5801" s="65" t="s">
        <v>942</v>
      </c>
    </row>
    <row r="5802" spans="1:3" hidden="1">
      <c r="A5802" s="65">
        <v>9007792</v>
      </c>
      <c r="B5802" s="65" t="s">
        <v>6372</v>
      </c>
      <c r="C5802" s="65" t="s">
        <v>942</v>
      </c>
    </row>
    <row r="5803" spans="1:3" hidden="1">
      <c r="A5803" s="65">
        <v>9007793</v>
      </c>
      <c r="B5803" s="65" t="s">
        <v>6373</v>
      </c>
      <c r="C5803" s="65" t="s">
        <v>942</v>
      </c>
    </row>
    <row r="5804" spans="1:3" hidden="1">
      <c r="A5804" s="65">
        <v>9007794</v>
      </c>
      <c r="B5804" s="65" t="s">
        <v>6374</v>
      </c>
      <c r="C5804" s="65" t="s">
        <v>942</v>
      </c>
    </row>
    <row r="5805" spans="1:3" hidden="1">
      <c r="A5805" s="65">
        <v>9007795</v>
      </c>
      <c r="B5805" s="65" t="s">
        <v>6375</v>
      </c>
      <c r="C5805" s="65" t="s">
        <v>942</v>
      </c>
    </row>
    <row r="5806" spans="1:3" hidden="1">
      <c r="A5806" s="65">
        <v>9007796</v>
      </c>
      <c r="B5806" s="65" t="s">
        <v>6376</v>
      </c>
      <c r="C5806" s="65" t="s">
        <v>942</v>
      </c>
    </row>
    <row r="5807" spans="1:3" hidden="1">
      <c r="A5807" s="65">
        <v>9007797</v>
      </c>
      <c r="B5807" s="65" t="s">
        <v>6377</v>
      </c>
      <c r="C5807" s="65" t="s">
        <v>942</v>
      </c>
    </row>
    <row r="5808" spans="1:3" hidden="1">
      <c r="A5808" s="65">
        <v>9007798</v>
      </c>
      <c r="B5808" s="65" t="s">
        <v>6378</v>
      </c>
      <c r="C5808" s="65" t="s">
        <v>942</v>
      </c>
    </row>
    <row r="5809" spans="1:3" hidden="1">
      <c r="A5809" s="65">
        <v>9007799</v>
      </c>
      <c r="B5809" s="65" t="s">
        <v>6379</v>
      </c>
      <c r="C5809" s="65" t="s">
        <v>942</v>
      </c>
    </row>
    <row r="5810" spans="1:3" hidden="1">
      <c r="A5810" s="65">
        <v>9007800</v>
      </c>
      <c r="B5810" s="65" t="s">
        <v>6380</v>
      </c>
      <c r="C5810" s="65" t="s">
        <v>805</v>
      </c>
    </row>
    <row r="5811" spans="1:3" hidden="1">
      <c r="A5811" s="65">
        <v>9007801</v>
      </c>
      <c r="B5811" s="65" t="s">
        <v>6381</v>
      </c>
      <c r="C5811" s="65" t="s">
        <v>805</v>
      </c>
    </row>
    <row r="5812" spans="1:3" hidden="1">
      <c r="A5812" s="65">
        <v>9007802</v>
      </c>
      <c r="B5812" s="65" t="s">
        <v>6382</v>
      </c>
      <c r="C5812" s="65" t="s">
        <v>805</v>
      </c>
    </row>
    <row r="5813" spans="1:3" hidden="1">
      <c r="A5813" s="65">
        <v>9007803</v>
      </c>
      <c r="B5813" s="65" t="s">
        <v>6383</v>
      </c>
      <c r="C5813" s="65" t="s">
        <v>805</v>
      </c>
    </row>
    <row r="5814" spans="1:3" hidden="1">
      <c r="A5814" s="65">
        <v>9007804</v>
      </c>
      <c r="B5814" s="65" t="s">
        <v>6384</v>
      </c>
      <c r="C5814" s="65" t="s">
        <v>738</v>
      </c>
    </row>
    <row r="5815" spans="1:3" hidden="1">
      <c r="A5815" s="65">
        <v>9007809</v>
      </c>
      <c r="B5815" s="65" t="s">
        <v>6385</v>
      </c>
      <c r="C5815" s="65" t="s">
        <v>893</v>
      </c>
    </row>
    <row r="5816" spans="1:3" hidden="1">
      <c r="A5816" s="65">
        <v>9007810</v>
      </c>
      <c r="B5816" s="65" t="s">
        <v>6386</v>
      </c>
      <c r="C5816" s="65" t="s">
        <v>942</v>
      </c>
    </row>
    <row r="5817" spans="1:3" hidden="1">
      <c r="A5817" s="65">
        <v>9007811</v>
      </c>
      <c r="B5817" s="65" t="s">
        <v>6387</v>
      </c>
      <c r="C5817" s="65" t="s">
        <v>942</v>
      </c>
    </row>
    <row r="5818" spans="1:3" hidden="1">
      <c r="A5818" s="65">
        <v>9007812</v>
      </c>
      <c r="B5818" s="65" t="s">
        <v>6388</v>
      </c>
      <c r="C5818" s="65" t="s">
        <v>942</v>
      </c>
    </row>
    <row r="5819" spans="1:3" hidden="1">
      <c r="A5819" s="65">
        <v>9007813</v>
      </c>
      <c r="B5819" s="65" t="s">
        <v>6389</v>
      </c>
      <c r="C5819" s="65" t="s">
        <v>942</v>
      </c>
    </row>
    <row r="5820" spans="1:3" hidden="1">
      <c r="A5820" s="65">
        <v>9007814</v>
      </c>
      <c r="B5820" s="65" t="s">
        <v>6390</v>
      </c>
      <c r="C5820" s="65" t="s">
        <v>751</v>
      </c>
    </row>
    <row r="5821" spans="1:3" hidden="1">
      <c r="A5821" s="65">
        <v>9007815</v>
      </c>
      <c r="B5821" s="65" t="s">
        <v>6391</v>
      </c>
      <c r="C5821" s="65" t="s">
        <v>751</v>
      </c>
    </row>
    <row r="5822" spans="1:3" hidden="1">
      <c r="A5822" s="65">
        <v>9007816</v>
      </c>
      <c r="B5822" s="65" t="s">
        <v>6392</v>
      </c>
      <c r="C5822" s="65" t="s">
        <v>738</v>
      </c>
    </row>
    <row r="5823" spans="1:3" hidden="1">
      <c r="A5823" s="65">
        <v>9007817</v>
      </c>
      <c r="B5823" s="65" t="s">
        <v>6393</v>
      </c>
      <c r="C5823" s="65" t="s">
        <v>805</v>
      </c>
    </row>
    <row r="5824" spans="1:3" hidden="1">
      <c r="A5824" s="65">
        <v>9007818</v>
      </c>
      <c r="B5824" s="65" t="s">
        <v>6394</v>
      </c>
      <c r="C5824" s="65" t="s">
        <v>805</v>
      </c>
    </row>
    <row r="5825" spans="1:3" hidden="1">
      <c r="A5825" s="65">
        <v>9007819</v>
      </c>
      <c r="B5825" s="65" t="s">
        <v>6395</v>
      </c>
      <c r="C5825" s="65" t="s">
        <v>683</v>
      </c>
    </row>
    <row r="5826" spans="1:3" hidden="1">
      <c r="A5826" s="65">
        <v>9007820</v>
      </c>
      <c r="B5826" s="65" t="s">
        <v>6396</v>
      </c>
      <c r="C5826" s="65" t="s">
        <v>738</v>
      </c>
    </row>
    <row r="5827" spans="1:3" hidden="1">
      <c r="A5827" s="65">
        <v>9007821</v>
      </c>
      <c r="B5827" s="65" t="s">
        <v>6397</v>
      </c>
      <c r="C5827" s="65" t="s">
        <v>738</v>
      </c>
    </row>
    <row r="5828" spans="1:3" hidden="1">
      <c r="A5828" s="65">
        <v>9007822</v>
      </c>
      <c r="B5828" s="65" t="s">
        <v>6398</v>
      </c>
      <c r="C5828" s="65" t="s">
        <v>738</v>
      </c>
    </row>
    <row r="5829" spans="1:3" hidden="1">
      <c r="A5829" s="65">
        <v>9007823</v>
      </c>
      <c r="B5829" s="65" t="s">
        <v>6399</v>
      </c>
      <c r="C5829" s="65" t="s">
        <v>1101</v>
      </c>
    </row>
    <row r="5830" spans="1:3" hidden="1">
      <c r="A5830" s="65">
        <v>9007824</v>
      </c>
      <c r="B5830" s="65" t="s">
        <v>6400</v>
      </c>
      <c r="C5830" s="65" t="s">
        <v>805</v>
      </c>
    </row>
    <row r="5831" spans="1:3" hidden="1">
      <c r="A5831" s="65">
        <v>9007825</v>
      </c>
      <c r="B5831" s="65" t="s">
        <v>6401</v>
      </c>
      <c r="C5831" s="65" t="s">
        <v>738</v>
      </c>
    </row>
    <row r="5832" spans="1:3" hidden="1">
      <c r="A5832" s="65">
        <v>9007826</v>
      </c>
      <c r="B5832" s="65" t="s">
        <v>6402</v>
      </c>
      <c r="C5832" s="65" t="s">
        <v>942</v>
      </c>
    </row>
    <row r="5833" spans="1:3" hidden="1">
      <c r="A5833" s="65">
        <v>9007827</v>
      </c>
      <c r="B5833" s="65" t="s">
        <v>6403</v>
      </c>
      <c r="C5833" s="65" t="s">
        <v>942</v>
      </c>
    </row>
    <row r="5834" spans="1:3" hidden="1">
      <c r="A5834" s="65">
        <v>9007829</v>
      </c>
      <c r="B5834" s="65" t="s">
        <v>6404</v>
      </c>
      <c r="C5834" s="65" t="s">
        <v>683</v>
      </c>
    </row>
    <row r="5835" spans="1:3" hidden="1">
      <c r="A5835" s="65">
        <v>9007830</v>
      </c>
      <c r="B5835" s="65" t="s">
        <v>6405</v>
      </c>
      <c r="C5835" s="65" t="s">
        <v>751</v>
      </c>
    </row>
    <row r="5836" spans="1:3" hidden="1">
      <c r="A5836" s="65">
        <v>9007831</v>
      </c>
      <c r="B5836" s="65" t="s">
        <v>6406</v>
      </c>
      <c r="C5836" s="65" t="s">
        <v>751</v>
      </c>
    </row>
    <row r="5837" spans="1:3" hidden="1">
      <c r="A5837" s="65">
        <v>9007832</v>
      </c>
      <c r="B5837" s="65" t="s">
        <v>6407</v>
      </c>
      <c r="C5837" s="65" t="s">
        <v>738</v>
      </c>
    </row>
    <row r="5838" spans="1:3" hidden="1">
      <c r="A5838" s="65">
        <v>9007833</v>
      </c>
      <c r="B5838" s="65" t="s">
        <v>6408</v>
      </c>
      <c r="C5838" s="65" t="s">
        <v>738</v>
      </c>
    </row>
    <row r="5839" spans="1:3" hidden="1">
      <c r="A5839" s="65">
        <v>9007834</v>
      </c>
      <c r="B5839" s="65" t="s">
        <v>6409</v>
      </c>
      <c r="C5839" s="65" t="s">
        <v>805</v>
      </c>
    </row>
    <row r="5840" spans="1:3" hidden="1">
      <c r="A5840" s="65">
        <v>9007835</v>
      </c>
      <c r="B5840" s="65" t="s">
        <v>6410</v>
      </c>
      <c r="C5840" s="65" t="s">
        <v>942</v>
      </c>
    </row>
    <row r="5841" spans="1:3" hidden="1">
      <c r="A5841" s="65">
        <v>9007836</v>
      </c>
      <c r="B5841" s="65" t="s">
        <v>6411</v>
      </c>
      <c r="C5841" s="65" t="s">
        <v>942</v>
      </c>
    </row>
    <row r="5842" spans="1:3" hidden="1">
      <c r="A5842" s="65">
        <v>9007837</v>
      </c>
      <c r="B5842" s="65" t="s">
        <v>6412</v>
      </c>
      <c r="C5842" s="65" t="s">
        <v>942</v>
      </c>
    </row>
    <row r="5843" spans="1:3" hidden="1">
      <c r="A5843" s="65">
        <v>9007838</v>
      </c>
      <c r="B5843" s="65" t="s">
        <v>6413</v>
      </c>
      <c r="C5843" s="65" t="s">
        <v>942</v>
      </c>
    </row>
    <row r="5844" spans="1:3" hidden="1">
      <c r="A5844" s="65">
        <v>9007839</v>
      </c>
      <c r="B5844" s="65" t="s">
        <v>6414</v>
      </c>
      <c r="C5844" s="65" t="s">
        <v>793</v>
      </c>
    </row>
    <row r="5845" spans="1:3" hidden="1">
      <c r="A5845" s="65">
        <v>9007840</v>
      </c>
      <c r="B5845" s="65" t="s">
        <v>6415</v>
      </c>
      <c r="C5845" s="65" t="s">
        <v>793</v>
      </c>
    </row>
    <row r="5846" spans="1:3" hidden="1">
      <c r="A5846" s="65">
        <v>9007841</v>
      </c>
      <c r="B5846" s="65" t="s">
        <v>6416</v>
      </c>
      <c r="C5846" s="65" t="s">
        <v>942</v>
      </c>
    </row>
    <row r="5847" spans="1:3" hidden="1">
      <c r="A5847" s="65">
        <v>9007842</v>
      </c>
      <c r="B5847" s="65" t="s">
        <v>6417</v>
      </c>
      <c r="C5847" s="65" t="s">
        <v>942</v>
      </c>
    </row>
    <row r="5848" spans="1:3" hidden="1">
      <c r="A5848" s="65">
        <v>9007843</v>
      </c>
      <c r="B5848" s="65" t="s">
        <v>6418</v>
      </c>
      <c r="C5848" s="65" t="s">
        <v>942</v>
      </c>
    </row>
    <row r="5849" spans="1:3" hidden="1">
      <c r="A5849" s="65">
        <v>9007844</v>
      </c>
      <c r="B5849" s="65" t="s">
        <v>6419</v>
      </c>
      <c r="C5849" s="65" t="s">
        <v>942</v>
      </c>
    </row>
    <row r="5850" spans="1:3" hidden="1">
      <c r="A5850" s="65">
        <v>9007845</v>
      </c>
      <c r="B5850" s="65" t="s">
        <v>6420</v>
      </c>
      <c r="C5850" s="65" t="s">
        <v>942</v>
      </c>
    </row>
    <row r="5851" spans="1:3" hidden="1">
      <c r="A5851" s="65">
        <v>9007846</v>
      </c>
      <c r="B5851" s="65" t="s">
        <v>6421</v>
      </c>
      <c r="C5851" s="65" t="s">
        <v>942</v>
      </c>
    </row>
    <row r="5852" spans="1:3" hidden="1">
      <c r="A5852" s="65">
        <v>9007847</v>
      </c>
      <c r="B5852" s="65" t="s">
        <v>6422</v>
      </c>
      <c r="C5852" s="65" t="s">
        <v>942</v>
      </c>
    </row>
    <row r="5853" spans="1:3" hidden="1">
      <c r="A5853" s="65">
        <v>9007848</v>
      </c>
      <c r="B5853" s="65" t="s">
        <v>6423</v>
      </c>
      <c r="C5853" s="65" t="s">
        <v>738</v>
      </c>
    </row>
    <row r="5854" spans="1:3" hidden="1">
      <c r="A5854" s="65">
        <v>9007849</v>
      </c>
      <c r="B5854" s="65" t="s">
        <v>6424</v>
      </c>
      <c r="C5854" s="65" t="s">
        <v>738</v>
      </c>
    </row>
    <row r="5855" spans="1:3" hidden="1">
      <c r="A5855" s="65">
        <v>9007850</v>
      </c>
      <c r="B5855" s="65" t="s">
        <v>6425</v>
      </c>
      <c r="C5855" s="65" t="s">
        <v>850</v>
      </c>
    </row>
    <row r="5856" spans="1:3" hidden="1">
      <c r="A5856" s="65">
        <v>9007851</v>
      </c>
      <c r="B5856" s="65" t="s">
        <v>6426</v>
      </c>
      <c r="C5856" s="65" t="s">
        <v>850</v>
      </c>
    </row>
    <row r="5857" spans="1:3" hidden="1">
      <c r="A5857" s="65">
        <v>9007852</v>
      </c>
      <c r="B5857" s="65" t="s">
        <v>6427</v>
      </c>
      <c r="C5857" s="65" t="s">
        <v>805</v>
      </c>
    </row>
    <row r="5858" spans="1:3" hidden="1">
      <c r="A5858" s="65">
        <v>9007853</v>
      </c>
      <c r="B5858" s="65" t="s">
        <v>6428</v>
      </c>
      <c r="C5858" s="65" t="s">
        <v>1181</v>
      </c>
    </row>
    <row r="5859" spans="1:3" hidden="1">
      <c r="A5859" s="65">
        <v>9007854</v>
      </c>
      <c r="B5859" s="65" t="s">
        <v>6429</v>
      </c>
      <c r="C5859" s="65" t="s">
        <v>850</v>
      </c>
    </row>
    <row r="5860" spans="1:3" hidden="1">
      <c r="A5860" s="65">
        <v>9007855</v>
      </c>
      <c r="B5860" s="65" t="s">
        <v>6430</v>
      </c>
      <c r="C5860" s="65" t="s">
        <v>850</v>
      </c>
    </row>
    <row r="5861" spans="1:3" hidden="1">
      <c r="A5861" s="65">
        <v>9007856</v>
      </c>
      <c r="B5861" s="65" t="s">
        <v>6431</v>
      </c>
      <c r="C5861" s="65" t="s">
        <v>683</v>
      </c>
    </row>
    <row r="5862" spans="1:3" hidden="1">
      <c r="A5862" s="65">
        <v>9007857</v>
      </c>
      <c r="B5862" s="65" t="s">
        <v>6432</v>
      </c>
      <c r="C5862" s="65" t="s">
        <v>738</v>
      </c>
    </row>
    <row r="5863" spans="1:3" hidden="1">
      <c r="A5863" s="65">
        <v>9007858</v>
      </c>
      <c r="B5863" s="65" t="s">
        <v>6433</v>
      </c>
      <c r="C5863" s="65" t="s">
        <v>805</v>
      </c>
    </row>
    <row r="5864" spans="1:3" hidden="1">
      <c r="A5864" s="65">
        <v>9007859</v>
      </c>
      <c r="B5864" s="65" t="s">
        <v>6434</v>
      </c>
      <c r="C5864" s="65" t="s">
        <v>738</v>
      </c>
    </row>
    <row r="5865" spans="1:3" hidden="1">
      <c r="A5865" s="65">
        <v>9007860</v>
      </c>
      <c r="B5865" s="65" t="s">
        <v>6435</v>
      </c>
      <c r="C5865" s="65" t="s">
        <v>805</v>
      </c>
    </row>
    <row r="5866" spans="1:3" hidden="1">
      <c r="A5866" s="65">
        <v>9007861</v>
      </c>
      <c r="B5866" s="65" t="s">
        <v>6436</v>
      </c>
      <c r="C5866" s="65" t="s">
        <v>805</v>
      </c>
    </row>
    <row r="5867" spans="1:3" hidden="1">
      <c r="A5867" s="65">
        <v>9007862</v>
      </c>
      <c r="B5867" s="65" t="s">
        <v>6437</v>
      </c>
      <c r="C5867" s="65" t="s">
        <v>942</v>
      </c>
    </row>
    <row r="5868" spans="1:3" hidden="1">
      <c r="A5868" s="65">
        <v>9007863</v>
      </c>
      <c r="B5868" s="65" t="s">
        <v>6438</v>
      </c>
      <c r="C5868" s="65" t="s">
        <v>942</v>
      </c>
    </row>
    <row r="5869" spans="1:3" hidden="1">
      <c r="A5869" s="65">
        <v>9007864</v>
      </c>
      <c r="B5869" s="65" t="s">
        <v>6439</v>
      </c>
      <c r="C5869" s="65" t="s">
        <v>683</v>
      </c>
    </row>
    <row r="5870" spans="1:3" hidden="1">
      <c r="A5870" s="65">
        <v>9007865</v>
      </c>
      <c r="B5870" s="65" t="s">
        <v>6440</v>
      </c>
      <c r="C5870" s="65" t="s">
        <v>1181</v>
      </c>
    </row>
    <row r="5871" spans="1:3" hidden="1">
      <c r="A5871" s="65">
        <v>9007866</v>
      </c>
      <c r="B5871" s="65" t="s">
        <v>6441</v>
      </c>
      <c r="C5871" s="65" t="s">
        <v>1181</v>
      </c>
    </row>
    <row r="5872" spans="1:3" hidden="1">
      <c r="A5872" s="65">
        <v>9007867</v>
      </c>
      <c r="B5872" s="65" t="s">
        <v>6442</v>
      </c>
      <c r="C5872" s="65" t="s">
        <v>738</v>
      </c>
    </row>
    <row r="5873" spans="1:3" hidden="1">
      <c r="A5873" s="65">
        <v>9007868</v>
      </c>
      <c r="B5873" s="65" t="s">
        <v>6443</v>
      </c>
      <c r="C5873" s="65" t="s">
        <v>805</v>
      </c>
    </row>
    <row r="5874" spans="1:3" hidden="1">
      <c r="A5874" s="65">
        <v>9007869</v>
      </c>
      <c r="B5874" s="65" t="s">
        <v>6444</v>
      </c>
      <c r="C5874" s="65" t="s">
        <v>738</v>
      </c>
    </row>
    <row r="5875" spans="1:3" hidden="1">
      <c r="A5875" s="65">
        <v>9007870</v>
      </c>
      <c r="B5875" s="65" t="s">
        <v>6445</v>
      </c>
      <c r="C5875" s="65" t="s">
        <v>942</v>
      </c>
    </row>
    <row r="5876" spans="1:3" hidden="1">
      <c r="A5876" s="65">
        <v>9007871</v>
      </c>
      <c r="B5876" s="65" t="s">
        <v>6446</v>
      </c>
      <c r="C5876" s="65" t="s">
        <v>1181</v>
      </c>
    </row>
    <row r="5877" spans="1:3" hidden="1">
      <c r="A5877" s="65">
        <v>9007872</v>
      </c>
      <c r="B5877" s="65" t="s">
        <v>6447</v>
      </c>
      <c r="C5877" s="65" t="s">
        <v>850</v>
      </c>
    </row>
    <row r="5878" spans="1:3" hidden="1">
      <c r="A5878" s="65">
        <v>9007873</v>
      </c>
      <c r="B5878" s="65" t="s">
        <v>6448</v>
      </c>
      <c r="C5878" s="65" t="s">
        <v>1181</v>
      </c>
    </row>
    <row r="5879" spans="1:3" hidden="1">
      <c r="A5879" s="65">
        <v>9007874</v>
      </c>
      <c r="B5879" s="65" t="s">
        <v>6449</v>
      </c>
      <c r="C5879" s="65" t="s">
        <v>1926</v>
      </c>
    </row>
    <row r="5880" spans="1:3" hidden="1">
      <c r="A5880" s="65">
        <v>9007875</v>
      </c>
      <c r="B5880" s="65" t="s">
        <v>6450</v>
      </c>
      <c r="C5880" s="65" t="s">
        <v>738</v>
      </c>
    </row>
    <row r="5881" spans="1:3" hidden="1">
      <c r="A5881" s="65">
        <v>9007876</v>
      </c>
      <c r="B5881" s="65" t="s">
        <v>6451</v>
      </c>
      <c r="C5881" s="65" t="s">
        <v>805</v>
      </c>
    </row>
    <row r="5882" spans="1:3" hidden="1">
      <c r="A5882" s="65">
        <v>9007877</v>
      </c>
      <c r="B5882" s="65" t="s">
        <v>6452</v>
      </c>
      <c r="C5882" s="65" t="s">
        <v>805</v>
      </c>
    </row>
    <row r="5883" spans="1:3" hidden="1">
      <c r="A5883" s="65">
        <v>9007878</v>
      </c>
      <c r="B5883" s="65" t="s">
        <v>6453</v>
      </c>
      <c r="C5883" s="65" t="s">
        <v>1181</v>
      </c>
    </row>
    <row r="5884" spans="1:3" hidden="1">
      <c r="A5884" s="65">
        <v>9007879</v>
      </c>
      <c r="B5884" s="65" t="s">
        <v>6454</v>
      </c>
      <c r="C5884" s="65" t="s">
        <v>1926</v>
      </c>
    </row>
    <row r="5885" spans="1:3" hidden="1">
      <c r="A5885" s="65">
        <v>9007880</v>
      </c>
      <c r="B5885" s="65" t="s">
        <v>6455</v>
      </c>
      <c r="C5885" s="65" t="s">
        <v>738</v>
      </c>
    </row>
    <row r="5886" spans="1:3" hidden="1">
      <c r="A5886" s="65">
        <v>9007881</v>
      </c>
      <c r="B5886" s="65" t="s">
        <v>6456</v>
      </c>
      <c r="C5886" s="65" t="s">
        <v>805</v>
      </c>
    </row>
    <row r="5887" spans="1:3" hidden="1">
      <c r="A5887" s="65">
        <v>9007882</v>
      </c>
      <c r="B5887" s="65" t="s">
        <v>6457</v>
      </c>
      <c r="C5887" s="65" t="s">
        <v>751</v>
      </c>
    </row>
    <row r="5888" spans="1:3" hidden="1">
      <c r="A5888" s="65">
        <v>9007883</v>
      </c>
      <c r="B5888" s="65" t="s">
        <v>6458</v>
      </c>
      <c r="C5888" s="65" t="s">
        <v>942</v>
      </c>
    </row>
    <row r="5889" spans="1:3" hidden="1">
      <c r="A5889" s="65">
        <v>9007884</v>
      </c>
      <c r="B5889" s="65" t="s">
        <v>6459</v>
      </c>
      <c r="C5889" s="65" t="s">
        <v>942</v>
      </c>
    </row>
    <row r="5890" spans="1:3" hidden="1">
      <c r="A5890" s="65">
        <v>9007885</v>
      </c>
      <c r="B5890" s="65" t="s">
        <v>6460</v>
      </c>
      <c r="C5890" s="65" t="s">
        <v>942</v>
      </c>
    </row>
    <row r="5891" spans="1:3" hidden="1">
      <c r="A5891" s="65">
        <v>9007886</v>
      </c>
      <c r="B5891" s="65" t="s">
        <v>6461</v>
      </c>
      <c r="C5891" s="65" t="s">
        <v>942</v>
      </c>
    </row>
    <row r="5892" spans="1:3" hidden="1">
      <c r="A5892" s="65">
        <v>9007887</v>
      </c>
      <c r="B5892" s="65" t="s">
        <v>6462</v>
      </c>
      <c r="C5892" s="65" t="s">
        <v>942</v>
      </c>
    </row>
    <row r="5893" spans="1:3" hidden="1">
      <c r="A5893" s="65">
        <v>9007888</v>
      </c>
      <c r="B5893" s="65" t="s">
        <v>6463</v>
      </c>
      <c r="C5893" s="65" t="s">
        <v>1181</v>
      </c>
    </row>
    <row r="5894" spans="1:3" hidden="1">
      <c r="A5894" s="65">
        <v>9007889</v>
      </c>
      <c r="B5894" s="65" t="s">
        <v>6464</v>
      </c>
      <c r="C5894" s="65" t="s">
        <v>942</v>
      </c>
    </row>
    <row r="5895" spans="1:3" hidden="1">
      <c r="A5895" s="65">
        <v>9007890</v>
      </c>
      <c r="B5895" s="65" t="s">
        <v>6465</v>
      </c>
      <c r="C5895" s="65" t="s">
        <v>942</v>
      </c>
    </row>
    <row r="5896" spans="1:3" hidden="1">
      <c r="A5896" s="65">
        <v>9007891</v>
      </c>
      <c r="B5896" s="65" t="s">
        <v>6466</v>
      </c>
      <c r="C5896" s="65" t="s">
        <v>942</v>
      </c>
    </row>
    <row r="5897" spans="1:3" hidden="1">
      <c r="A5897" s="65">
        <v>9007892</v>
      </c>
      <c r="B5897" s="65" t="s">
        <v>6467</v>
      </c>
      <c r="C5897" s="65" t="s">
        <v>741</v>
      </c>
    </row>
    <row r="5898" spans="1:3" hidden="1">
      <c r="A5898" s="65">
        <v>9007893</v>
      </c>
      <c r="B5898" s="65" t="s">
        <v>6468</v>
      </c>
      <c r="C5898" s="65" t="s">
        <v>741</v>
      </c>
    </row>
    <row r="5899" spans="1:3" hidden="1">
      <c r="A5899" s="65">
        <v>9007894</v>
      </c>
      <c r="B5899" s="65" t="s">
        <v>6469</v>
      </c>
      <c r="C5899" s="65" t="s">
        <v>741</v>
      </c>
    </row>
    <row r="5900" spans="1:3" hidden="1">
      <c r="A5900" s="65">
        <v>9007895</v>
      </c>
      <c r="B5900" s="65" t="s">
        <v>6470</v>
      </c>
      <c r="C5900" s="65" t="s">
        <v>942</v>
      </c>
    </row>
    <row r="5901" spans="1:3" hidden="1">
      <c r="A5901" s="65">
        <v>9007896</v>
      </c>
      <c r="B5901" s="65" t="s">
        <v>6471</v>
      </c>
      <c r="C5901" s="65" t="s">
        <v>942</v>
      </c>
    </row>
    <row r="5902" spans="1:3" hidden="1">
      <c r="A5902" s="65">
        <v>9007897</v>
      </c>
      <c r="B5902" s="65" t="s">
        <v>6472</v>
      </c>
      <c r="C5902" s="65" t="s">
        <v>793</v>
      </c>
    </row>
    <row r="5903" spans="1:3" hidden="1">
      <c r="A5903" s="65">
        <v>9007898</v>
      </c>
      <c r="B5903" s="65" t="s">
        <v>6473</v>
      </c>
      <c r="C5903" s="65" t="s">
        <v>793</v>
      </c>
    </row>
    <row r="5904" spans="1:3" hidden="1">
      <c r="A5904" s="65">
        <v>9007899</v>
      </c>
      <c r="B5904" s="65" t="s">
        <v>6474</v>
      </c>
      <c r="C5904" s="65" t="s">
        <v>670</v>
      </c>
    </row>
    <row r="5905" spans="1:3" hidden="1">
      <c r="A5905" s="65">
        <v>9007900</v>
      </c>
      <c r="B5905" s="65" t="s">
        <v>6475</v>
      </c>
      <c r="C5905" s="65" t="s">
        <v>670</v>
      </c>
    </row>
    <row r="5906" spans="1:3" hidden="1">
      <c r="A5906" s="65">
        <v>9007901</v>
      </c>
      <c r="B5906" s="65" t="s">
        <v>6476</v>
      </c>
      <c r="C5906" s="65" t="s">
        <v>670</v>
      </c>
    </row>
    <row r="5907" spans="1:3" hidden="1">
      <c r="A5907" s="65">
        <v>9007902</v>
      </c>
      <c r="B5907" s="65" t="s">
        <v>6477</v>
      </c>
      <c r="C5907" s="65" t="s">
        <v>771</v>
      </c>
    </row>
    <row r="5908" spans="1:3" hidden="1">
      <c r="A5908" s="65">
        <v>9007903</v>
      </c>
      <c r="B5908" s="65" t="s">
        <v>6478</v>
      </c>
      <c r="C5908" s="65" t="s">
        <v>677</v>
      </c>
    </row>
    <row r="5909" spans="1:3" hidden="1">
      <c r="A5909" s="65">
        <v>9007904</v>
      </c>
      <c r="B5909" s="65" t="s">
        <v>6479</v>
      </c>
      <c r="C5909" s="65" t="s">
        <v>751</v>
      </c>
    </row>
    <row r="5910" spans="1:3" hidden="1">
      <c r="A5910" s="65">
        <v>9007905</v>
      </c>
      <c r="B5910" s="65" t="s">
        <v>6480</v>
      </c>
      <c r="C5910" s="65" t="s">
        <v>818</v>
      </c>
    </row>
    <row r="5911" spans="1:3" hidden="1">
      <c r="A5911" s="65">
        <v>9007906</v>
      </c>
      <c r="B5911" s="65" t="s">
        <v>6481</v>
      </c>
      <c r="C5911" s="65" t="s">
        <v>747</v>
      </c>
    </row>
    <row r="5912" spans="1:3" hidden="1">
      <c r="A5912" s="65">
        <v>9007907</v>
      </c>
      <c r="B5912" s="65" t="s">
        <v>6482</v>
      </c>
      <c r="C5912" s="65" t="s">
        <v>797</v>
      </c>
    </row>
    <row r="5913" spans="1:3" hidden="1">
      <c r="A5913" s="65">
        <v>9007908</v>
      </c>
      <c r="B5913" s="65" t="s">
        <v>6483</v>
      </c>
      <c r="C5913" s="65" t="s">
        <v>751</v>
      </c>
    </row>
    <row r="5914" spans="1:3" hidden="1">
      <c r="A5914" s="65">
        <v>9007909</v>
      </c>
      <c r="B5914" s="65" t="s">
        <v>6484</v>
      </c>
      <c r="C5914" s="65" t="s">
        <v>788</v>
      </c>
    </row>
    <row r="5915" spans="1:3" hidden="1">
      <c r="A5915" s="65">
        <v>9007910</v>
      </c>
      <c r="B5915" s="65" t="s">
        <v>6485</v>
      </c>
      <c r="C5915" s="65" t="s">
        <v>788</v>
      </c>
    </row>
    <row r="5916" spans="1:3" hidden="1">
      <c r="A5916" s="65">
        <v>9007911</v>
      </c>
      <c r="B5916" s="65" t="s">
        <v>6486</v>
      </c>
      <c r="C5916" s="65" t="s">
        <v>6487</v>
      </c>
    </row>
    <row r="5917" spans="1:3" hidden="1">
      <c r="A5917" s="65">
        <v>9007912</v>
      </c>
      <c r="B5917" s="65" t="s">
        <v>6488</v>
      </c>
      <c r="C5917" s="65" t="s">
        <v>686</v>
      </c>
    </row>
    <row r="5918" spans="1:3" hidden="1">
      <c r="A5918" s="65">
        <v>9007913</v>
      </c>
      <c r="B5918" s="65" t="s">
        <v>6489</v>
      </c>
      <c r="C5918" s="65" t="s">
        <v>788</v>
      </c>
    </row>
    <row r="5919" spans="1:3" hidden="1">
      <c r="A5919" s="65">
        <v>9007914</v>
      </c>
      <c r="B5919" s="65" t="s">
        <v>6490</v>
      </c>
      <c r="C5919" s="65" t="s">
        <v>677</v>
      </c>
    </row>
    <row r="5920" spans="1:3" hidden="1">
      <c r="A5920" s="65">
        <v>9007915</v>
      </c>
      <c r="B5920" s="65" t="s">
        <v>6491</v>
      </c>
      <c r="C5920" s="65" t="s">
        <v>793</v>
      </c>
    </row>
    <row r="5921" spans="1:3" hidden="1">
      <c r="A5921" s="65">
        <v>9007916</v>
      </c>
      <c r="B5921" s="65" t="s">
        <v>6492</v>
      </c>
      <c r="C5921" s="65" t="s">
        <v>793</v>
      </c>
    </row>
    <row r="5922" spans="1:3" hidden="1">
      <c r="A5922" s="65">
        <v>9007917</v>
      </c>
      <c r="B5922" s="65" t="s">
        <v>6493</v>
      </c>
      <c r="C5922" s="65" t="s">
        <v>793</v>
      </c>
    </row>
    <row r="5923" spans="1:3" hidden="1">
      <c r="A5923" s="65">
        <v>9007918</v>
      </c>
      <c r="B5923" s="65" t="s">
        <v>6494</v>
      </c>
      <c r="C5923" s="65" t="s">
        <v>793</v>
      </c>
    </row>
    <row r="5924" spans="1:3" hidden="1">
      <c r="A5924" s="65">
        <v>9007919</v>
      </c>
      <c r="B5924" s="65" t="s">
        <v>6495</v>
      </c>
      <c r="C5924" s="65" t="s">
        <v>666</v>
      </c>
    </row>
    <row r="5925" spans="1:3" hidden="1">
      <c r="A5925" s="65">
        <v>9007920</v>
      </c>
      <c r="B5925" s="65" t="s">
        <v>6496</v>
      </c>
      <c r="C5925" s="65" t="s">
        <v>5629</v>
      </c>
    </row>
    <row r="5926" spans="1:3" hidden="1">
      <c r="A5926" s="65">
        <v>9007921</v>
      </c>
      <c r="B5926" s="65" t="s">
        <v>6497</v>
      </c>
      <c r="C5926" s="65" t="s">
        <v>805</v>
      </c>
    </row>
    <row r="5927" spans="1:3" hidden="1">
      <c r="A5927" s="65">
        <v>9007922</v>
      </c>
      <c r="B5927" s="65" t="s">
        <v>6498</v>
      </c>
      <c r="C5927" s="65" t="s">
        <v>805</v>
      </c>
    </row>
    <row r="5928" spans="1:3" hidden="1">
      <c r="A5928" s="65">
        <v>9007923</v>
      </c>
      <c r="B5928" s="65" t="s">
        <v>6499</v>
      </c>
      <c r="C5928" s="65" t="s">
        <v>805</v>
      </c>
    </row>
    <row r="5929" spans="1:3" hidden="1">
      <c r="A5929" s="65">
        <v>9007924</v>
      </c>
      <c r="B5929" s="65" t="s">
        <v>6500</v>
      </c>
      <c r="C5929" s="65" t="s">
        <v>805</v>
      </c>
    </row>
    <row r="5930" spans="1:3" hidden="1">
      <c r="A5930" s="65">
        <v>9007925</v>
      </c>
      <c r="B5930" s="65" t="s">
        <v>6501</v>
      </c>
      <c r="C5930" s="65" t="s">
        <v>805</v>
      </c>
    </row>
    <row r="5931" spans="1:3" hidden="1">
      <c r="A5931" s="65">
        <v>9007926</v>
      </c>
      <c r="B5931" s="65" t="s">
        <v>6502</v>
      </c>
      <c r="C5931" s="65" t="s">
        <v>805</v>
      </c>
    </row>
    <row r="5932" spans="1:3" hidden="1">
      <c r="A5932" s="65">
        <v>9007927</v>
      </c>
      <c r="B5932" s="65" t="s">
        <v>6503</v>
      </c>
      <c r="C5932" s="65" t="s">
        <v>805</v>
      </c>
    </row>
    <row r="5933" spans="1:3" hidden="1">
      <c r="A5933" s="65">
        <v>9007928</v>
      </c>
      <c r="B5933" s="65" t="s">
        <v>6504</v>
      </c>
      <c r="C5933" s="65" t="s">
        <v>805</v>
      </c>
    </row>
    <row r="5934" spans="1:3" hidden="1">
      <c r="A5934" s="65">
        <v>9007929</v>
      </c>
      <c r="B5934" s="65" t="s">
        <v>6505</v>
      </c>
      <c r="C5934" s="65" t="s">
        <v>1181</v>
      </c>
    </row>
    <row r="5935" spans="1:3" hidden="1">
      <c r="A5935" s="65">
        <v>9007930</v>
      </c>
      <c r="B5935" s="65" t="s">
        <v>6506</v>
      </c>
      <c r="C5935" s="65" t="s">
        <v>1181</v>
      </c>
    </row>
    <row r="5936" spans="1:3" hidden="1">
      <c r="A5936" s="65">
        <v>9007931</v>
      </c>
      <c r="B5936" s="65" t="s">
        <v>6507</v>
      </c>
      <c r="C5936" s="65" t="s">
        <v>1181</v>
      </c>
    </row>
    <row r="5937" spans="1:3" hidden="1">
      <c r="A5937" s="65">
        <v>9007932</v>
      </c>
      <c r="B5937" s="65" t="s">
        <v>6508</v>
      </c>
      <c r="C5937" s="65" t="s">
        <v>1181</v>
      </c>
    </row>
    <row r="5938" spans="1:3" hidden="1">
      <c r="A5938" s="65">
        <v>9007933</v>
      </c>
      <c r="B5938" s="65" t="s">
        <v>6509</v>
      </c>
      <c r="C5938" s="65" t="s">
        <v>1181</v>
      </c>
    </row>
    <row r="5939" spans="1:3" hidden="1">
      <c r="A5939" s="65">
        <v>9007934</v>
      </c>
      <c r="B5939" s="65" t="s">
        <v>6510</v>
      </c>
      <c r="C5939" s="65" t="s">
        <v>1181</v>
      </c>
    </row>
    <row r="5940" spans="1:3" hidden="1">
      <c r="A5940" s="65">
        <v>9007935</v>
      </c>
      <c r="B5940" s="65" t="s">
        <v>6511</v>
      </c>
      <c r="C5940" s="65" t="s">
        <v>793</v>
      </c>
    </row>
    <row r="5941" spans="1:3" hidden="1">
      <c r="A5941" s="65">
        <v>9007936</v>
      </c>
      <c r="B5941" s="65" t="s">
        <v>6512</v>
      </c>
      <c r="C5941" s="65" t="s">
        <v>793</v>
      </c>
    </row>
    <row r="5942" spans="1:3" hidden="1">
      <c r="A5942" s="65">
        <v>9007937</v>
      </c>
      <c r="B5942" s="65" t="s">
        <v>6513</v>
      </c>
      <c r="C5942" s="65" t="s">
        <v>793</v>
      </c>
    </row>
    <row r="5943" spans="1:3" hidden="1">
      <c r="A5943" s="65">
        <v>9007938</v>
      </c>
      <c r="B5943" s="65" t="s">
        <v>6514</v>
      </c>
      <c r="C5943" s="65" t="s">
        <v>793</v>
      </c>
    </row>
    <row r="5944" spans="1:3" hidden="1">
      <c r="A5944" s="65">
        <v>9007939</v>
      </c>
      <c r="B5944" s="65" t="s">
        <v>6515</v>
      </c>
      <c r="C5944" s="65" t="s">
        <v>738</v>
      </c>
    </row>
    <row r="5945" spans="1:3" hidden="1">
      <c r="A5945" s="65">
        <v>9007940</v>
      </c>
      <c r="B5945" s="65" t="s">
        <v>6516</v>
      </c>
      <c r="C5945" s="65" t="s">
        <v>743</v>
      </c>
    </row>
    <row r="5946" spans="1:3" hidden="1">
      <c r="A5946" s="65">
        <v>9007941</v>
      </c>
      <c r="B5946" s="65" t="s">
        <v>6517</v>
      </c>
      <c r="C5946" s="65" t="s">
        <v>743</v>
      </c>
    </row>
    <row r="5947" spans="1:3" hidden="1">
      <c r="A5947" s="65">
        <v>9007942</v>
      </c>
      <c r="B5947" s="65" t="s">
        <v>6518</v>
      </c>
      <c r="C5947" s="65" t="s">
        <v>743</v>
      </c>
    </row>
    <row r="5948" spans="1:3" hidden="1">
      <c r="A5948" s="65">
        <v>9007943</v>
      </c>
      <c r="B5948" s="65" t="s">
        <v>6519</v>
      </c>
      <c r="C5948" s="65" t="s">
        <v>1181</v>
      </c>
    </row>
    <row r="5949" spans="1:3" hidden="1">
      <c r="A5949" s="65">
        <v>9007944</v>
      </c>
      <c r="B5949" s="65" t="s">
        <v>6520</v>
      </c>
      <c r="C5949" s="65" t="s">
        <v>793</v>
      </c>
    </row>
    <row r="5950" spans="1:3" hidden="1">
      <c r="A5950" s="65">
        <v>9007945</v>
      </c>
      <c r="B5950" s="65" t="s">
        <v>6521</v>
      </c>
      <c r="C5950" s="65" t="s">
        <v>1181</v>
      </c>
    </row>
    <row r="5951" spans="1:3" hidden="1">
      <c r="A5951" s="65">
        <v>9007946</v>
      </c>
      <c r="B5951" s="65" t="s">
        <v>6522</v>
      </c>
      <c r="C5951" s="65" t="s">
        <v>1181</v>
      </c>
    </row>
    <row r="5952" spans="1:3" hidden="1">
      <c r="A5952" s="65">
        <v>9007947</v>
      </c>
      <c r="B5952" s="65" t="s">
        <v>6523</v>
      </c>
      <c r="C5952" s="65" t="s">
        <v>1181</v>
      </c>
    </row>
    <row r="5953" spans="1:3" hidden="1">
      <c r="A5953" s="65">
        <v>9007948</v>
      </c>
      <c r="B5953" s="65" t="s">
        <v>6524</v>
      </c>
      <c r="C5953" s="65" t="s">
        <v>1181</v>
      </c>
    </row>
    <row r="5954" spans="1:3" hidden="1">
      <c r="A5954" s="65">
        <v>9007949</v>
      </c>
      <c r="B5954" s="65" t="s">
        <v>6525</v>
      </c>
      <c r="C5954" s="65" t="s">
        <v>1181</v>
      </c>
    </row>
    <row r="5955" spans="1:3" hidden="1">
      <c r="A5955" s="65">
        <v>9007950</v>
      </c>
      <c r="B5955" s="65" t="s">
        <v>6526</v>
      </c>
      <c r="C5955" s="65" t="s">
        <v>751</v>
      </c>
    </row>
    <row r="5956" spans="1:3" hidden="1">
      <c r="A5956" s="65">
        <v>9007951</v>
      </c>
      <c r="B5956" s="65" t="s">
        <v>6527</v>
      </c>
      <c r="C5956" s="65" t="s">
        <v>751</v>
      </c>
    </row>
    <row r="5957" spans="1:3" hidden="1">
      <c r="A5957" s="65">
        <v>9007952</v>
      </c>
      <c r="B5957" s="65" t="s">
        <v>6528</v>
      </c>
      <c r="C5957" s="65" t="s">
        <v>738</v>
      </c>
    </row>
    <row r="5958" spans="1:3" hidden="1">
      <c r="A5958" s="65">
        <v>9007953</v>
      </c>
      <c r="B5958" s="65" t="s">
        <v>6529</v>
      </c>
      <c r="C5958" s="65" t="s">
        <v>738</v>
      </c>
    </row>
    <row r="5959" spans="1:3" hidden="1">
      <c r="A5959" s="65">
        <v>9007954</v>
      </c>
      <c r="B5959" s="65" t="s">
        <v>6530</v>
      </c>
      <c r="C5959" s="65" t="s">
        <v>805</v>
      </c>
    </row>
    <row r="5960" spans="1:3" hidden="1">
      <c r="A5960" s="65">
        <v>9007955</v>
      </c>
      <c r="B5960" s="65" t="s">
        <v>6531</v>
      </c>
      <c r="C5960" s="65" t="s">
        <v>805</v>
      </c>
    </row>
    <row r="5961" spans="1:3" hidden="1">
      <c r="A5961" s="65">
        <v>9007956</v>
      </c>
      <c r="B5961" s="65" t="s">
        <v>6532</v>
      </c>
      <c r="C5961" s="65" t="s">
        <v>805</v>
      </c>
    </row>
    <row r="5962" spans="1:3" hidden="1">
      <c r="A5962" s="65">
        <v>9007957</v>
      </c>
      <c r="B5962" s="65" t="s">
        <v>6533</v>
      </c>
      <c r="C5962" s="65" t="s">
        <v>1181</v>
      </c>
    </row>
    <row r="5963" spans="1:3" hidden="1">
      <c r="A5963" s="65">
        <v>9007958</v>
      </c>
      <c r="B5963" s="65" t="s">
        <v>6534</v>
      </c>
      <c r="C5963" s="65" t="s">
        <v>1181</v>
      </c>
    </row>
    <row r="5964" spans="1:3" hidden="1">
      <c r="A5964" s="65">
        <v>9007959</v>
      </c>
      <c r="B5964" s="65" t="s">
        <v>6535</v>
      </c>
      <c r="C5964" s="65" t="s">
        <v>1181</v>
      </c>
    </row>
    <row r="5965" spans="1:3" hidden="1">
      <c r="A5965" s="65">
        <v>9007960</v>
      </c>
      <c r="B5965" s="65" t="s">
        <v>6536</v>
      </c>
      <c r="C5965" s="65" t="s">
        <v>1181</v>
      </c>
    </row>
    <row r="5966" spans="1:3" hidden="1">
      <c r="A5966" s="65">
        <v>9007961</v>
      </c>
      <c r="B5966" s="65" t="s">
        <v>6537</v>
      </c>
      <c r="C5966" s="65" t="s">
        <v>1181</v>
      </c>
    </row>
    <row r="5967" spans="1:3" hidden="1">
      <c r="A5967" s="65">
        <v>9007962</v>
      </c>
      <c r="B5967" s="65" t="s">
        <v>6538</v>
      </c>
      <c r="C5967" s="65" t="s">
        <v>1181</v>
      </c>
    </row>
    <row r="5968" spans="1:3" hidden="1">
      <c r="A5968" s="65">
        <v>9007963</v>
      </c>
      <c r="B5968" s="65" t="s">
        <v>6539</v>
      </c>
      <c r="C5968" s="65" t="s">
        <v>1181</v>
      </c>
    </row>
    <row r="5969" spans="1:3" hidden="1">
      <c r="A5969" s="65">
        <v>9007964</v>
      </c>
      <c r="B5969" s="65" t="s">
        <v>6540</v>
      </c>
      <c r="C5969" s="65" t="s">
        <v>1181</v>
      </c>
    </row>
    <row r="5970" spans="1:3" hidden="1">
      <c r="A5970" s="65">
        <v>9007965</v>
      </c>
      <c r="B5970" s="65" t="s">
        <v>6541</v>
      </c>
      <c r="C5970" s="65" t="s">
        <v>1181</v>
      </c>
    </row>
    <row r="5971" spans="1:3" hidden="1">
      <c r="A5971" s="65">
        <v>9007966</v>
      </c>
      <c r="B5971" s="65" t="s">
        <v>6542</v>
      </c>
      <c r="C5971" s="65" t="s">
        <v>738</v>
      </c>
    </row>
    <row r="5972" spans="1:3" hidden="1">
      <c r="A5972" s="65">
        <v>9007967</v>
      </c>
      <c r="B5972" s="65" t="s">
        <v>6530</v>
      </c>
      <c r="C5972" s="65" t="s">
        <v>805</v>
      </c>
    </row>
    <row r="5973" spans="1:3" hidden="1">
      <c r="A5973" s="65">
        <v>9007968</v>
      </c>
      <c r="B5973" s="65" t="s">
        <v>6543</v>
      </c>
      <c r="C5973" s="65" t="s">
        <v>805</v>
      </c>
    </row>
    <row r="5974" spans="1:3" hidden="1">
      <c r="A5974" s="65">
        <v>9007969</v>
      </c>
      <c r="B5974" s="65" t="s">
        <v>6532</v>
      </c>
      <c r="C5974" s="65" t="s">
        <v>805</v>
      </c>
    </row>
    <row r="5975" spans="1:3" hidden="1">
      <c r="A5975" s="65">
        <v>9007970</v>
      </c>
      <c r="B5975" s="65" t="s">
        <v>6544</v>
      </c>
      <c r="C5975" s="65" t="s">
        <v>1181</v>
      </c>
    </row>
    <row r="5976" spans="1:3" hidden="1">
      <c r="A5976" s="65">
        <v>9007971</v>
      </c>
      <c r="B5976" s="65" t="s">
        <v>6545</v>
      </c>
      <c r="C5976" s="65" t="s">
        <v>1181</v>
      </c>
    </row>
    <row r="5977" spans="1:3" hidden="1">
      <c r="A5977" s="65">
        <v>9007972</v>
      </c>
      <c r="B5977" s="65" t="s">
        <v>6546</v>
      </c>
      <c r="C5977" s="65" t="s">
        <v>738</v>
      </c>
    </row>
    <row r="5978" spans="1:3" hidden="1">
      <c r="A5978" s="65">
        <v>9007973</v>
      </c>
      <c r="B5978" s="65" t="s">
        <v>6547</v>
      </c>
      <c r="C5978" s="65" t="s">
        <v>827</v>
      </c>
    </row>
    <row r="5979" spans="1:3" hidden="1">
      <c r="A5979" s="65">
        <v>9007974</v>
      </c>
      <c r="B5979" s="65" t="s">
        <v>6548</v>
      </c>
      <c r="C5979" s="65" t="s">
        <v>1181</v>
      </c>
    </row>
    <row r="5980" spans="1:3" hidden="1">
      <c r="A5980" s="65">
        <v>9007975</v>
      </c>
      <c r="B5980" s="65" t="s">
        <v>6549</v>
      </c>
      <c r="C5980" s="65" t="s">
        <v>1181</v>
      </c>
    </row>
    <row r="5981" spans="1:3" hidden="1">
      <c r="A5981" s="65">
        <v>9007976</v>
      </c>
      <c r="B5981" s="65" t="s">
        <v>6550</v>
      </c>
      <c r="C5981" s="65" t="s">
        <v>751</v>
      </c>
    </row>
    <row r="5982" spans="1:3" hidden="1">
      <c r="A5982" s="65">
        <v>9007977</v>
      </c>
      <c r="B5982" s="65" t="s">
        <v>6551</v>
      </c>
      <c r="C5982" s="65" t="s">
        <v>1181</v>
      </c>
    </row>
    <row r="5983" spans="1:3" hidden="1">
      <c r="A5983" s="65">
        <v>9007978</v>
      </c>
      <c r="B5983" s="65" t="s">
        <v>6552</v>
      </c>
      <c r="C5983" s="65" t="s">
        <v>1181</v>
      </c>
    </row>
    <row r="5984" spans="1:3" hidden="1">
      <c r="A5984" s="65">
        <v>9007979</v>
      </c>
      <c r="B5984" s="65" t="s">
        <v>6553</v>
      </c>
      <c r="C5984" s="65" t="s">
        <v>1181</v>
      </c>
    </row>
    <row r="5985" spans="1:3" hidden="1">
      <c r="A5985" s="65">
        <v>9007980</v>
      </c>
      <c r="B5985" s="65" t="s">
        <v>6554</v>
      </c>
      <c r="C5985" s="65" t="s">
        <v>1181</v>
      </c>
    </row>
    <row r="5986" spans="1:3" hidden="1">
      <c r="A5986" s="65">
        <v>9007981</v>
      </c>
      <c r="B5986" s="65" t="s">
        <v>6555</v>
      </c>
      <c r="C5986" s="65" t="s">
        <v>1181</v>
      </c>
    </row>
    <row r="5987" spans="1:3" hidden="1">
      <c r="A5987" s="65">
        <v>9007982</v>
      </c>
      <c r="B5987" s="65" t="s">
        <v>6556</v>
      </c>
      <c r="C5987" s="65" t="s">
        <v>1181</v>
      </c>
    </row>
    <row r="5988" spans="1:3" hidden="1">
      <c r="A5988" s="65">
        <v>9007983</v>
      </c>
      <c r="B5988" s="65" t="s">
        <v>6557</v>
      </c>
      <c r="C5988" s="65" t="s">
        <v>805</v>
      </c>
    </row>
    <row r="5989" spans="1:3" hidden="1">
      <c r="A5989" s="65">
        <v>9007984</v>
      </c>
      <c r="B5989" s="65" t="s">
        <v>6558</v>
      </c>
      <c r="C5989" s="65" t="s">
        <v>805</v>
      </c>
    </row>
    <row r="5990" spans="1:3" hidden="1">
      <c r="A5990" s="65">
        <v>9007985</v>
      </c>
      <c r="B5990" s="65" t="s">
        <v>6559</v>
      </c>
      <c r="C5990" s="65" t="s">
        <v>805</v>
      </c>
    </row>
    <row r="5991" spans="1:3" hidden="1">
      <c r="A5991" s="65">
        <v>9007986</v>
      </c>
      <c r="B5991" s="65" t="s">
        <v>6560</v>
      </c>
      <c r="C5991" s="65" t="s">
        <v>805</v>
      </c>
    </row>
    <row r="5992" spans="1:3" hidden="1">
      <c r="A5992" s="65">
        <v>9007987</v>
      </c>
      <c r="B5992" s="65" t="s">
        <v>6561</v>
      </c>
      <c r="C5992" s="65" t="s">
        <v>805</v>
      </c>
    </row>
    <row r="5993" spans="1:3" hidden="1">
      <c r="A5993" s="65">
        <v>9007988</v>
      </c>
      <c r="B5993" s="65" t="s">
        <v>6562</v>
      </c>
      <c r="C5993" s="65" t="s">
        <v>942</v>
      </c>
    </row>
    <row r="5994" spans="1:3" hidden="1">
      <c r="A5994" s="65">
        <v>9007989</v>
      </c>
      <c r="B5994" s="65" t="s">
        <v>6563</v>
      </c>
      <c r="C5994" s="65" t="s">
        <v>793</v>
      </c>
    </row>
    <row r="5995" spans="1:3" hidden="1">
      <c r="A5995" s="65">
        <v>9007990</v>
      </c>
      <c r="B5995" s="65" t="s">
        <v>6564</v>
      </c>
      <c r="C5995" s="65" t="s">
        <v>793</v>
      </c>
    </row>
    <row r="5996" spans="1:3" hidden="1">
      <c r="A5996" s="65">
        <v>9007991</v>
      </c>
      <c r="B5996" s="65" t="s">
        <v>6565</v>
      </c>
      <c r="C5996" s="65" t="s">
        <v>793</v>
      </c>
    </row>
    <row r="5997" spans="1:3" hidden="1">
      <c r="A5997" s="65">
        <v>9007992</v>
      </c>
      <c r="B5997" s="65" t="s">
        <v>6566</v>
      </c>
      <c r="C5997" s="65" t="s">
        <v>793</v>
      </c>
    </row>
    <row r="5998" spans="1:3" hidden="1">
      <c r="A5998" s="65">
        <v>9007993</v>
      </c>
      <c r="B5998" s="65" t="s">
        <v>6567</v>
      </c>
      <c r="C5998" s="65" t="s">
        <v>793</v>
      </c>
    </row>
    <row r="5999" spans="1:3" hidden="1">
      <c r="A5999" s="65">
        <v>9007994</v>
      </c>
      <c r="B5999" s="65" t="s">
        <v>6568</v>
      </c>
      <c r="C5999" s="65" t="s">
        <v>793</v>
      </c>
    </row>
    <row r="6000" spans="1:3" hidden="1">
      <c r="A6000" s="65">
        <v>9007995</v>
      </c>
      <c r="B6000" s="65" t="s">
        <v>6569</v>
      </c>
      <c r="C6000" s="65" t="s">
        <v>793</v>
      </c>
    </row>
    <row r="6001" spans="1:3" hidden="1">
      <c r="A6001" s="65">
        <v>9007996</v>
      </c>
      <c r="B6001" s="65" t="s">
        <v>6570</v>
      </c>
      <c r="C6001" s="65" t="s">
        <v>793</v>
      </c>
    </row>
    <row r="6002" spans="1:3" hidden="1">
      <c r="A6002" s="65">
        <v>9007997</v>
      </c>
      <c r="B6002" s="65" t="s">
        <v>6571</v>
      </c>
      <c r="C6002" s="65" t="s">
        <v>793</v>
      </c>
    </row>
    <row r="6003" spans="1:3" hidden="1">
      <c r="A6003" s="65">
        <v>9007998</v>
      </c>
      <c r="B6003" s="65" t="s">
        <v>6572</v>
      </c>
      <c r="C6003" s="65" t="s">
        <v>793</v>
      </c>
    </row>
    <row r="6004" spans="1:3" hidden="1">
      <c r="A6004" s="65">
        <v>9007999</v>
      </c>
      <c r="B6004" s="65" t="s">
        <v>6573</v>
      </c>
      <c r="C6004" s="65" t="s">
        <v>793</v>
      </c>
    </row>
    <row r="6005" spans="1:3" hidden="1">
      <c r="A6005" s="65">
        <v>9008000</v>
      </c>
      <c r="B6005" s="65" t="s">
        <v>6574</v>
      </c>
      <c r="C6005" s="65" t="s">
        <v>793</v>
      </c>
    </row>
    <row r="6006" spans="1:3" hidden="1">
      <c r="A6006" s="65">
        <v>9008001</v>
      </c>
      <c r="B6006" s="65" t="s">
        <v>6575</v>
      </c>
      <c r="C6006" s="65" t="s">
        <v>942</v>
      </c>
    </row>
    <row r="6007" spans="1:3" hidden="1">
      <c r="A6007" s="65">
        <v>9008002</v>
      </c>
      <c r="B6007" s="65" t="s">
        <v>6576</v>
      </c>
      <c r="C6007" s="65" t="s">
        <v>942</v>
      </c>
    </row>
    <row r="6008" spans="1:3" hidden="1">
      <c r="A6008" s="65">
        <v>9008003</v>
      </c>
      <c r="B6008" s="65" t="s">
        <v>6577</v>
      </c>
      <c r="C6008" s="65" t="s">
        <v>670</v>
      </c>
    </row>
    <row r="6009" spans="1:3" hidden="1">
      <c r="A6009" s="65">
        <v>9008009</v>
      </c>
      <c r="B6009" s="65" t="s">
        <v>6578</v>
      </c>
      <c r="C6009" s="65" t="s">
        <v>793</v>
      </c>
    </row>
    <row r="6010" spans="1:3" hidden="1">
      <c r="A6010" s="65">
        <v>9008010</v>
      </c>
      <c r="B6010" s="65" t="s">
        <v>6579</v>
      </c>
      <c r="C6010" s="65" t="s">
        <v>793</v>
      </c>
    </row>
    <row r="6011" spans="1:3" hidden="1">
      <c r="A6011" s="65">
        <v>9008011</v>
      </c>
      <c r="B6011" s="65" t="s">
        <v>6580</v>
      </c>
      <c r="C6011" s="65" t="s">
        <v>793</v>
      </c>
    </row>
    <row r="6012" spans="1:3" hidden="1">
      <c r="A6012" s="65">
        <v>9008012</v>
      </c>
      <c r="B6012" s="65" t="s">
        <v>6581</v>
      </c>
      <c r="C6012" s="65" t="s">
        <v>793</v>
      </c>
    </row>
    <row r="6013" spans="1:3" hidden="1">
      <c r="A6013" s="65">
        <v>9008013</v>
      </c>
      <c r="B6013" s="65" t="s">
        <v>6582</v>
      </c>
      <c r="C6013" s="65" t="s">
        <v>793</v>
      </c>
    </row>
    <row r="6014" spans="1:3" hidden="1">
      <c r="A6014" s="65">
        <v>9008014</v>
      </c>
      <c r="B6014" s="65" t="s">
        <v>6583</v>
      </c>
      <c r="C6014" s="65" t="s">
        <v>793</v>
      </c>
    </row>
    <row r="6015" spans="1:3" hidden="1">
      <c r="A6015" s="65">
        <v>9008015</v>
      </c>
      <c r="B6015" s="65" t="s">
        <v>6584</v>
      </c>
      <c r="C6015" s="65" t="s">
        <v>793</v>
      </c>
    </row>
    <row r="6016" spans="1:3" hidden="1">
      <c r="A6016" s="65">
        <v>9008016</v>
      </c>
      <c r="B6016" s="65" t="s">
        <v>6585</v>
      </c>
      <c r="C6016" s="65" t="s">
        <v>793</v>
      </c>
    </row>
    <row r="6017" spans="1:3" hidden="1">
      <c r="A6017" s="65">
        <v>9008017</v>
      </c>
      <c r="B6017" s="65" t="s">
        <v>6586</v>
      </c>
      <c r="C6017" s="65" t="s">
        <v>793</v>
      </c>
    </row>
    <row r="6018" spans="1:3" hidden="1">
      <c r="A6018" s="65">
        <v>9008018</v>
      </c>
      <c r="B6018" s="65" t="s">
        <v>6587</v>
      </c>
      <c r="C6018" s="65" t="s">
        <v>793</v>
      </c>
    </row>
    <row r="6019" spans="1:3" hidden="1">
      <c r="A6019" s="65">
        <v>9008019</v>
      </c>
      <c r="B6019" s="65" t="s">
        <v>6588</v>
      </c>
      <c r="C6019" s="65" t="s">
        <v>793</v>
      </c>
    </row>
    <row r="6020" spans="1:3" hidden="1">
      <c r="A6020" s="65">
        <v>9008020</v>
      </c>
      <c r="B6020" s="65" t="s">
        <v>6589</v>
      </c>
      <c r="C6020" s="65" t="s">
        <v>793</v>
      </c>
    </row>
    <row r="6021" spans="1:3" hidden="1">
      <c r="A6021" s="65">
        <v>9008021</v>
      </c>
      <c r="B6021" s="65" t="s">
        <v>6590</v>
      </c>
      <c r="C6021" s="65" t="s">
        <v>793</v>
      </c>
    </row>
    <row r="6022" spans="1:3" hidden="1">
      <c r="A6022" s="65">
        <v>9008022</v>
      </c>
      <c r="B6022" s="65" t="s">
        <v>6591</v>
      </c>
      <c r="C6022" s="65" t="s">
        <v>793</v>
      </c>
    </row>
    <row r="6023" spans="1:3" hidden="1">
      <c r="A6023" s="65">
        <v>9008023</v>
      </c>
      <c r="B6023" s="65" t="s">
        <v>6592</v>
      </c>
      <c r="C6023" s="65" t="s">
        <v>793</v>
      </c>
    </row>
    <row r="6024" spans="1:3" hidden="1">
      <c r="A6024" s="65">
        <v>9008024</v>
      </c>
      <c r="B6024" s="65" t="s">
        <v>6593</v>
      </c>
      <c r="C6024" s="65" t="s">
        <v>793</v>
      </c>
    </row>
    <row r="6025" spans="1:3" hidden="1">
      <c r="A6025" s="65">
        <v>9008025</v>
      </c>
      <c r="B6025" s="65" t="s">
        <v>6594</v>
      </c>
      <c r="C6025" s="65" t="s">
        <v>793</v>
      </c>
    </row>
    <row r="6026" spans="1:3" hidden="1">
      <c r="A6026" s="65">
        <v>9008026</v>
      </c>
      <c r="B6026" s="65" t="s">
        <v>6595</v>
      </c>
      <c r="C6026" s="65" t="s">
        <v>793</v>
      </c>
    </row>
    <row r="6027" spans="1:3" hidden="1">
      <c r="A6027" s="65">
        <v>9008027</v>
      </c>
      <c r="B6027" s="65" t="s">
        <v>6596</v>
      </c>
      <c r="C6027" s="65" t="s">
        <v>793</v>
      </c>
    </row>
    <row r="6028" spans="1:3" hidden="1">
      <c r="A6028" s="65">
        <v>9008028</v>
      </c>
      <c r="B6028" s="65" t="s">
        <v>6597</v>
      </c>
      <c r="C6028" s="65" t="s">
        <v>793</v>
      </c>
    </row>
    <row r="6029" spans="1:3" hidden="1">
      <c r="A6029" s="65">
        <v>9008029</v>
      </c>
      <c r="B6029" s="65" t="s">
        <v>6598</v>
      </c>
      <c r="C6029" s="65" t="s">
        <v>793</v>
      </c>
    </row>
    <row r="6030" spans="1:3" hidden="1">
      <c r="A6030" s="65">
        <v>9008030</v>
      </c>
      <c r="B6030" s="65" t="s">
        <v>6599</v>
      </c>
      <c r="C6030" s="65" t="s">
        <v>793</v>
      </c>
    </row>
    <row r="6031" spans="1:3" hidden="1">
      <c r="A6031" s="65">
        <v>9008031</v>
      </c>
      <c r="B6031" s="65" t="s">
        <v>6600</v>
      </c>
      <c r="C6031" s="65" t="s">
        <v>793</v>
      </c>
    </row>
    <row r="6032" spans="1:3" hidden="1">
      <c r="A6032" s="65">
        <v>9008032</v>
      </c>
      <c r="B6032" s="65" t="s">
        <v>6601</v>
      </c>
      <c r="C6032" s="65" t="s">
        <v>793</v>
      </c>
    </row>
    <row r="6033" spans="1:3" hidden="1">
      <c r="A6033" s="65">
        <v>9008033</v>
      </c>
      <c r="B6033" s="65" t="s">
        <v>6602</v>
      </c>
      <c r="C6033" s="65" t="s">
        <v>793</v>
      </c>
    </row>
    <row r="6034" spans="1:3" hidden="1">
      <c r="A6034" s="65">
        <v>9008034</v>
      </c>
      <c r="B6034" s="65" t="s">
        <v>6602</v>
      </c>
      <c r="C6034" s="65" t="s">
        <v>793</v>
      </c>
    </row>
    <row r="6035" spans="1:3" hidden="1">
      <c r="A6035" s="65">
        <v>9008035</v>
      </c>
      <c r="B6035" s="65" t="s">
        <v>6603</v>
      </c>
      <c r="C6035" s="65" t="s">
        <v>793</v>
      </c>
    </row>
    <row r="6036" spans="1:3" hidden="1">
      <c r="A6036" s="65">
        <v>9008036</v>
      </c>
      <c r="B6036" s="65" t="s">
        <v>6604</v>
      </c>
      <c r="C6036" s="65" t="s">
        <v>793</v>
      </c>
    </row>
    <row r="6037" spans="1:3" hidden="1">
      <c r="A6037" s="65">
        <v>9008037</v>
      </c>
      <c r="B6037" s="65" t="s">
        <v>6605</v>
      </c>
      <c r="C6037" s="65" t="s">
        <v>793</v>
      </c>
    </row>
    <row r="6038" spans="1:3" hidden="1">
      <c r="A6038" s="65">
        <v>9008038</v>
      </c>
      <c r="B6038" s="65" t="s">
        <v>6606</v>
      </c>
      <c r="C6038" s="65" t="s">
        <v>793</v>
      </c>
    </row>
    <row r="6039" spans="1:3" hidden="1">
      <c r="A6039" s="65">
        <v>9008039</v>
      </c>
      <c r="B6039" s="65" t="s">
        <v>6607</v>
      </c>
      <c r="C6039" s="65" t="s">
        <v>793</v>
      </c>
    </row>
    <row r="6040" spans="1:3" hidden="1">
      <c r="A6040" s="65">
        <v>9008040</v>
      </c>
      <c r="B6040" s="65" t="s">
        <v>6608</v>
      </c>
      <c r="C6040" s="65" t="s">
        <v>793</v>
      </c>
    </row>
    <row r="6041" spans="1:3" hidden="1">
      <c r="A6041" s="65">
        <v>9008041</v>
      </c>
      <c r="B6041" s="65" t="s">
        <v>6609</v>
      </c>
      <c r="C6041" s="65" t="s">
        <v>793</v>
      </c>
    </row>
    <row r="6042" spans="1:3" hidden="1">
      <c r="A6042" s="65">
        <v>9008042</v>
      </c>
      <c r="B6042" s="65" t="s">
        <v>6610</v>
      </c>
      <c r="C6042" s="65" t="s">
        <v>1181</v>
      </c>
    </row>
    <row r="6043" spans="1:3" hidden="1">
      <c r="A6043" s="65">
        <v>9008043</v>
      </c>
      <c r="B6043" s="65" t="s">
        <v>6611</v>
      </c>
      <c r="C6043" s="65" t="s">
        <v>1181</v>
      </c>
    </row>
    <row r="6044" spans="1:3" hidden="1">
      <c r="A6044" s="65">
        <v>9008044</v>
      </c>
      <c r="B6044" s="65" t="s">
        <v>6612</v>
      </c>
      <c r="C6044" s="65" t="s">
        <v>1181</v>
      </c>
    </row>
    <row r="6045" spans="1:3" hidden="1">
      <c r="A6045" s="65">
        <v>9008045</v>
      </c>
      <c r="B6045" s="65" t="s">
        <v>6613</v>
      </c>
      <c r="C6045" s="65" t="s">
        <v>805</v>
      </c>
    </row>
    <row r="6046" spans="1:3" hidden="1">
      <c r="A6046" s="65">
        <v>9008046</v>
      </c>
      <c r="B6046" s="65" t="s">
        <v>6614</v>
      </c>
      <c r="C6046" s="65" t="s">
        <v>1181</v>
      </c>
    </row>
    <row r="6047" spans="1:3" hidden="1">
      <c r="A6047" s="65">
        <v>9008047</v>
      </c>
      <c r="B6047" s="65" t="s">
        <v>6615</v>
      </c>
      <c r="C6047" s="65" t="s">
        <v>1181</v>
      </c>
    </row>
    <row r="6048" spans="1:3" hidden="1">
      <c r="A6048" s="65">
        <v>9008048</v>
      </c>
      <c r="B6048" s="65" t="s">
        <v>6616</v>
      </c>
      <c r="C6048" s="65" t="s">
        <v>1181</v>
      </c>
    </row>
    <row r="6049" spans="1:3" hidden="1">
      <c r="A6049" s="65">
        <v>9008049</v>
      </c>
      <c r="B6049" s="65" t="s">
        <v>6617</v>
      </c>
      <c r="C6049" s="65" t="s">
        <v>751</v>
      </c>
    </row>
    <row r="6050" spans="1:3" hidden="1">
      <c r="A6050" s="65">
        <v>9008050</v>
      </c>
      <c r="B6050" s="65" t="s">
        <v>6618</v>
      </c>
      <c r="C6050" s="65" t="s">
        <v>751</v>
      </c>
    </row>
    <row r="6051" spans="1:3" hidden="1">
      <c r="A6051" s="65">
        <v>9008051</v>
      </c>
      <c r="B6051" s="65" t="s">
        <v>6619</v>
      </c>
      <c r="C6051" s="65" t="s">
        <v>942</v>
      </c>
    </row>
    <row r="6052" spans="1:3" hidden="1">
      <c r="A6052" s="65">
        <v>9008059</v>
      </c>
      <c r="B6052" s="65" t="s">
        <v>6620</v>
      </c>
      <c r="C6052" s="65" t="s">
        <v>942</v>
      </c>
    </row>
    <row r="6053" spans="1:3" hidden="1">
      <c r="A6053" s="65">
        <v>9008060</v>
      </c>
      <c r="B6053" s="65" t="s">
        <v>6621</v>
      </c>
      <c r="C6053" s="65" t="s">
        <v>942</v>
      </c>
    </row>
    <row r="6054" spans="1:3" hidden="1">
      <c r="A6054" s="65">
        <v>9008061</v>
      </c>
      <c r="B6054" s="65" t="s">
        <v>6622</v>
      </c>
      <c r="C6054" s="65" t="s">
        <v>942</v>
      </c>
    </row>
    <row r="6055" spans="1:3" hidden="1">
      <c r="A6055" s="65">
        <v>9008062</v>
      </c>
      <c r="B6055" s="65" t="s">
        <v>6623</v>
      </c>
      <c r="C6055" s="65" t="s">
        <v>942</v>
      </c>
    </row>
    <row r="6056" spans="1:3" hidden="1">
      <c r="A6056" s="65">
        <v>9008063</v>
      </c>
      <c r="B6056" s="65" t="s">
        <v>6624</v>
      </c>
      <c r="C6056" s="65" t="s">
        <v>942</v>
      </c>
    </row>
    <row r="6057" spans="1:3" hidden="1">
      <c r="A6057" s="65">
        <v>9008064</v>
      </c>
      <c r="B6057" s="65" t="s">
        <v>6625</v>
      </c>
      <c r="C6057" s="65" t="s">
        <v>942</v>
      </c>
    </row>
    <row r="6058" spans="1:3" hidden="1">
      <c r="A6058" s="65">
        <v>9008065</v>
      </c>
      <c r="B6058" s="65" t="s">
        <v>6626</v>
      </c>
      <c r="C6058" s="65" t="s">
        <v>942</v>
      </c>
    </row>
    <row r="6059" spans="1:3" hidden="1">
      <c r="A6059" s="65">
        <v>9008066</v>
      </c>
      <c r="B6059" s="65" t="s">
        <v>6627</v>
      </c>
      <c r="C6059" s="65" t="s">
        <v>942</v>
      </c>
    </row>
    <row r="6060" spans="1:3" hidden="1">
      <c r="A6060" s="65">
        <v>9008067</v>
      </c>
      <c r="B6060" s="65" t="s">
        <v>6628</v>
      </c>
      <c r="C6060" s="65" t="s">
        <v>942</v>
      </c>
    </row>
    <row r="6061" spans="1:3" hidden="1">
      <c r="A6061" s="65">
        <v>9008068</v>
      </c>
      <c r="B6061" s="65" t="s">
        <v>6629</v>
      </c>
      <c r="C6061" s="65" t="s">
        <v>942</v>
      </c>
    </row>
    <row r="6062" spans="1:3" hidden="1">
      <c r="A6062" s="65">
        <v>9008069</v>
      </c>
      <c r="B6062" s="65" t="s">
        <v>6630</v>
      </c>
      <c r="C6062" s="65" t="s">
        <v>942</v>
      </c>
    </row>
    <row r="6063" spans="1:3" hidden="1">
      <c r="A6063" s="65">
        <v>9008070</v>
      </c>
      <c r="B6063" s="65" t="s">
        <v>6631</v>
      </c>
      <c r="C6063" s="65" t="s">
        <v>745</v>
      </c>
    </row>
    <row r="6064" spans="1:3" hidden="1">
      <c r="A6064" s="65">
        <v>9008079</v>
      </c>
      <c r="B6064" s="65" t="s">
        <v>6632</v>
      </c>
      <c r="C6064" s="65" t="s">
        <v>805</v>
      </c>
    </row>
    <row r="6065" spans="1:3" hidden="1">
      <c r="A6065" s="65">
        <v>9008080</v>
      </c>
      <c r="B6065" s="65" t="s">
        <v>6633</v>
      </c>
      <c r="C6065" s="65" t="s">
        <v>880</v>
      </c>
    </row>
    <row r="6066" spans="1:3" hidden="1">
      <c r="A6066" s="65">
        <v>9008089</v>
      </c>
      <c r="B6066" s="65" t="s">
        <v>6634</v>
      </c>
      <c r="C6066" s="65" t="s">
        <v>942</v>
      </c>
    </row>
    <row r="6067" spans="1:3" hidden="1">
      <c r="A6067" s="65">
        <v>9008099</v>
      </c>
      <c r="B6067" s="65" t="s">
        <v>6635</v>
      </c>
      <c r="C6067" s="65" t="s">
        <v>793</v>
      </c>
    </row>
    <row r="6068" spans="1:3" hidden="1">
      <c r="A6068" s="65">
        <v>9008100</v>
      </c>
      <c r="B6068" s="65" t="s">
        <v>6636</v>
      </c>
      <c r="C6068" s="65" t="s">
        <v>942</v>
      </c>
    </row>
    <row r="6069" spans="1:3" hidden="1">
      <c r="A6069" s="65">
        <v>9008101</v>
      </c>
      <c r="B6069" s="65" t="s">
        <v>6637</v>
      </c>
      <c r="C6069" s="65" t="s">
        <v>942</v>
      </c>
    </row>
    <row r="6070" spans="1:3" hidden="1">
      <c r="A6070" s="65">
        <v>9008102</v>
      </c>
      <c r="B6070" s="65" t="s">
        <v>6638</v>
      </c>
      <c r="C6070" s="65" t="s">
        <v>741</v>
      </c>
    </row>
    <row r="6071" spans="1:3" hidden="1">
      <c r="A6071" s="65">
        <v>9008109</v>
      </c>
      <c r="B6071" s="65" t="s">
        <v>6639</v>
      </c>
      <c r="C6071" s="65" t="s">
        <v>825</v>
      </c>
    </row>
    <row r="6072" spans="1:3" hidden="1">
      <c r="A6072" s="65">
        <v>9008119</v>
      </c>
      <c r="B6072" s="65" t="s">
        <v>6640</v>
      </c>
      <c r="C6072" s="65" t="s">
        <v>942</v>
      </c>
    </row>
    <row r="6073" spans="1:3" hidden="1">
      <c r="A6073" s="65">
        <v>9008120</v>
      </c>
      <c r="B6073" s="65" t="s">
        <v>6641</v>
      </c>
      <c r="C6073" s="65" t="s">
        <v>942</v>
      </c>
    </row>
    <row r="6074" spans="1:3" hidden="1">
      <c r="A6074" s="65">
        <v>9008121</v>
      </c>
      <c r="B6074" s="65" t="s">
        <v>6642</v>
      </c>
      <c r="C6074" s="65" t="s">
        <v>942</v>
      </c>
    </row>
    <row r="6075" spans="1:3" hidden="1">
      <c r="A6075" s="65">
        <v>9008122</v>
      </c>
      <c r="B6075" s="65" t="s">
        <v>6643</v>
      </c>
      <c r="C6075" s="65" t="s">
        <v>942</v>
      </c>
    </row>
    <row r="6076" spans="1:3" hidden="1">
      <c r="A6076" s="65">
        <v>9008123</v>
      </c>
      <c r="B6076" s="65" t="s">
        <v>6644</v>
      </c>
      <c r="C6076" s="65" t="s">
        <v>942</v>
      </c>
    </row>
    <row r="6077" spans="1:3" hidden="1">
      <c r="A6077" s="65">
        <v>9008124</v>
      </c>
      <c r="B6077" s="65" t="s">
        <v>6645</v>
      </c>
      <c r="C6077" s="65" t="s">
        <v>942</v>
      </c>
    </row>
    <row r="6078" spans="1:3" hidden="1">
      <c r="A6078" s="65">
        <v>9008125</v>
      </c>
      <c r="B6078" s="65" t="s">
        <v>6646</v>
      </c>
      <c r="C6078" s="65" t="s">
        <v>942</v>
      </c>
    </row>
    <row r="6079" spans="1:3" hidden="1">
      <c r="A6079" s="65">
        <v>9008126</v>
      </c>
      <c r="B6079" s="65" t="s">
        <v>6647</v>
      </c>
      <c r="C6079" s="65" t="s">
        <v>942</v>
      </c>
    </row>
    <row r="6080" spans="1:3" hidden="1">
      <c r="A6080" s="65">
        <v>9008127</v>
      </c>
      <c r="B6080" s="65" t="s">
        <v>6648</v>
      </c>
      <c r="C6080" s="65" t="s">
        <v>942</v>
      </c>
    </row>
    <row r="6081" spans="1:3" hidden="1">
      <c r="A6081" s="65">
        <v>9008128</v>
      </c>
      <c r="B6081" s="65" t="s">
        <v>6649</v>
      </c>
      <c r="C6081" s="65" t="s">
        <v>942</v>
      </c>
    </row>
    <row r="6082" spans="1:3" hidden="1">
      <c r="A6082" s="65">
        <v>9008129</v>
      </c>
      <c r="B6082" s="65" t="s">
        <v>6650</v>
      </c>
      <c r="C6082" s="65" t="s">
        <v>942</v>
      </c>
    </row>
    <row r="6083" spans="1:3" hidden="1">
      <c r="A6083" s="65">
        <v>9008130</v>
      </c>
      <c r="B6083" s="65" t="s">
        <v>6651</v>
      </c>
      <c r="C6083" s="65" t="s">
        <v>942</v>
      </c>
    </row>
    <row r="6084" spans="1:3" hidden="1">
      <c r="A6084" s="65">
        <v>9008131</v>
      </c>
      <c r="B6084" s="65" t="s">
        <v>6652</v>
      </c>
      <c r="C6084" s="65" t="s">
        <v>942</v>
      </c>
    </row>
    <row r="6085" spans="1:3" hidden="1">
      <c r="A6085" s="65">
        <v>9008132</v>
      </c>
      <c r="B6085" s="65" t="s">
        <v>6653</v>
      </c>
      <c r="C6085" s="65" t="s">
        <v>942</v>
      </c>
    </row>
    <row r="6086" spans="1:3" hidden="1">
      <c r="A6086" s="65">
        <v>9008133</v>
      </c>
      <c r="B6086" s="65" t="s">
        <v>6654</v>
      </c>
      <c r="C6086" s="65" t="s">
        <v>942</v>
      </c>
    </row>
    <row r="6087" spans="1:3" hidden="1">
      <c r="A6087" s="65">
        <v>9008134</v>
      </c>
      <c r="B6087" s="65" t="s">
        <v>6655</v>
      </c>
      <c r="C6087" s="65" t="s">
        <v>942</v>
      </c>
    </row>
    <row r="6088" spans="1:3" hidden="1">
      <c r="A6088" s="65">
        <v>9008135</v>
      </c>
      <c r="B6088" s="65" t="s">
        <v>6656</v>
      </c>
      <c r="C6088" s="65" t="s">
        <v>942</v>
      </c>
    </row>
    <row r="6089" spans="1:3" hidden="1">
      <c r="A6089" s="65">
        <v>9008136</v>
      </c>
      <c r="B6089" s="65" t="s">
        <v>6657</v>
      </c>
      <c r="C6089" s="65" t="s">
        <v>942</v>
      </c>
    </row>
    <row r="6090" spans="1:3" hidden="1">
      <c r="A6090" s="65">
        <v>9008137</v>
      </c>
      <c r="B6090" s="65" t="s">
        <v>6658</v>
      </c>
      <c r="C6090" s="65" t="s">
        <v>942</v>
      </c>
    </row>
    <row r="6091" spans="1:3" hidden="1">
      <c r="A6091" s="65">
        <v>9008138</v>
      </c>
      <c r="B6091" s="65" t="s">
        <v>6659</v>
      </c>
      <c r="C6091" s="65" t="s">
        <v>942</v>
      </c>
    </row>
    <row r="6092" spans="1:3" hidden="1">
      <c r="A6092" s="65">
        <v>9008139</v>
      </c>
      <c r="B6092" s="65" t="s">
        <v>6660</v>
      </c>
      <c r="C6092" s="65" t="s">
        <v>942</v>
      </c>
    </row>
    <row r="6093" spans="1:3" hidden="1">
      <c r="A6093" s="65">
        <v>9008140</v>
      </c>
      <c r="B6093" s="65" t="s">
        <v>6661</v>
      </c>
      <c r="C6093" s="65" t="s">
        <v>942</v>
      </c>
    </row>
    <row r="6094" spans="1:3" hidden="1">
      <c r="A6094" s="65">
        <v>9008149</v>
      </c>
      <c r="B6094" s="65" t="s">
        <v>6662</v>
      </c>
      <c r="C6094" s="65" t="s">
        <v>942</v>
      </c>
    </row>
    <row r="6095" spans="1:3" hidden="1">
      <c r="A6095" s="65">
        <v>9008159</v>
      </c>
      <c r="B6095" s="65" t="s">
        <v>6663</v>
      </c>
      <c r="C6095" s="65" t="s">
        <v>850</v>
      </c>
    </row>
    <row r="6096" spans="1:3" hidden="1">
      <c r="A6096" s="65">
        <v>9008160</v>
      </c>
      <c r="B6096" s="65" t="s">
        <v>6664</v>
      </c>
      <c r="C6096" s="65" t="s">
        <v>942</v>
      </c>
    </row>
    <row r="6097" spans="1:3" hidden="1">
      <c r="A6097" s="65">
        <v>9008169</v>
      </c>
      <c r="B6097" s="65" t="s">
        <v>6665</v>
      </c>
      <c r="C6097" s="65" t="s">
        <v>942</v>
      </c>
    </row>
    <row r="6098" spans="1:3" hidden="1">
      <c r="A6098" s="65">
        <v>9008170</v>
      </c>
      <c r="B6098" s="65" t="s">
        <v>6666</v>
      </c>
      <c r="C6098" s="65" t="s">
        <v>942</v>
      </c>
    </row>
    <row r="6099" spans="1:3" hidden="1">
      <c r="A6099" s="65">
        <v>9008171</v>
      </c>
      <c r="B6099" s="65" t="s">
        <v>6667</v>
      </c>
      <c r="C6099" s="65" t="s">
        <v>942</v>
      </c>
    </row>
    <row r="6100" spans="1:3" hidden="1">
      <c r="A6100" s="65">
        <v>9008172</v>
      </c>
      <c r="B6100" s="65" t="s">
        <v>6668</v>
      </c>
      <c r="C6100" s="65" t="s">
        <v>942</v>
      </c>
    </row>
    <row r="6101" spans="1:3" hidden="1">
      <c r="A6101" s="65">
        <v>9008173</v>
      </c>
      <c r="B6101" s="65" t="s">
        <v>6669</v>
      </c>
      <c r="C6101" s="65" t="s">
        <v>793</v>
      </c>
    </row>
    <row r="6102" spans="1:3" hidden="1">
      <c r="A6102" s="65">
        <v>9008174</v>
      </c>
      <c r="B6102" s="65" t="s">
        <v>6670</v>
      </c>
      <c r="C6102" s="65" t="s">
        <v>793</v>
      </c>
    </row>
    <row r="6103" spans="1:3" hidden="1">
      <c r="A6103" s="65">
        <v>9008175</v>
      </c>
      <c r="B6103" s="65" t="s">
        <v>6671</v>
      </c>
      <c r="C6103" s="65" t="s">
        <v>793</v>
      </c>
    </row>
    <row r="6104" spans="1:3" hidden="1">
      <c r="A6104" s="65">
        <v>9008176</v>
      </c>
      <c r="B6104" s="65" t="s">
        <v>6672</v>
      </c>
      <c r="C6104" s="65" t="s">
        <v>793</v>
      </c>
    </row>
    <row r="6105" spans="1:3" hidden="1">
      <c r="A6105" s="65">
        <v>9008177</v>
      </c>
      <c r="B6105" s="65" t="s">
        <v>6673</v>
      </c>
      <c r="C6105" s="65" t="s">
        <v>793</v>
      </c>
    </row>
    <row r="6106" spans="1:3" hidden="1">
      <c r="A6106" s="65">
        <v>9008178</v>
      </c>
      <c r="B6106" s="65" t="s">
        <v>6674</v>
      </c>
      <c r="C6106" s="65" t="s">
        <v>793</v>
      </c>
    </row>
    <row r="6107" spans="1:3" hidden="1">
      <c r="A6107" s="65">
        <v>9008179</v>
      </c>
      <c r="B6107" s="65" t="s">
        <v>6675</v>
      </c>
      <c r="C6107" s="65" t="s">
        <v>793</v>
      </c>
    </row>
    <row r="6108" spans="1:3" hidden="1">
      <c r="A6108" s="65">
        <v>9008180</v>
      </c>
      <c r="B6108" s="65" t="s">
        <v>6676</v>
      </c>
      <c r="C6108" s="65" t="s">
        <v>793</v>
      </c>
    </row>
    <row r="6109" spans="1:3" hidden="1">
      <c r="A6109" s="65">
        <v>9008181</v>
      </c>
      <c r="B6109" s="65" t="s">
        <v>6677</v>
      </c>
      <c r="C6109" s="65" t="s">
        <v>793</v>
      </c>
    </row>
    <row r="6110" spans="1:3" hidden="1">
      <c r="A6110" s="65">
        <v>9008182</v>
      </c>
      <c r="B6110" s="65" t="s">
        <v>6678</v>
      </c>
      <c r="C6110" s="65" t="s">
        <v>793</v>
      </c>
    </row>
    <row r="6111" spans="1:3" hidden="1">
      <c r="A6111" s="65">
        <v>9008183</v>
      </c>
      <c r="B6111" s="65" t="s">
        <v>6679</v>
      </c>
      <c r="C6111" s="65" t="s">
        <v>793</v>
      </c>
    </row>
    <row r="6112" spans="1:3" hidden="1">
      <c r="A6112" s="65">
        <v>9008184</v>
      </c>
      <c r="B6112" s="65" t="s">
        <v>6680</v>
      </c>
      <c r="C6112" s="65" t="s">
        <v>793</v>
      </c>
    </row>
    <row r="6113" spans="1:3" hidden="1">
      <c r="A6113" s="65">
        <v>9008185</v>
      </c>
      <c r="B6113" s="65" t="s">
        <v>6681</v>
      </c>
      <c r="C6113" s="65" t="s">
        <v>793</v>
      </c>
    </row>
    <row r="6114" spans="1:3" hidden="1">
      <c r="A6114" s="65">
        <v>9008186</v>
      </c>
      <c r="B6114" s="65" t="s">
        <v>6682</v>
      </c>
      <c r="C6114" s="65" t="s">
        <v>793</v>
      </c>
    </row>
    <row r="6115" spans="1:3" hidden="1">
      <c r="A6115" s="65">
        <v>9008187</v>
      </c>
      <c r="B6115" s="65" t="s">
        <v>6683</v>
      </c>
      <c r="C6115" s="65" t="s">
        <v>793</v>
      </c>
    </row>
    <row r="6116" spans="1:3" hidden="1">
      <c r="A6116" s="65">
        <v>9008188</v>
      </c>
      <c r="B6116" s="65" t="s">
        <v>6684</v>
      </c>
      <c r="C6116" s="65" t="s">
        <v>793</v>
      </c>
    </row>
    <row r="6117" spans="1:3" hidden="1">
      <c r="A6117" s="65">
        <v>9008189</v>
      </c>
      <c r="B6117" s="65" t="s">
        <v>6685</v>
      </c>
      <c r="C6117" s="65" t="s">
        <v>793</v>
      </c>
    </row>
    <row r="6118" spans="1:3" hidden="1">
      <c r="A6118" s="65">
        <v>9008190</v>
      </c>
      <c r="B6118" s="65" t="s">
        <v>6686</v>
      </c>
      <c r="C6118" s="65" t="s">
        <v>793</v>
      </c>
    </row>
    <row r="6119" spans="1:3" hidden="1">
      <c r="A6119" s="65">
        <v>9008191</v>
      </c>
      <c r="B6119" s="65" t="s">
        <v>6687</v>
      </c>
      <c r="C6119" s="65" t="s">
        <v>793</v>
      </c>
    </row>
    <row r="6120" spans="1:3" hidden="1">
      <c r="A6120" s="65">
        <v>9008192</v>
      </c>
      <c r="B6120" s="65" t="s">
        <v>6688</v>
      </c>
      <c r="C6120" s="65" t="s">
        <v>793</v>
      </c>
    </row>
    <row r="6121" spans="1:3" hidden="1">
      <c r="A6121" s="65">
        <v>9008193</v>
      </c>
      <c r="B6121" s="65" t="s">
        <v>6689</v>
      </c>
      <c r="C6121" s="65" t="s">
        <v>793</v>
      </c>
    </row>
    <row r="6122" spans="1:3" hidden="1">
      <c r="A6122" s="65">
        <v>9008194</v>
      </c>
      <c r="B6122" s="65" t="s">
        <v>6690</v>
      </c>
      <c r="C6122" s="65" t="s">
        <v>793</v>
      </c>
    </row>
    <row r="6123" spans="1:3" hidden="1">
      <c r="A6123" s="65">
        <v>9008195</v>
      </c>
      <c r="B6123" s="65" t="s">
        <v>6691</v>
      </c>
      <c r="C6123" s="65" t="s">
        <v>793</v>
      </c>
    </row>
    <row r="6124" spans="1:3" hidden="1">
      <c r="A6124" s="65">
        <v>9008196</v>
      </c>
      <c r="B6124" s="65" t="s">
        <v>6692</v>
      </c>
      <c r="C6124" s="65" t="s">
        <v>793</v>
      </c>
    </row>
    <row r="6125" spans="1:3" hidden="1">
      <c r="A6125" s="65">
        <v>9008197</v>
      </c>
      <c r="B6125" s="65" t="s">
        <v>6693</v>
      </c>
      <c r="C6125" s="65" t="s">
        <v>793</v>
      </c>
    </row>
    <row r="6126" spans="1:3" hidden="1">
      <c r="A6126" s="65">
        <v>9008198</v>
      </c>
      <c r="B6126" s="65" t="s">
        <v>6694</v>
      </c>
      <c r="C6126" s="65" t="s">
        <v>793</v>
      </c>
    </row>
    <row r="6127" spans="1:3" hidden="1">
      <c r="A6127" s="65">
        <v>9008209</v>
      </c>
      <c r="B6127" s="65" t="s">
        <v>6695</v>
      </c>
      <c r="C6127" s="65" t="s">
        <v>793</v>
      </c>
    </row>
    <row r="6128" spans="1:3" hidden="1">
      <c r="A6128" s="65">
        <v>9008210</v>
      </c>
      <c r="B6128" s="65" t="s">
        <v>6696</v>
      </c>
      <c r="C6128" s="65" t="s">
        <v>793</v>
      </c>
    </row>
    <row r="6129" spans="1:3" hidden="1">
      <c r="A6129" s="65">
        <v>9008211</v>
      </c>
      <c r="B6129" s="65" t="s">
        <v>6697</v>
      </c>
      <c r="C6129" s="65" t="s">
        <v>793</v>
      </c>
    </row>
    <row r="6130" spans="1:3" hidden="1">
      <c r="A6130" s="65">
        <v>9008212</v>
      </c>
      <c r="B6130" s="65" t="s">
        <v>6698</v>
      </c>
      <c r="C6130" s="65" t="s">
        <v>793</v>
      </c>
    </row>
    <row r="6131" spans="1:3" hidden="1">
      <c r="A6131" s="65">
        <v>9008213</v>
      </c>
      <c r="B6131" s="65" t="s">
        <v>6699</v>
      </c>
      <c r="C6131" s="65" t="s">
        <v>793</v>
      </c>
    </row>
    <row r="6132" spans="1:3" hidden="1">
      <c r="A6132" s="65">
        <v>9008214</v>
      </c>
      <c r="B6132" s="65" t="s">
        <v>6700</v>
      </c>
      <c r="C6132" s="65" t="s">
        <v>793</v>
      </c>
    </row>
    <row r="6133" spans="1:3" hidden="1">
      <c r="A6133" s="65">
        <v>9008215</v>
      </c>
      <c r="B6133" s="65" t="s">
        <v>6701</v>
      </c>
      <c r="C6133" s="65" t="s">
        <v>793</v>
      </c>
    </row>
    <row r="6134" spans="1:3" hidden="1">
      <c r="A6134" s="65">
        <v>9008216</v>
      </c>
      <c r="B6134" s="65" t="s">
        <v>6702</v>
      </c>
      <c r="C6134" s="65" t="s">
        <v>793</v>
      </c>
    </row>
    <row r="6135" spans="1:3" hidden="1">
      <c r="A6135" s="65">
        <v>9008217</v>
      </c>
      <c r="B6135" s="65" t="s">
        <v>6703</v>
      </c>
      <c r="C6135" s="65" t="s">
        <v>793</v>
      </c>
    </row>
    <row r="6136" spans="1:3" hidden="1">
      <c r="A6136" s="65">
        <v>9008218</v>
      </c>
      <c r="B6136" s="65" t="s">
        <v>6704</v>
      </c>
      <c r="C6136" s="65" t="s">
        <v>793</v>
      </c>
    </row>
    <row r="6137" spans="1:3" hidden="1">
      <c r="A6137" s="65">
        <v>9008219</v>
      </c>
      <c r="B6137" s="65" t="s">
        <v>6705</v>
      </c>
      <c r="C6137" s="65" t="s">
        <v>793</v>
      </c>
    </row>
    <row r="6138" spans="1:3" hidden="1">
      <c r="A6138" s="65">
        <v>9008220</v>
      </c>
      <c r="B6138" s="65" t="s">
        <v>6706</v>
      </c>
      <c r="C6138" s="65" t="s">
        <v>793</v>
      </c>
    </row>
    <row r="6139" spans="1:3" hidden="1">
      <c r="A6139" s="65">
        <v>9008221</v>
      </c>
      <c r="B6139" s="65" t="s">
        <v>6707</v>
      </c>
      <c r="C6139" s="65" t="s">
        <v>793</v>
      </c>
    </row>
    <row r="6140" spans="1:3" hidden="1">
      <c r="A6140" s="65">
        <v>9008222</v>
      </c>
      <c r="B6140" s="65" t="s">
        <v>6708</v>
      </c>
      <c r="C6140" s="65" t="s">
        <v>793</v>
      </c>
    </row>
    <row r="6141" spans="1:3" hidden="1">
      <c r="A6141" s="65">
        <v>9008223</v>
      </c>
      <c r="B6141" s="65" t="s">
        <v>6709</v>
      </c>
      <c r="C6141" s="65" t="s">
        <v>793</v>
      </c>
    </row>
    <row r="6142" spans="1:3" hidden="1">
      <c r="A6142" s="65">
        <v>9008224</v>
      </c>
      <c r="B6142" s="65" t="s">
        <v>6710</v>
      </c>
      <c r="C6142" s="65" t="s">
        <v>793</v>
      </c>
    </row>
    <row r="6143" spans="1:3" hidden="1">
      <c r="A6143" s="65">
        <v>9008229</v>
      </c>
      <c r="B6143" s="65" t="s">
        <v>6711</v>
      </c>
      <c r="C6143" s="65" t="s">
        <v>942</v>
      </c>
    </row>
    <row r="6144" spans="1:3" hidden="1">
      <c r="A6144" s="65">
        <v>9008239</v>
      </c>
      <c r="B6144" s="65" t="s">
        <v>6712</v>
      </c>
      <c r="C6144" s="65" t="s">
        <v>683</v>
      </c>
    </row>
    <row r="6145" spans="1:3" hidden="1">
      <c r="A6145" s="65">
        <v>9008240</v>
      </c>
      <c r="B6145" s="65" t="s">
        <v>6713</v>
      </c>
      <c r="C6145" s="65" t="s">
        <v>738</v>
      </c>
    </row>
    <row r="6146" spans="1:3" hidden="1">
      <c r="A6146" s="65">
        <v>9008241</v>
      </c>
      <c r="B6146" s="65" t="s">
        <v>6714</v>
      </c>
      <c r="C6146" s="65" t="s">
        <v>1181</v>
      </c>
    </row>
    <row r="6147" spans="1:3" hidden="1">
      <c r="A6147" s="65">
        <v>9008242</v>
      </c>
      <c r="B6147" s="65" t="s">
        <v>6715</v>
      </c>
      <c r="C6147" s="65" t="s">
        <v>805</v>
      </c>
    </row>
    <row r="6148" spans="1:3" hidden="1">
      <c r="A6148" s="65">
        <v>9008243</v>
      </c>
      <c r="B6148" s="65" t="s">
        <v>6716</v>
      </c>
      <c r="C6148" s="65" t="s">
        <v>738</v>
      </c>
    </row>
    <row r="6149" spans="1:3" hidden="1">
      <c r="A6149" s="65">
        <v>9008244</v>
      </c>
      <c r="B6149" s="65" t="s">
        <v>6717</v>
      </c>
      <c r="C6149" s="65" t="s">
        <v>1181</v>
      </c>
    </row>
    <row r="6150" spans="1:3" hidden="1">
      <c r="A6150" s="65">
        <v>9008245</v>
      </c>
      <c r="B6150" s="65" t="s">
        <v>6718</v>
      </c>
      <c r="C6150" s="65" t="s">
        <v>738</v>
      </c>
    </row>
    <row r="6151" spans="1:3" hidden="1">
      <c r="A6151" s="65">
        <v>9008246</v>
      </c>
      <c r="B6151" s="65" t="s">
        <v>6719</v>
      </c>
      <c r="C6151" s="65" t="s">
        <v>738</v>
      </c>
    </row>
    <row r="6152" spans="1:3" hidden="1">
      <c r="A6152" s="65">
        <v>9008247</v>
      </c>
      <c r="B6152" s="65" t="s">
        <v>6720</v>
      </c>
      <c r="C6152" s="65" t="s">
        <v>793</v>
      </c>
    </row>
    <row r="6153" spans="1:3" hidden="1">
      <c r="A6153" s="65">
        <v>9008248</v>
      </c>
      <c r="B6153" s="65" t="s">
        <v>6721</v>
      </c>
      <c r="C6153" s="65" t="s">
        <v>805</v>
      </c>
    </row>
    <row r="6154" spans="1:3" hidden="1">
      <c r="A6154" s="65">
        <v>9008249</v>
      </c>
      <c r="B6154" s="65" t="s">
        <v>6722</v>
      </c>
      <c r="C6154" s="65" t="s">
        <v>683</v>
      </c>
    </row>
    <row r="6155" spans="1:3" hidden="1">
      <c r="A6155" s="65">
        <v>9008250</v>
      </c>
      <c r="B6155" s="65" t="s">
        <v>6723</v>
      </c>
      <c r="C6155" s="65" t="s">
        <v>738</v>
      </c>
    </row>
    <row r="6156" spans="1:3" hidden="1">
      <c r="A6156" s="65">
        <v>9008251</v>
      </c>
      <c r="B6156" s="65" t="s">
        <v>6724</v>
      </c>
      <c r="C6156" s="65" t="s">
        <v>738</v>
      </c>
    </row>
    <row r="6157" spans="1:3" hidden="1">
      <c r="A6157" s="65">
        <v>9008252</v>
      </c>
      <c r="B6157" s="65" t="s">
        <v>6725</v>
      </c>
      <c r="C6157" s="65" t="s">
        <v>738</v>
      </c>
    </row>
    <row r="6158" spans="1:3" hidden="1">
      <c r="A6158" s="65">
        <v>9008253</v>
      </c>
      <c r="B6158" s="65" t="s">
        <v>6726</v>
      </c>
      <c r="C6158" s="65" t="s">
        <v>738</v>
      </c>
    </row>
    <row r="6159" spans="1:3" hidden="1">
      <c r="A6159" s="65">
        <v>9008254</v>
      </c>
      <c r="B6159" s="65" t="s">
        <v>6727</v>
      </c>
      <c r="C6159" s="65" t="s">
        <v>738</v>
      </c>
    </row>
    <row r="6160" spans="1:3" hidden="1">
      <c r="A6160" s="65">
        <v>9008255</v>
      </c>
      <c r="B6160" s="65" t="s">
        <v>6728</v>
      </c>
      <c r="C6160" s="65" t="s">
        <v>805</v>
      </c>
    </row>
    <row r="6161" spans="1:3" hidden="1">
      <c r="A6161" s="65">
        <v>9008256</v>
      </c>
      <c r="B6161" s="65" t="s">
        <v>6729</v>
      </c>
      <c r="C6161" s="65" t="s">
        <v>3170</v>
      </c>
    </row>
    <row r="6162" spans="1:3" hidden="1">
      <c r="A6162" s="65">
        <v>9008257</v>
      </c>
      <c r="B6162" s="65" t="s">
        <v>6730</v>
      </c>
      <c r="C6162" s="65" t="s">
        <v>3170</v>
      </c>
    </row>
    <row r="6163" spans="1:3" hidden="1">
      <c r="A6163" s="65">
        <v>9008258</v>
      </c>
      <c r="B6163" s="65" t="s">
        <v>6731</v>
      </c>
      <c r="C6163" s="65" t="s">
        <v>3170</v>
      </c>
    </row>
    <row r="6164" spans="1:3" hidden="1">
      <c r="A6164" s="65">
        <v>9008259</v>
      </c>
      <c r="B6164" s="65" t="s">
        <v>6732</v>
      </c>
      <c r="C6164" s="65" t="s">
        <v>942</v>
      </c>
    </row>
    <row r="6165" spans="1:3" hidden="1">
      <c r="A6165" s="65">
        <v>9008260</v>
      </c>
      <c r="B6165" s="65" t="s">
        <v>6733</v>
      </c>
      <c r="C6165" s="65" t="s">
        <v>3170</v>
      </c>
    </row>
    <row r="6166" spans="1:3" hidden="1">
      <c r="A6166" s="65">
        <v>9008261</v>
      </c>
      <c r="B6166" s="65" t="s">
        <v>6734</v>
      </c>
      <c r="C6166" s="65" t="s">
        <v>3170</v>
      </c>
    </row>
    <row r="6167" spans="1:3" hidden="1">
      <c r="A6167" s="65">
        <v>9008262</v>
      </c>
      <c r="B6167" s="65" t="s">
        <v>6735</v>
      </c>
      <c r="C6167" s="65" t="s">
        <v>3170</v>
      </c>
    </row>
    <row r="6168" spans="1:3" hidden="1">
      <c r="A6168" s="65">
        <v>9008263</v>
      </c>
      <c r="B6168" s="65" t="s">
        <v>6736</v>
      </c>
      <c r="C6168" s="65" t="s">
        <v>3170</v>
      </c>
    </row>
    <row r="6169" spans="1:3" hidden="1">
      <c r="A6169" s="65">
        <v>9008264</v>
      </c>
      <c r="B6169" s="65" t="s">
        <v>6737</v>
      </c>
      <c r="C6169" s="65" t="s">
        <v>3170</v>
      </c>
    </row>
    <row r="6170" spans="1:3" hidden="1">
      <c r="A6170" s="65">
        <v>9008265</v>
      </c>
      <c r="B6170" s="65" t="s">
        <v>6738</v>
      </c>
      <c r="C6170" s="65" t="s">
        <v>3170</v>
      </c>
    </row>
    <row r="6171" spans="1:3" hidden="1">
      <c r="A6171" s="65">
        <v>9008266</v>
      </c>
      <c r="B6171" s="65" t="s">
        <v>6739</v>
      </c>
      <c r="C6171" s="65" t="s">
        <v>3170</v>
      </c>
    </row>
    <row r="6172" spans="1:3" hidden="1">
      <c r="A6172" s="65">
        <v>9008267</v>
      </c>
      <c r="B6172" s="65" t="s">
        <v>6740</v>
      </c>
      <c r="C6172" s="65" t="s">
        <v>3170</v>
      </c>
    </row>
    <row r="6173" spans="1:3" hidden="1">
      <c r="A6173" s="65">
        <v>9008268</v>
      </c>
      <c r="B6173" s="65" t="s">
        <v>6741</v>
      </c>
      <c r="C6173" s="65" t="s">
        <v>3170</v>
      </c>
    </row>
    <row r="6174" spans="1:3" hidden="1">
      <c r="A6174" s="65">
        <v>9008269</v>
      </c>
      <c r="B6174" s="65" t="s">
        <v>6742</v>
      </c>
      <c r="C6174" s="65" t="s">
        <v>3170</v>
      </c>
    </row>
    <row r="6175" spans="1:3" hidden="1">
      <c r="A6175" s="65">
        <v>9008270</v>
      </c>
      <c r="B6175" s="65" t="s">
        <v>6743</v>
      </c>
      <c r="C6175" s="65" t="s">
        <v>3170</v>
      </c>
    </row>
    <row r="6176" spans="1:3" hidden="1">
      <c r="A6176" s="65">
        <v>9008271</v>
      </c>
      <c r="B6176" s="65" t="s">
        <v>6744</v>
      </c>
      <c r="C6176" s="65" t="s">
        <v>3170</v>
      </c>
    </row>
    <row r="6177" spans="1:3" hidden="1">
      <c r="A6177" s="65">
        <v>9008272</v>
      </c>
      <c r="B6177" s="65" t="s">
        <v>6734</v>
      </c>
      <c r="C6177" s="65" t="s">
        <v>942</v>
      </c>
    </row>
    <row r="6178" spans="1:3" hidden="1">
      <c r="A6178" s="65">
        <v>9008273</v>
      </c>
      <c r="B6178" s="65" t="s">
        <v>6745</v>
      </c>
      <c r="C6178" s="65" t="s">
        <v>3170</v>
      </c>
    </row>
    <row r="6179" spans="1:3" hidden="1">
      <c r="A6179" s="65">
        <v>9008274</v>
      </c>
      <c r="B6179" s="65" t="s">
        <v>6746</v>
      </c>
      <c r="C6179" s="65" t="s">
        <v>3170</v>
      </c>
    </row>
    <row r="6180" spans="1:3" hidden="1">
      <c r="A6180" s="65">
        <v>9008275</v>
      </c>
      <c r="B6180" s="65" t="s">
        <v>6747</v>
      </c>
      <c r="C6180" s="65" t="s">
        <v>942</v>
      </c>
    </row>
    <row r="6181" spans="1:3" hidden="1">
      <c r="A6181" s="65">
        <v>9008276</v>
      </c>
      <c r="B6181" s="65" t="s">
        <v>6748</v>
      </c>
      <c r="C6181" s="65" t="s">
        <v>3170</v>
      </c>
    </row>
    <row r="6182" spans="1:3" hidden="1">
      <c r="A6182" s="65">
        <v>9008277</v>
      </c>
      <c r="B6182" s="65" t="s">
        <v>6749</v>
      </c>
      <c r="C6182" s="65" t="s">
        <v>3170</v>
      </c>
    </row>
    <row r="6183" spans="1:3" hidden="1">
      <c r="A6183" s="65">
        <v>9008278</v>
      </c>
      <c r="B6183" s="65" t="s">
        <v>6750</v>
      </c>
      <c r="C6183" s="65" t="s">
        <v>3170</v>
      </c>
    </row>
    <row r="6184" spans="1:3" hidden="1">
      <c r="A6184" s="65">
        <v>9008279</v>
      </c>
      <c r="B6184" s="65" t="s">
        <v>6751</v>
      </c>
      <c r="C6184" s="65" t="s">
        <v>3170</v>
      </c>
    </row>
    <row r="6185" spans="1:3" hidden="1">
      <c r="A6185" s="65">
        <v>9008280</v>
      </c>
      <c r="B6185" s="65" t="s">
        <v>6752</v>
      </c>
      <c r="C6185" s="65" t="s">
        <v>3170</v>
      </c>
    </row>
    <row r="6186" spans="1:3" hidden="1">
      <c r="A6186" s="65">
        <v>9008281</v>
      </c>
      <c r="B6186" s="65" t="s">
        <v>6753</v>
      </c>
      <c r="C6186" s="65" t="s">
        <v>942</v>
      </c>
    </row>
    <row r="6187" spans="1:3" hidden="1">
      <c r="A6187" s="65">
        <v>9008282</v>
      </c>
      <c r="B6187" s="65" t="s">
        <v>6754</v>
      </c>
      <c r="C6187" s="65" t="s">
        <v>1598</v>
      </c>
    </row>
    <row r="6188" spans="1:3" hidden="1">
      <c r="A6188" s="65">
        <v>9008283</v>
      </c>
      <c r="B6188" s="65" t="s">
        <v>6755</v>
      </c>
      <c r="C6188" s="65" t="s">
        <v>793</v>
      </c>
    </row>
    <row r="6189" spans="1:3" hidden="1">
      <c r="A6189" s="65">
        <v>9008284</v>
      </c>
      <c r="B6189" s="65" t="s">
        <v>6756</v>
      </c>
      <c r="C6189" s="65" t="s">
        <v>793</v>
      </c>
    </row>
    <row r="6190" spans="1:3" hidden="1">
      <c r="A6190" s="65">
        <v>9008285</v>
      </c>
      <c r="B6190" s="65" t="s">
        <v>6757</v>
      </c>
      <c r="C6190" s="65" t="s">
        <v>942</v>
      </c>
    </row>
    <row r="6191" spans="1:3" hidden="1">
      <c r="A6191" s="65">
        <v>9008286</v>
      </c>
      <c r="B6191" s="65" t="s">
        <v>6758</v>
      </c>
      <c r="C6191" s="65" t="s">
        <v>942</v>
      </c>
    </row>
    <row r="6192" spans="1:3" hidden="1">
      <c r="A6192" s="65">
        <v>9008287</v>
      </c>
      <c r="B6192" s="65" t="s">
        <v>6759</v>
      </c>
      <c r="C6192" s="65" t="s">
        <v>805</v>
      </c>
    </row>
    <row r="6193" spans="1:3" hidden="1">
      <c r="A6193" s="65">
        <v>9008288</v>
      </c>
      <c r="B6193" s="65" t="s">
        <v>6760</v>
      </c>
      <c r="C6193" s="65" t="s">
        <v>805</v>
      </c>
    </row>
    <row r="6194" spans="1:3" hidden="1">
      <c r="A6194" s="65">
        <v>9008289</v>
      </c>
      <c r="B6194" s="65" t="s">
        <v>6761</v>
      </c>
      <c r="C6194" s="65" t="s">
        <v>942</v>
      </c>
    </row>
    <row r="6195" spans="1:3" hidden="1">
      <c r="A6195" s="65">
        <v>9008290</v>
      </c>
      <c r="B6195" s="65" t="s">
        <v>6762</v>
      </c>
      <c r="C6195" s="65" t="s">
        <v>942</v>
      </c>
    </row>
    <row r="6196" spans="1:3" hidden="1">
      <c r="A6196" s="65">
        <v>9008291</v>
      </c>
      <c r="B6196" s="65" t="s">
        <v>6763</v>
      </c>
      <c r="C6196" s="65" t="s">
        <v>942</v>
      </c>
    </row>
    <row r="6197" spans="1:3" hidden="1">
      <c r="A6197" s="65">
        <v>9008299</v>
      </c>
      <c r="B6197" s="65" t="s">
        <v>6764</v>
      </c>
      <c r="C6197" s="65" t="s">
        <v>942</v>
      </c>
    </row>
    <row r="6198" spans="1:3" hidden="1">
      <c r="A6198" s="65">
        <v>9008300</v>
      </c>
      <c r="B6198" s="65" t="s">
        <v>6765</v>
      </c>
      <c r="C6198" s="65" t="s">
        <v>942</v>
      </c>
    </row>
    <row r="6199" spans="1:3" hidden="1">
      <c r="A6199" s="65">
        <v>9008301</v>
      </c>
      <c r="B6199" s="65" t="s">
        <v>6766</v>
      </c>
      <c r="C6199" s="65" t="s">
        <v>942</v>
      </c>
    </row>
    <row r="6200" spans="1:3" hidden="1">
      <c r="A6200" s="65">
        <v>9008302</v>
      </c>
      <c r="B6200" s="65" t="s">
        <v>6767</v>
      </c>
      <c r="C6200" s="65" t="s">
        <v>942</v>
      </c>
    </row>
    <row r="6201" spans="1:3" hidden="1">
      <c r="A6201" s="65">
        <v>9008303</v>
      </c>
      <c r="B6201" s="65" t="s">
        <v>6768</v>
      </c>
      <c r="C6201" s="65" t="s">
        <v>942</v>
      </c>
    </row>
    <row r="6202" spans="1:3" hidden="1">
      <c r="A6202" s="65">
        <v>9008304</v>
      </c>
      <c r="B6202" s="65" t="s">
        <v>6769</v>
      </c>
      <c r="C6202" s="65" t="s">
        <v>942</v>
      </c>
    </row>
    <row r="6203" spans="1:3" hidden="1">
      <c r="A6203" s="65">
        <v>9008305</v>
      </c>
      <c r="B6203" s="65" t="s">
        <v>6770</v>
      </c>
      <c r="C6203" s="65" t="s">
        <v>942</v>
      </c>
    </row>
    <row r="6204" spans="1:3" hidden="1">
      <c r="A6204" s="65">
        <v>9008306</v>
      </c>
      <c r="B6204" s="65" t="s">
        <v>6771</v>
      </c>
      <c r="C6204" s="65" t="s">
        <v>942</v>
      </c>
    </row>
    <row r="6205" spans="1:3" hidden="1">
      <c r="A6205" s="65">
        <v>9008307</v>
      </c>
      <c r="B6205" s="65" t="s">
        <v>6772</v>
      </c>
      <c r="C6205" s="65" t="s">
        <v>942</v>
      </c>
    </row>
    <row r="6206" spans="1:3" hidden="1">
      <c r="A6206" s="65">
        <v>9008308</v>
      </c>
      <c r="B6206" s="65" t="s">
        <v>6773</v>
      </c>
      <c r="C6206" s="65" t="s">
        <v>942</v>
      </c>
    </row>
    <row r="6207" spans="1:3" hidden="1">
      <c r="A6207" s="65">
        <v>9008309</v>
      </c>
      <c r="B6207" s="65" t="s">
        <v>6774</v>
      </c>
      <c r="C6207" s="65" t="s">
        <v>942</v>
      </c>
    </row>
    <row r="6208" spans="1:3" hidden="1">
      <c r="A6208" s="65">
        <v>9008310</v>
      </c>
      <c r="B6208" s="65" t="s">
        <v>6775</v>
      </c>
      <c r="C6208" s="65" t="s">
        <v>942</v>
      </c>
    </row>
    <row r="6209" spans="1:3" hidden="1">
      <c r="A6209" s="65">
        <v>9008311</v>
      </c>
      <c r="B6209" s="65" t="s">
        <v>6776</v>
      </c>
      <c r="C6209" s="65" t="s">
        <v>942</v>
      </c>
    </row>
    <row r="6210" spans="1:3" hidden="1">
      <c r="A6210" s="65">
        <v>9008312</v>
      </c>
      <c r="B6210" s="65" t="s">
        <v>6777</v>
      </c>
      <c r="C6210" s="65" t="s">
        <v>942</v>
      </c>
    </row>
    <row r="6211" spans="1:3" hidden="1">
      <c r="A6211" s="65">
        <v>9008313</v>
      </c>
      <c r="B6211" s="65" t="s">
        <v>6778</v>
      </c>
      <c r="C6211" s="65" t="s">
        <v>942</v>
      </c>
    </row>
    <row r="6212" spans="1:3" hidden="1">
      <c r="A6212" s="65">
        <v>9008314</v>
      </c>
      <c r="B6212" s="65" t="s">
        <v>6779</v>
      </c>
      <c r="C6212" s="65" t="s">
        <v>942</v>
      </c>
    </row>
    <row r="6213" spans="1:3" hidden="1">
      <c r="A6213" s="65">
        <v>9008315</v>
      </c>
      <c r="B6213" s="65" t="s">
        <v>6780</v>
      </c>
      <c r="C6213" s="65" t="s">
        <v>942</v>
      </c>
    </row>
    <row r="6214" spans="1:3" hidden="1">
      <c r="A6214" s="65">
        <v>9008316</v>
      </c>
      <c r="B6214" s="65" t="s">
        <v>6781</v>
      </c>
      <c r="C6214" s="65" t="s">
        <v>942</v>
      </c>
    </row>
    <row r="6215" spans="1:3" hidden="1">
      <c r="A6215" s="65">
        <v>9008317</v>
      </c>
      <c r="B6215" s="65" t="s">
        <v>6782</v>
      </c>
      <c r="C6215" s="65" t="s">
        <v>942</v>
      </c>
    </row>
    <row r="6216" spans="1:3" hidden="1">
      <c r="A6216" s="65">
        <v>9008318</v>
      </c>
      <c r="B6216" s="65" t="s">
        <v>6783</v>
      </c>
      <c r="C6216" s="65" t="s">
        <v>942</v>
      </c>
    </row>
    <row r="6217" spans="1:3" hidden="1">
      <c r="A6217" s="65">
        <v>9008319</v>
      </c>
      <c r="B6217" s="65" t="s">
        <v>6784</v>
      </c>
      <c r="C6217" s="65" t="s">
        <v>942</v>
      </c>
    </row>
    <row r="6218" spans="1:3" hidden="1">
      <c r="A6218" s="65">
        <v>9008320</v>
      </c>
      <c r="B6218" s="65" t="s">
        <v>6785</v>
      </c>
      <c r="C6218" s="65" t="s">
        <v>942</v>
      </c>
    </row>
    <row r="6219" spans="1:3" hidden="1">
      <c r="A6219" s="65">
        <v>9008321</v>
      </c>
      <c r="B6219" s="65" t="s">
        <v>6786</v>
      </c>
      <c r="C6219" s="65" t="s">
        <v>942</v>
      </c>
    </row>
    <row r="6220" spans="1:3" hidden="1">
      <c r="A6220" s="65">
        <v>9008322</v>
      </c>
      <c r="B6220" s="65" t="s">
        <v>6787</v>
      </c>
      <c r="C6220" s="65" t="s">
        <v>942</v>
      </c>
    </row>
    <row r="6221" spans="1:3" hidden="1">
      <c r="A6221" s="65">
        <v>9008323</v>
      </c>
      <c r="B6221" s="65" t="s">
        <v>6788</v>
      </c>
      <c r="C6221" s="65" t="s">
        <v>942</v>
      </c>
    </row>
    <row r="6222" spans="1:3" hidden="1">
      <c r="A6222" s="65">
        <v>9008324</v>
      </c>
      <c r="B6222" s="65" t="s">
        <v>6789</v>
      </c>
      <c r="C6222" s="65" t="s">
        <v>942</v>
      </c>
    </row>
    <row r="6223" spans="1:3" hidden="1">
      <c r="A6223" s="65">
        <v>9008325</v>
      </c>
      <c r="B6223" s="65" t="s">
        <v>6790</v>
      </c>
      <c r="C6223" s="65" t="s">
        <v>942</v>
      </c>
    </row>
    <row r="6224" spans="1:3" hidden="1">
      <c r="A6224" s="65">
        <v>9008326</v>
      </c>
      <c r="B6224" s="65" t="s">
        <v>6791</v>
      </c>
      <c r="C6224" s="65" t="s">
        <v>942</v>
      </c>
    </row>
    <row r="6225" spans="1:3" hidden="1">
      <c r="A6225" s="65">
        <v>9008327</v>
      </c>
      <c r="B6225" s="65" t="s">
        <v>6792</v>
      </c>
      <c r="C6225" s="65" t="s">
        <v>942</v>
      </c>
    </row>
    <row r="6226" spans="1:3" hidden="1">
      <c r="A6226" s="65">
        <v>9008328</v>
      </c>
      <c r="B6226" s="65" t="s">
        <v>6793</v>
      </c>
      <c r="C6226" s="65" t="s">
        <v>942</v>
      </c>
    </row>
    <row r="6227" spans="1:3" hidden="1">
      <c r="A6227" s="65">
        <v>9008329</v>
      </c>
      <c r="B6227" s="65" t="s">
        <v>6794</v>
      </c>
      <c r="C6227" s="65" t="s">
        <v>942</v>
      </c>
    </row>
    <row r="6228" spans="1:3" hidden="1">
      <c r="A6228" s="65">
        <v>9008330</v>
      </c>
      <c r="B6228" s="65" t="s">
        <v>6795</v>
      </c>
      <c r="C6228" s="65" t="s">
        <v>942</v>
      </c>
    </row>
    <row r="6229" spans="1:3" hidden="1">
      <c r="A6229" s="65">
        <v>9008331</v>
      </c>
      <c r="B6229" s="65" t="s">
        <v>6796</v>
      </c>
      <c r="C6229" s="65" t="s">
        <v>942</v>
      </c>
    </row>
    <row r="6230" spans="1:3" hidden="1">
      <c r="A6230" s="65">
        <v>9008332</v>
      </c>
      <c r="B6230" s="65" t="s">
        <v>6797</v>
      </c>
      <c r="C6230" s="65" t="s">
        <v>942</v>
      </c>
    </row>
    <row r="6231" spans="1:3" hidden="1">
      <c r="A6231" s="65">
        <v>9008333</v>
      </c>
      <c r="B6231" s="65" t="s">
        <v>6798</v>
      </c>
      <c r="C6231" s="65" t="s">
        <v>751</v>
      </c>
    </row>
    <row r="6232" spans="1:3" hidden="1">
      <c r="A6232" s="65">
        <v>9008334</v>
      </c>
      <c r="B6232" s="65" t="s">
        <v>6799</v>
      </c>
      <c r="C6232" s="65" t="s">
        <v>786</v>
      </c>
    </row>
    <row r="6233" spans="1:3" hidden="1">
      <c r="A6233" s="65">
        <v>9008335</v>
      </c>
      <c r="B6233" s="65" t="s">
        <v>6800</v>
      </c>
      <c r="C6233" s="65" t="s">
        <v>786</v>
      </c>
    </row>
    <row r="6234" spans="1:3" hidden="1">
      <c r="A6234" s="65">
        <v>9008336</v>
      </c>
      <c r="B6234" s="65" t="s">
        <v>6801</v>
      </c>
      <c r="C6234" s="65" t="s">
        <v>1181</v>
      </c>
    </row>
    <row r="6235" spans="1:3" hidden="1">
      <c r="A6235" s="65">
        <v>9008337</v>
      </c>
      <c r="B6235" s="65" t="s">
        <v>6802</v>
      </c>
      <c r="C6235" s="65" t="s">
        <v>1181</v>
      </c>
    </row>
    <row r="6236" spans="1:3" hidden="1">
      <c r="A6236" s="65">
        <v>9008338</v>
      </c>
      <c r="B6236" s="65" t="s">
        <v>6803</v>
      </c>
      <c r="C6236" s="65" t="s">
        <v>1181</v>
      </c>
    </row>
    <row r="6237" spans="1:3" hidden="1">
      <c r="A6237" s="65">
        <v>9008339</v>
      </c>
      <c r="B6237" s="65" t="s">
        <v>6804</v>
      </c>
      <c r="C6237" s="65" t="s">
        <v>805</v>
      </c>
    </row>
    <row r="6238" spans="1:3" hidden="1">
      <c r="A6238" s="65">
        <v>9008340</v>
      </c>
      <c r="B6238" s="65" t="s">
        <v>6805</v>
      </c>
      <c r="C6238" s="65" t="s">
        <v>805</v>
      </c>
    </row>
    <row r="6239" spans="1:3" hidden="1">
      <c r="A6239" s="65">
        <v>9008341</v>
      </c>
      <c r="B6239" s="65" t="s">
        <v>6806</v>
      </c>
      <c r="C6239" s="65" t="s">
        <v>805</v>
      </c>
    </row>
    <row r="6240" spans="1:3" hidden="1">
      <c r="A6240" s="65">
        <v>9008342</v>
      </c>
      <c r="B6240" s="65" t="s">
        <v>6807</v>
      </c>
      <c r="C6240" s="65" t="s">
        <v>738</v>
      </c>
    </row>
    <row r="6241" spans="1:3" hidden="1">
      <c r="A6241" s="65">
        <v>9008343</v>
      </c>
      <c r="B6241" s="65" t="s">
        <v>6808</v>
      </c>
      <c r="C6241" s="65" t="s">
        <v>662</v>
      </c>
    </row>
    <row r="6242" spans="1:3" hidden="1">
      <c r="A6242" s="65">
        <v>9008344</v>
      </c>
      <c r="B6242" s="65" t="s">
        <v>6809</v>
      </c>
      <c r="C6242" s="65" t="s">
        <v>827</v>
      </c>
    </row>
    <row r="6243" spans="1:3" hidden="1">
      <c r="A6243" s="65">
        <v>9008345</v>
      </c>
      <c r="B6243" s="65" t="s">
        <v>6810</v>
      </c>
      <c r="C6243" s="65" t="s">
        <v>942</v>
      </c>
    </row>
    <row r="6244" spans="1:3" hidden="1">
      <c r="A6244" s="65">
        <v>9008346</v>
      </c>
      <c r="B6244" s="65" t="s">
        <v>6811</v>
      </c>
      <c r="C6244" s="65" t="s">
        <v>805</v>
      </c>
    </row>
    <row r="6245" spans="1:3" hidden="1">
      <c r="A6245" s="65">
        <v>9008347</v>
      </c>
      <c r="B6245" s="65" t="s">
        <v>6812</v>
      </c>
      <c r="C6245" s="65" t="s">
        <v>805</v>
      </c>
    </row>
    <row r="6246" spans="1:3" hidden="1">
      <c r="A6246" s="65">
        <v>9008348</v>
      </c>
      <c r="B6246" s="65" t="s">
        <v>6813</v>
      </c>
      <c r="C6246" s="65" t="s">
        <v>793</v>
      </c>
    </row>
    <row r="6247" spans="1:3" hidden="1">
      <c r="A6247" s="65">
        <v>9008349</v>
      </c>
      <c r="B6247" s="65" t="s">
        <v>6814</v>
      </c>
      <c r="C6247" s="65" t="s">
        <v>942</v>
      </c>
    </row>
    <row r="6248" spans="1:3" hidden="1">
      <c r="A6248" s="65">
        <v>9008350</v>
      </c>
      <c r="B6248" s="65" t="s">
        <v>6815</v>
      </c>
      <c r="C6248" s="65" t="s">
        <v>942</v>
      </c>
    </row>
    <row r="6249" spans="1:3" hidden="1">
      <c r="A6249" s="65">
        <v>9008351</v>
      </c>
      <c r="B6249" s="65" t="s">
        <v>6816</v>
      </c>
      <c r="C6249" s="65" t="s">
        <v>807</v>
      </c>
    </row>
    <row r="6250" spans="1:3" hidden="1">
      <c r="A6250" s="65">
        <v>9008352</v>
      </c>
      <c r="B6250" s="65" t="s">
        <v>6817</v>
      </c>
      <c r="C6250" s="65" t="s">
        <v>942</v>
      </c>
    </row>
    <row r="6251" spans="1:3" hidden="1">
      <c r="A6251" s="65">
        <v>9008353</v>
      </c>
      <c r="B6251" s="65" t="s">
        <v>6818</v>
      </c>
      <c r="C6251" s="65" t="s">
        <v>807</v>
      </c>
    </row>
    <row r="6252" spans="1:3" hidden="1">
      <c r="A6252" s="65">
        <v>9008354</v>
      </c>
      <c r="B6252" s="65" t="s">
        <v>6819</v>
      </c>
      <c r="C6252" s="65" t="s">
        <v>942</v>
      </c>
    </row>
    <row r="6253" spans="1:3" hidden="1">
      <c r="A6253" s="65">
        <v>9008355</v>
      </c>
      <c r="B6253" s="65" t="s">
        <v>6820</v>
      </c>
      <c r="C6253" s="65" t="s">
        <v>942</v>
      </c>
    </row>
    <row r="6254" spans="1:3" hidden="1">
      <c r="A6254" s="65">
        <v>9008356</v>
      </c>
      <c r="B6254" s="65" t="s">
        <v>6821</v>
      </c>
      <c r="C6254" s="65" t="s">
        <v>942</v>
      </c>
    </row>
    <row r="6255" spans="1:3" hidden="1">
      <c r="A6255" s="65">
        <v>9008357</v>
      </c>
      <c r="B6255" s="65" t="s">
        <v>6822</v>
      </c>
      <c r="C6255" s="65" t="s">
        <v>942</v>
      </c>
    </row>
    <row r="6256" spans="1:3" hidden="1">
      <c r="A6256" s="65">
        <v>9008358</v>
      </c>
      <c r="B6256" s="65" t="s">
        <v>6823</v>
      </c>
      <c r="C6256" s="65" t="s">
        <v>942</v>
      </c>
    </row>
    <row r="6257" spans="1:3">
      <c r="A6257" s="65">
        <v>9008359</v>
      </c>
      <c r="B6257" s="65" t="s">
        <v>6824</v>
      </c>
      <c r="C6257" s="65" t="s">
        <v>942</v>
      </c>
    </row>
    <row r="6258" spans="1:3" hidden="1">
      <c r="A6258" s="65">
        <v>9008360</v>
      </c>
      <c r="B6258" s="65" t="s">
        <v>6825</v>
      </c>
      <c r="C6258" s="65" t="s">
        <v>775</v>
      </c>
    </row>
    <row r="6259" spans="1:3" hidden="1">
      <c r="A6259" s="65">
        <v>9008361</v>
      </c>
      <c r="B6259" s="65" t="s">
        <v>6826</v>
      </c>
      <c r="C6259" s="65" t="s">
        <v>738</v>
      </c>
    </row>
    <row r="6260" spans="1:3" hidden="1">
      <c r="A6260" s="65">
        <v>9008362</v>
      </c>
      <c r="B6260" s="65" t="s">
        <v>6827</v>
      </c>
      <c r="C6260" s="65" t="s">
        <v>738</v>
      </c>
    </row>
    <row r="6261" spans="1:3" hidden="1">
      <c r="A6261" s="65">
        <v>9008369</v>
      </c>
      <c r="B6261" s="65" t="s">
        <v>6828</v>
      </c>
      <c r="C6261" s="65" t="s">
        <v>793</v>
      </c>
    </row>
    <row r="6262" spans="1:3" hidden="1">
      <c r="A6262" s="65">
        <v>9008370</v>
      </c>
      <c r="B6262" s="65" t="s">
        <v>6829</v>
      </c>
      <c r="C6262" s="65" t="s">
        <v>793</v>
      </c>
    </row>
    <row r="6263" spans="1:3" hidden="1">
      <c r="A6263" s="65">
        <v>9008371</v>
      </c>
      <c r="B6263" s="65" t="s">
        <v>6830</v>
      </c>
      <c r="C6263" s="65" t="s">
        <v>793</v>
      </c>
    </row>
    <row r="6264" spans="1:3" hidden="1">
      <c r="A6264" s="65">
        <v>9008372</v>
      </c>
      <c r="B6264" s="65" t="s">
        <v>6831</v>
      </c>
      <c r="C6264" s="65" t="s">
        <v>805</v>
      </c>
    </row>
    <row r="6265" spans="1:3" hidden="1">
      <c r="A6265" s="65">
        <v>9008373</v>
      </c>
      <c r="B6265" s="65" t="s">
        <v>6832</v>
      </c>
      <c r="C6265" s="65" t="s">
        <v>805</v>
      </c>
    </row>
    <row r="6266" spans="1:3" hidden="1">
      <c r="A6266" s="65">
        <v>9008374</v>
      </c>
      <c r="B6266" s="65" t="s">
        <v>6833</v>
      </c>
      <c r="C6266" s="65" t="s">
        <v>805</v>
      </c>
    </row>
    <row r="6267" spans="1:3" hidden="1">
      <c r="A6267" s="65">
        <v>9008375</v>
      </c>
      <c r="B6267" s="65" t="s">
        <v>6834</v>
      </c>
      <c r="C6267" s="65" t="s">
        <v>793</v>
      </c>
    </row>
    <row r="6268" spans="1:3" hidden="1">
      <c r="A6268" s="65">
        <v>9008376</v>
      </c>
      <c r="B6268" s="65" t="s">
        <v>6835</v>
      </c>
      <c r="C6268" s="65" t="s">
        <v>793</v>
      </c>
    </row>
    <row r="6269" spans="1:3" hidden="1">
      <c r="A6269" s="65">
        <v>9008377</v>
      </c>
      <c r="B6269" s="65" t="s">
        <v>6836</v>
      </c>
      <c r="C6269" s="65" t="s">
        <v>793</v>
      </c>
    </row>
    <row r="6270" spans="1:3" hidden="1">
      <c r="A6270" s="65">
        <v>9008378</v>
      </c>
      <c r="B6270" s="65" t="s">
        <v>6837</v>
      </c>
      <c r="C6270" s="65" t="s">
        <v>793</v>
      </c>
    </row>
    <row r="6271" spans="1:3" hidden="1">
      <c r="A6271" s="65">
        <v>9008379</v>
      </c>
      <c r="B6271" s="65" t="s">
        <v>6838</v>
      </c>
      <c r="C6271" s="65" t="s">
        <v>793</v>
      </c>
    </row>
    <row r="6272" spans="1:3" hidden="1">
      <c r="A6272" s="65">
        <v>9008380</v>
      </c>
      <c r="B6272" s="65" t="s">
        <v>6839</v>
      </c>
      <c r="C6272" s="65" t="s">
        <v>793</v>
      </c>
    </row>
    <row r="6273" spans="1:3" hidden="1">
      <c r="A6273" s="65">
        <v>9008381</v>
      </c>
      <c r="B6273" s="65" t="s">
        <v>6840</v>
      </c>
      <c r="C6273" s="65" t="s">
        <v>793</v>
      </c>
    </row>
    <row r="6274" spans="1:3" hidden="1">
      <c r="A6274" s="65">
        <v>9008382</v>
      </c>
      <c r="B6274" s="65" t="s">
        <v>6841</v>
      </c>
      <c r="C6274" s="65" t="s">
        <v>793</v>
      </c>
    </row>
    <row r="6275" spans="1:3" hidden="1">
      <c r="A6275" s="65">
        <v>9008383</v>
      </c>
      <c r="B6275" s="65" t="s">
        <v>6839</v>
      </c>
      <c r="C6275" s="65" t="s">
        <v>793</v>
      </c>
    </row>
    <row r="6276" spans="1:3" hidden="1">
      <c r="A6276" s="65">
        <v>9008384</v>
      </c>
      <c r="B6276" s="65" t="s">
        <v>6842</v>
      </c>
      <c r="C6276" s="65" t="s">
        <v>805</v>
      </c>
    </row>
    <row r="6277" spans="1:3" hidden="1">
      <c r="A6277" s="65">
        <v>9008385</v>
      </c>
      <c r="B6277" s="65" t="s">
        <v>6843</v>
      </c>
      <c r="C6277" s="65" t="s">
        <v>805</v>
      </c>
    </row>
    <row r="6278" spans="1:3" hidden="1">
      <c r="A6278" s="65">
        <v>9008386</v>
      </c>
      <c r="B6278" s="65" t="s">
        <v>6844</v>
      </c>
      <c r="C6278" s="65" t="s">
        <v>805</v>
      </c>
    </row>
    <row r="6279" spans="1:3" hidden="1">
      <c r="A6279" s="65">
        <v>9008387</v>
      </c>
      <c r="B6279" s="65" t="s">
        <v>6845</v>
      </c>
      <c r="C6279" s="65" t="s">
        <v>805</v>
      </c>
    </row>
    <row r="6280" spans="1:3" hidden="1">
      <c r="A6280" s="65">
        <v>9008388</v>
      </c>
      <c r="B6280" s="65" t="s">
        <v>6846</v>
      </c>
      <c r="C6280" s="65" t="s">
        <v>805</v>
      </c>
    </row>
    <row r="6281" spans="1:3" hidden="1">
      <c r="A6281" s="65">
        <v>9008389</v>
      </c>
      <c r="B6281" s="65" t="s">
        <v>6847</v>
      </c>
      <c r="C6281" s="65" t="s">
        <v>827</v>
      </c>
    </row>
    <row r="6282" spans="1:3" hidden="1">
      <c r="A6282" s="65">
        <v>9008390</v>
      </c>
      <c r="B6282" s="65" t="s">
        <v>6848</v>
      </c>
      <c r="C6282" s="65" t="s">
        <v>741</v>
      </c>
    </row>
    <row r="6283" spans="1:3" hidden="1">
      <c r="A6283" s="65">
        <v>9008391</v>
      </c>
      <c r="B6283" s="65" t="s">
        <v>6849</v>
      </c>
      <c r="C6283" s="65" t="s">
        <v>942</v>
      </c>
    </row>
    <row r="6284" spans="1:3" hidden="1">
      <c r="A6284" s="65">
        <v>9008392</v>
      </c>
      <c r="B6284" s="65" t="s">
        <v>6850</v>
      </c>
      <c r="C6284" s="65" t="s">
        <v>942</v>
      </c>
    </row>
    <row r="6285" spans="1:3" hidden="1">
      <c r="A6285" s="65">
        <v>9008393</v>
      </c>
      <c r="B6285" s="65" t="s">
        <v>6851</v>
      </c>
      <c r="C6285" s="65" t="s">
        <v>942</v>
      </c>
    </row>
    <row r="6286" spans="1:3" hidden="1">
      <c r="A6286" s="65">
        <v>9008394</v>
      </c>
      <c r="B6286" s="65" t="s">
        <v>6852</v>
      </c>
      <c r="C6286" s="65" t="s">
        <v>942</v>
      </c>
    </row>
    <row r="6287" spans="1:3" hidden="1">
      <c r="A6287" s="65">
        <v>9008395</v>
      </c>
      <c r="B6287" s="65" t="s">
        <v>6853</v>
      </c>
      <c r="C6287" s="65" t="s">
        <v>942</v>
      </c>
    </row>
    <row r="6288" spans="1:3" hidden="1">
      <c r="A6288" s="65">
        <v>9008399</v>
      </c>
      <c r="B6288" s="65" t="s">
        <v>6854</v>
      </c>
      <c r="C6288" s="65" t="s">
        <v>1181</v>
      </c>
    </row>
    <row r="6289" spans="1:3" hidden="1">
      <c r="A6289" s="65">
        <v>9008400</v>
      </c>
      <c r="B6289" s="65" t="s">
        <v>6855</v>
      </c>
      <c r="C6289" s="65" t="s">
        <v>1181</v>
      </c>
    </row>
    <row r="6290" spans="1:3" hidden="1">
      <c r="A6290" s="65">
        <v>9008401</v>
      </c>
      <c r="B6290" s="65" t="s">
        <v>6856</v>
      </c>
      <c r="C6290" s="65" t="s">
        <v>1181</v>
      </c>
    </row>
    <row r="6291" spans="1:3" hidden="1">
      <c r="A6291" s="65">
        <v>9008402</v>
      </c>
      <c r="B6291" s="65" t="s">
        <v>6857</v>
      </c>
      <c r="C6291" s="65" t="s">
        <v>1181</v>
      </c>
    </row>
    <row r="6292" spans="1:3" hidden="1">
      <c r="A6292" s="65">
        <v>9008403</v>
      </c>
      <c r="B6292" s="65" t="s">
        <v>6858</v>
      </c>
      <c r="C6292" s="65" t="s">
        <v>1181</v>
      </c>
    </row>
    <row r="6293" spans="1:3" hidden="1">
      <c r="A6293" s="65">
        <v>9008404</v>
      </c>
      <c r="B6293" s="65" t="s">
        <v>6859</v>
      </c>
      <c r="C6293" s="65" t="s">
        <v>1181</v>
      </c>
    </row>
    <row r="6294" spans="1:3" hidden="1">
      <c r="A6294" s="65">
        <v>9008405</v>
      </c>
      <c r="B6294" s="65" t="s">
        <v>6860</v>
      </c>
      <c r="C6294" s="65" t="s">
        <v>1181</v>
      </c>
    </row>
    <row r="6295" spans="1:3" hidden="1">
      <c r="A6295" s="65">
        <v>9008406</v>
      </c>
      <c r="B6295" s="65" t="s">
        <v>6861</v>
      </c>
      <c r="C6295" s="65" t="s">
        <v>1181</v>
      </c>
    </row>
    <row r="6296" spans="1:3" hidden="1">
      <c r="A6296" s="65">
        <v>9008407</v>
      </c>
      <c r="B6296" s="65" t="s">
        <v>6862</v>
      </c>
      <c r="C6296" s="65" t="s">
        <v>1181</v>
      </c>
    </row>
    <row r="6297" spans="1:3" hidden="1">
      <c r="A6297" s="65">
        <v>9008408</v>
      </c>
      <c r="B6297" s="65" t="s">
        <v>6863</v>
      </c>
      <c r="C6297" s="65" t="s">
        <v>5741</v>
      </c>
    </row>
    <row r="6298" spans="1:3" hidden="1">
      <c r="A6298" s="65">
        <v>9008409</v>
      </c>
      <c r="B6298" s="65" t="s">
        <v>6864</v>
      </c>
      <c r="C6298" s="65" t="s">
        <v>942</v>
      </c>
    </row>
    <row r="6299" spans="1:3" hidden="1">
      <c r="A6299" s="65">
        <v>9008419</v>
      </c>
      <c r="B6299" s="65" t="s">
        <v>6865</v>
      </c>
      <c r="C6299" s="65" t="s">
        <v>942</v>
      </c>
    </row>
    <row r="6300" spans="1:3" hidden="1">
      <c r="A6300" s="65">
        <v>9008420</v>
      </c>
      <c r="B6300" s="65" t="s">
        <v>6866</v>
      </c>
      <c r="C6300" s="65" t="s">
        <v>942</v>
      </c>
    </row>
    <row r="6301" spans="1:3" hidden="1">
      <c r="A6301" s="65">
        <v>9008421</v>
      </c>
      <c r="B6301" s="65" t="s">
        <v>6867</v>
      </c>
      <c r="C6301" s="65" t="s">
        <v>942</v>
      </c>
    </row>
    <row r="6302" spans="1:3" hidden="1">
      <c r="A6302" s="65">
        <v>9008422</v>
      </c>
      <c r="B6302" s="65" t="s">
        <v>6868</v>
      </c>
      <c r="C6302" s="65" t="s">
        <v>942</v>
      </c>
    </row>
    <row r="6303" spans="1:3" hidden="1">
      <c r="A6303" s="65">
        <v>9008423</v>
      </c>
      <c r="B6303" s="65" t="s">
        <v>6869</v>
      </c>
      <c r="C6303" s="65" t="s">
        <v>942</v>
      </c>
    </row>
    <row r="6304" spans="1:3" hidden="1">
      <c r="A6304" s="65">
        <v>9008424</v>
      </c>
      <c r="B6304" s="65" t="s">
        <v>6870</v>
      </c>
      <c r="C6304" s="65" t="s">
        <v>942</v>
      </c>
    </row>
    <row r="6305" spans="1:3" hidden="1">
      <c r="A6305" s="65">
        <v>9008425</v>
      </c>
      <c r="B6305" s="65" t="s">
        <v>6871</v>
      </c>
      <c r="C6305" s="65" t="s">
        <v>942</v>
      </c>
    </row>
    <row r="6306" spans="1:3" hidden="1">
      <c r="A6306" s="65">
        <v>9008429</v>
      </c>
      <c r="B6306" s="65" t="s">
        <v>6872</v>
      </c>
      <c r="C6306" s="65" t="s">
        <v>805</v>
      </c>
    </row>
    <row r="6307" spans="1:3" hidden="1">
      <c r="A6307" s="65">
        <v>9008430</v>
      </c>
      <c r="B6307" s="65" t="s">
        <v>6873</v>
      </c>
      <c r="C6307" s="65" t="s">
        <v>793</v>
      </c>
    </row>
    <row r="6308" spans="1:3" hidden="1">
      <c r="A6308" s="65">
        <v>9008431</v>
      </c>
      <c r="B6308" s="65" t="s">
        <v>6874</v>
      </c>
      <c r="C6308" s="65" t="s">
        <v>942</v>
      </c>
    </row>
    <row r="6309" spans="1:3" hidden="1">
      <c r="A6309" s="65">
        <v>9008439</v>
      </c>
      <c r="B6309" s="65" t="s">
        <v>6875</v>
      </c>
      <c r="C6309" s="65" t="s">
        <v>793</v>
      </c>
    </row>
    <row r="6310" spans="1:3" hidden="1">
      <c r="A6310" s="65">
        <v>9008440</v>
      </c>
      <c r="B6310" s="65" t="s">
        <v>6876</v>
      </c>
      <c r="C6310" s="65" t="s">
        <v>775</v>
      </c>
    </row>
    <row r="6311" spans="1:3" hidden="1">
      <c r="A6311" s="65">
        <v>9008449</v>
      </c>
      <c r="B6311" s="65" t="s">
        <v>6877</v>
      </c>
      <c r="C6311" s="65" t="s">
        <v>793</v>
      </c>
    </row>
    <row r="6312" spans="1:3" hidden="1">
      <c r="A6312" s="65">
        <v>9008459</v>
      </c>
      <c r="B6312" s="65" t="s">
        <v>6878</v>
      </c>
      <c r="C6312" s="65" t="s">
        <v>942</v>
      </c>
    </row>
    <row r="6313" spans="1:3" hidden="1">
      <c r="A6313" s="65">
        <v>9008460</v>
      </c>
      <c r="B6313" s="65" t="s">
        <v>6879</v>
      </c>
      <c r="C6313" s="65" t="s">
        <v>751</v>
      </c>
    </row>
    <row r="6314" spans="1:3" hidden="1">
      <c r="A6314" s="65">
        <v>9008461</v>
      </c>
      <c r="B6314" s="65" t="s">
        <v>6880</v>
      </c>
      <c r="C6314" s="65" t="s">
        <v>942</v>
      </c>
    </row>
    <row r="6315" spans="1:3" hidden="1">
      <c r="A6315" s="65">
        <v>9008462</v>
      </c>
      <c r="B6315" s="65" t="s">
        <v>6881</v>
      </c>
      <c r="C6315" s="65" t="s">
        <v>942</v>
      </c>
    </row>
    <row r="6316" spans="1:3" hidden="1">
      <c r="A6316" s="65">
        <v>9008463</v>
      </c>
      <c r="B6316" s="65" t="s">
        <v>6882</v>
      </c>
      <c r="C6316" s="65" t="s">
        <v>942</v>
      </c>
    </row>
    <row r="6317" spans="1:3" hidden="1">
      <c r="A6317" s="65">
        <v>9008464</v>
      </c>
      <c r="B6317" s="65" t="s">
        <v>6883</v>
      </c>
      <c r="C6317" s="65" t="s">
        <v>942</v>
      </c>
    </row>
    <row r="6318" spans="1:3" hidden="1">
      <c r="A6318" s="65">
        <v>9008465</v>
      </c>
      <c r="B6318" s="65" t="s">
        <v>6884</v>
      </c>
      <c r="C6318" s="65" t="s">
        <v>942</v>
      </c>
    </row>
    <row r="6319" spans="1:3" hidden="1">
      <c r="A6319" s="65">
        <v>9008466</v>
      </c>
      <c r="B6319" s="65" t="s">
        <v>6885</v>
      </c>
      <c r="C6319" s="65" t="s">
        <v>942</v>
      </c>
    </row>
    <row r="6320" spans="1:3" hidden="1">
      <c r="A6320" s="65">
        <v>9008467</v>
      </c>
      <c r="B6320" s="65" t="s">
        <v>6886</v>
      </c>
      <c r="C6320" s="65" t="s">
        <v>942</v>
      </c>
    </row>
    <row r="6321" spans="1:3" hidden="1">
      <c r="A6321" s="65">
        <v>9008468</v>
      </c>
      <c r="B6321" s="65" t="s">
        <v>6887</v>
      </c>
      <c r="C6321" s="65" t="s">
        <v>942</v>
      </c>
    </row>
    <row r="6322" spans="1:3" hidden="1">
      <c r="A6322" s="65">
        <v>9008469</v>
      </c>
      <c r="B6322" s="65" t="s">
        <v>6888</v>
      </c>
      <c r="C6322" s="65" t="s">
        <v>805</v>
      </c>
    </row>
    <row r="6323" spans="1:3" hidden="1">
      <c r="A6323" s="65">
        <v>9008479</v>
      </c>
      <c r="B6323" s="65" t="s">
        <v>6889</v>
      </c>
      <c r="C6323" s="65" t="s">
        <v>942</v>
      </c>
    </row>
    <row r="6324" spans="1:3" hidden="1">
      <c r="A6324" s="65">
        <v>9008480</v>
      </c>
      <c r="B6324" s="65" t="s">
        <v>6890</v>
      </c>
      <c r="C6324" s="65" t="s">
        <v>942</v>
      </c>
    </row>
    <row r="6325" spans="1:3" hidden="1">
      <c r="A6325" s="65">
        <v>9008481</v>
      </c>
      <c r="B6325" s="65" t="s">
        <v>6891</v>
      </c>
      <c r="C6325" s="65" t="s">
        <v>942</v>
      </c>
    </row>
    <row r="6326" spans="1:3" hidden="1">
      <c r="A6326" s="65">
        <v>9008482</v>
      </c>
      <c r="B6326" s="65" t="s">
        <v>6892</v>
      </c>
      <c r="C6326" s="65" t="s">
        <v>942</v>
      </c>
    </row>
    <row r="6327" spans="1:3" hidden="1">
      <c r="A6327" s="65">
        <v>9008483</v>
      </c>
      <c r="B6327" s="65" t="s">
        <v>6893</v>
      </c>
      <c r="C6327" s="65" t="s">
        <v>942</v>
      </c>
    </row>
    <row r="6328" spans="1:3" hidden="1">
      <c r="A6328" s="65">
        <v>9008484</v>
      </c>
      <c r="B6328" s="65" t="s">
        <v>6894</v>
      </c>
      <c r="C6328" s="65" t="s">
        <v>942</v>
      </c>
    </row>
    <row r="6329" spans="1:3" hidden="1">
      <c r="A6329" s="65">
        <v>9008485</v>
      </c>
      <c r="B6329" s="65" t="s">
        <v>6895</v>
      </c>
      <c r="C6329" s="65" t="s">
        <v>942</v>
      </c>
    </row>
    <row r="6330" spans="1:3" hidden="1">
      <c r="A6330" s="65">
        <v>9008486</v>
      </c>
      <c r="B6330" s="65" t="s">
        <v>6896</v>
      </c>
      <c r="C6330" s="65" t="s">
        <v>942</v>
      </c>
    </row>
    <row r="6331" spans="1:3" hidden="1">
      <c r="A6331" s="65">
        <v>9008487</v>
      </c>
      <c r="B6331" s="65" t="s">
        <v>6897</v>
      </c>
      <c r="C6331" s="65" t="s">
        <v>942</v>
      </c>
    </row>
    <row r="6332" spans="1:3" hidden="1">
      <c r="A6332" s="65">
        <v>9008488</v>
      </c>
      <c r="B6332" s="65" t="s">
        <v>6898</v>
      </c>
      <c r="C6332" s="65" t="s">
        <v>805</v>
      </c>
    </row>
    <row r="6333" spans="1:3" hidden="1">
      <c r="A6333" s="65">
        <v>9008489</v>
      </c>
      <c r="B6333" s="65" t="s">
        <v>6899</v>
      </c>
      <c r="C6333" s="65" t="s">
        <v>805</v>
      </c>
    </row>
    <row r="6334" spans="1:3" hidden="1">
      <c r="A6334" s="65">
        <v>9008490</v>
      </c>
      <c r="B6334" s="65" t="s">
        <v>6900</v>
      </c>
      <c r="C6334" s="65" t="s">
        <v>805</v>
      </c>
    </row>
    <row r="6335" spans="1:3" hidden="1">
      <c r="A6335" s="65">
        <v>9008491</v>
      </c>
      <c r="B6335" s="65" t="s">
        <v>6901</v>
      </c>
      <c r="C6335" s="65" t="s">
        <v>793</v>
      </c>
    </row>
    <row r="6336" spans="1:3" hidden="1">
      <c r="A6336" s="65">
        <v>9008492</v>
      </c>
      <c r="B6336" s="65" t="s">
        <v>6902</v>
      </c>
      <c r="C6336" s="65" t="s">
        <v>793</v>
      </c>
    </row>
    <row r="6337" spans="1:3" hidden="1">
      <c r="A6337" s="65">
        <v>9008493</v>
      </c>
      <c r="B6337" s="65" t="s">
        <v>6903</v>
      </c>
      <c r="C6337" s="65" t="s">
        <v>805</v>
      </c>
    </row>
    <row r="6338" spans="1:3" hidden="1">
      <c r="A6338" s="65">
        <v>9008494</v>
      </c>
      <c r="B6338" s="65" t="s">
        <v>6904</v>
      </c>
      <c r="C6338" s="65" t="s">
        <v>805</v>
      </c>
    </row>
    <row r="6339" spans="1:3" hidden="1">
      <c r="A6339" s="65">
        <v>9008495</v>
      </c>
      <c r="B6339" s="65" t="s">
        <v>6905</v>
      </c>
      <c r="C6339" s="65" t="s">
        <v>942</v>
      </c>
    </row>
    <row r="6340" spans="1:3" hidden="1">
      <c r="A6340" s="65">
        <v>9008496</v>
      </c>
      <c r="B6340" s="65" t="s">
        <v>6906</v>
      </c>
      <c r="C6340" s="65" t="s">
        <v>793</v>
      </c>
    </row>
    <row r="6341" spans="1:3" hidden="1">
      <c r="A6341" s="65">
        <v>9008497</v>
      </c>
      <c r="B6341" s="65" t="s">
        <v>6907</v>
      </c>
      <c r="C6341" s="65" t="s">
        <v>793</v>
      </c>
    </row>
    <row r="6342" spans="1:3" hidden="1">
      <c r="A6342" s="65">
        <v>9008498</v>
      </c>
      <c r="B6342" s="65" t="s">
        <v>6908</v>
      </c>
      <c r="C6342" s="65" t="s">
        <v>793</v>
      </c>
    </row>
    <row r="6343" spans="1:3" hidden="1">
      <c r="A6343" s="65">
        <v>9008499</v>
      </c>
      <c r="B6343" s="65" t="s">
        <v>6909</v>
      </c>
      <c r="C6343" s="65" t="s">
        <v>793</v>
      </c>
    </row>
    <row r="6344" spans="1:3" hidden="1">
      <c r="A6344" s="65">
        <v>9008500</v>
      </c>
      <c r="B6344" s="65" t="s">
        <v>6910</v>
      </c>
      <c r="C6344" s="65" t="s">
        <v>793</v>
      </c>
    </row>
    <row r="6345" spans="1:3" hidden="1">
      <c r="A6345" s="65">
        <v>9008501</v>
      </c>
      <c r="B6345" s="65" t="s">
        <v>6911</v>
      </c>
      <c r="C6345" s="65" t="s">
        <v>793</v>
      </c>
    </row>
    <row r="6346" spans="1:3" hidden="1">
      <c r="A6346" s="65">
        <v>9008502</v>
      </c>
      <c r="B6346" s="65" t="s">
        <v>6912</v>
      </c>
      <c r="C6346" s="65" t="s">
        <v>793</v>
      </c>
    </row>
    <row r="6347" spans="1:3" hidden="1">
      <c r="A6347" s="65">
        <v>9008503</v>
      </c>
      <c r="B6347" s="65" t="s">
        <v>6913</v>
      </c>
      <c r="C6347" s="65" t="s">
        <v>793</v>
      </c>
    </row>
    <row r="6348" spans="1:3" hidden="1">
      <c r="A6348" s="65">
        <v>9008504</v>
      </c>
      <c r="B6348" s="65" t="s">
        <v>6914</v>
      </c>
      <c r="C6348" s="65" t="s">
        <v>793</v>
      </c>
    </row>
    <row r="6349" spans="1:3" hidden="1">
      <c r="A6349" s="65">
        <v>9008505</v>
      </c>
      <c r="B6349" s="65" t="s">
        <v>6915</v>
      </c>
      <c r="C6349" s="65" t="s">
        <v>793</v>
      </c>
    </row>
    <row r="6350" spans="1:3" hidden="1">
      <c r="A6350" s="65">
        <v>9008506</v>
      </c>
      <c r="B6350" s="65" t="s">
        <v>6916</v>
      </c>
      <c r="C6350" s="65" t="s">
        <v>793</v>
      </c>
    </row>
    <row r="6351" spans="1:3" hidden="1">
      <c r="A6351" s="65">
        <v>9008507</v>
      </c>
      <c r="B6351" s="65" t="s">
        <v>6917</v>
      </c>
      <c r="C6351" s="65" t="s">
        <v>793</v>
      </c>
    </row>
    <row r="6352" spans="1:3" hidden="1">
      <c r="A6352" s="65">
        <v>9008508</v>
      </c>
      <c r="B6352" s="65" t="s">
        <v>6918</v>
      </c>
      <c r="C6352" s="65" t="s">
        <v>793</v>
      </c>
    </row>
    <row r="6353" spans="1:3" hidden="1">
      <c r="A6353" s="65">
        <v>9008509</v>
      </c>
      <c r="B6353" s="65" t="s">
        <v>6919</v>
      </c>
      <c r="C6353" s="65" t="s">
        <v>793</v>
      </c>
    </row>
    <row r="6354" spans="1:3" hidden="1">
      <c r="A6354" s="65">
        <v>9008510</v>
      </c>
      <c r="B6354" s="65" t="s">
        <v>6920</v>
      </c>
      <c r="C6354" s="65" t="s">
        <v>793</v>
      </c>
    </row>
    <row r="6355" spans="1:3" hidden="1">
      <c r="A6355" s="65">
        <v>9008511</v>
      </c>
      <c r="B6355" s="65" t="s">
        <v>6921</v>
      </c>
      <c r="C6355" s="65" t="s">
        <v>793</v>
      </c>
    </row>
    <row r="6356" spans="1:3" hidden="1">
      <c r="A6356" s="65">
        <v>9008512</v>
      </c>
      <c r="B6356" s="65" t="s">
        <v>6922</v>
      </c>
      <c r="C6356" s="65" t="s">
        <v>793</v>
      </c>
    </row>
    <row r="6357" spans="1:3" hidden="1">
      <c r="A6357" s="65">
        <v>9008513</v>
      </c>
      <c r="B6357" s="65" t="s">
        <v>6923</v>
      </c>
      <c r="C6357" s="65" t="s">
        <v>793</v>
      </c>
    </row>
    <row r="6358" spans="1:3" hidden="1">
      <c r="A6358" s="65">
        <v>9008514</v>
      </c>
      <c r="B6358" s="65" t="s">
        <v>6924</v>
      </c>
      <c r="C6358" s="65" t="s">
        <v>793</v>
      </c>
    </row>
    <row r="6359" spans="1:3" hidden="1">
      <c r="A6359" s="65">
        <v>9008515</v>
      </c>
      <c r="B6359" s="65" t="s">
        <v>6925</v>
      </c>
      <c r="C6359" s="65" t="s">
        <v>793</v>
      </c>
    </row>
    <row r="6360" spans="1:3" hidden="1">
      <c r="A6360" s="65">
        <v>9008516</v>
      </c>
      <c r="B6360" s="65" t="s">
        <v>6926</v>
      </c>
      <c r="C6360" s="65" t="s">
        <v>793</v>
      </c>
    </row>
    <row r="6361" spans="1:3" hidden="1">
      <c r="A6361" s="65">
        <v>9008517</v>
      </c>
      <c r="B6361" s="65" t="s">
        <v>6927</v>
      </c>
      <c r="C6361" s="65" t="s">
        <v>793</v>
      </c>
    </row>
    <row r="6362" spans="1:3" hidden="1">
      <c r="A6362" s="65">
        <v>9008518</v>
      </c>
      <c r="B6362" s="65" t="s">
        <v>6928</v>
      </c>
      <c r="C6362" s="65" t="s">
        <v>793</v>
      </c>
    </row>
    <row r="6363" spans="1:3" hidden="1">
      <c r="A6363" s="65">
        <v>9008519</v>
      </c>
      <c r="B6363" s="65" t="s">
        <v>6929</v>
      </c>
      <c r="C6363" s="65" t="s">
        <v>793</v>
      </c>
    </row>
    <row r="6364" spans="1:3" hidden="1">
      <c r="A6364" s="65">
        <v>9008520</v>
      </c>
      <c r="B6364" s="65" t="s">
        <v>6930</v>
      </c>
      <c r="C6364" s="65" t="s">
        <v>793</v>
      </c>
    </row>
    <row r="6365" spans="1:3" hidden="1">
      <c r="A6365" s="65">
        <v>9008521</v>
      </c>
      <c r="B6365" s="65" t="s">
        <v>6931</v>
      </c>
      <c r="C6365" s="65" t="s">
        <v>793</v>
      </c>
    </row>
    <row r="6366" spans="1:3" hidden="1">
      <c r="A6366" s="65">
        <v>9008522</v>
      </c>
      <c r="B6366" s="65" t="s">
        <v>6932</v>
      </c>
      <c r="C6366" s="65" t="s">
        <v>793</v>
      </c>
    </row>
    <row r="6367" spans="1:3" hidden="1">
      <c r="A6367" s="65">
        <v>9008523</v>
      </c>
      <c r="B6367" s="65" t="s">
        <v>6933</v>
      </c>
      <c r="C6367" s="65" t="s">
        <v>793</v>
      </c>
    </row>
    <row r="6368" spans="1:3" hidden="1">
      <c r="A6368" s="65">
        <v>9008524</v>
      </c>
      <c r="B6368" s="65" t="s">
        <v>6934</v>
      </c>
      <c r="C6368" s="65" t="s">
        <v>793</v>
      </c>
    </row>
    <row r="6369" spans="1:3" hidden="1">
      <c r="A6369" s="65">
        <v>9008525</v>
      </c>
      <c r="B6369" s="65" t="s">
        <v>6935</v>
      </c>
      <c r="C6369" s="65" t="s">
        <v>793</v>
      </c>
    </row>
    <row r="6370" spans="1:3" hidden="1">
      <c r="A6370" s="65">
        <v>9008526</v>
      </c>
      <c r="B6370" s="65" t="s">
        <v>6936</v>
      </c>
      <c r="C6370" s="65" t="s">
        <v>793</v>
      </c>
    </row>
    <row r="6371" spans="1:3" hidden="1">
      <c r="A6371" s="65">
        <v>9008527</v>
      </c>
      <c r="B6371" s="65" t="s">
        <v>6937</v>
      </c>
      <c r="C6371" s="65" t="s">
        <v>793</v>
      </c>
    </row>
    <row r="6372" spans="1:3" hidden="1">
      <c r="A6372" s="65">
        <v>9008528</v>
      </c>
      <c r="B6372" s="65" t="s">
        <v>6938</v>
      </c>
      <c r="C6372" s="65" t="s">
        <v>793</v>
      </c>
    </row>
    <row r="6373" spans="1:3" hidden="1">
      <c r="A6373" s="65">
        <v>9008529</v>
      </c>
      <c r="B6373" s="65" t="s">
        <v>6939</v>
      </c>
      <c r="C6373" s="65" t="s">
        <v>793</v>
      </c>
    </row>
    <row r="6374" spans="1:3" hidden="1">
      <c r="A6374" s="65">
        <v>9008530</v>
      </c>
      <c r="B6374" s="65" t="s">
        <v>6940</v>
      </c>
      <c r="C6374" s="65" t="s">
        <v>793</v>
      </c>
    </row>
    <row r="6375" spans="1:3" hidden="1">
      <c r="A6375" s="65">
        <v>9008531</v>
      </c>
      <c r="B6375" s="65" t="s">
        <v>6941</v>
      </c>
      <c r="C6375" s="65" t="s">
        <v>793</v>
      </c>
    </row>
    <row r="6376" spans="1:3" hidden="1">
      <c r="A6376" s="65">
        <v>9008532</v>
      </c>
      <c r="B6376" s="65" t="s">
        <v>6942</v>
      </c>
      <c r="C6376" s="65" t="s">
        <v>793</v>
      </c>
    </row>
    <row r="6377" spans="1:3" hidden="1">
      <c r="A6377" s="65">
        <v>9008533</v>
      </c>
      <c r="B6377" s="65" t="s">
        <v>6943</v>
      </c>
      <c r="C6377" s="65" t="s">
        <v>793</v>
      </c>
    </row>
    <row r="6378" spans="1:3" hidden="1">
      <c r="A6378" s="65">
        <v>9008534</v>
      </c>
      <c r="B6378" s="65" t="s">
        <v>6944</v>
      </c>
      <c r="C6378" s="65" t="s">
        <v>793</v>
      </c>
    </row>
    <row r="6379" spans="1:3" hidden="1">
      <c r="A6379" s="65">
        <v>9008535</v>
      </c>
      <c r="B6379" s="65" t="s">
        <v>6945</v>
      </c>
      <c r="C6379" s="65" t="s">
        <v>793</v>
      </c>
    </row>
    <row r="6380" spans="1:3" hidden="1">
      <c r="A6380" s="65">
        <v>9008536</v>
      </c>
      <c r="B6380" s="65" t="s">
        <v>6946</v>
      </c>
      <c r="C6380" s="65" t="s">
        <v>793</v>
      </c>
    </row>
    <row r="6381" spans="1:3" hidden="1">
      <c r="A6381" s="65">
        <v>9008537</v>
      </c>
      <c r="B6381" s="65" t="s">
        <v>6947</v>
      </c>
      <c r="C6381" s="65" t="s">
        <v>793</v>
      </c>
    </row>
    <row r="6382" spans="1:3" hidden="1">
      <c r="A6382" s="65">
        <v>9008538</v>
      </c>
      <c r="B6382" s="65" t="s">
        <v>6948</v>
      </c>
      <c r="C6382" s="65" t="s">
        <v>793</v>
      </c>
    </row>
    <row r="6383" spans="1:3" hidden="1">
      <c r="A6383" s="65">
        <v>9008539</v>
      </c>
      <c r="B6383" s="65" t="s">
        <v>6949</v>
      </c>
      <c r="C6383" s="65" t="s">
        <v>793</v>
      </c>
    </row>
    <row r="6384" spans="1:3" hidden="1">
      <c r="A6384" s="65">
        <v>9008540</v>
      </c>
      <c r="B6384" s="65" t="s">
        <v>6950</v>
      </c>
      <c r="C6384" s="65" t="s">
        <v>793</v>
      </c>
    </row>
    <row r="6385" spans="1:3" hidden="1">
      <c r="A6385" s="65">
        <v>9008541</v>
      </c>
      <c r="B6385" s="65" t="s">
        <v>6951</v>
      </c>
      <c r="C6385" s="65" t="s">
        <v>793</v>
      </c>
    </row>
    <row r="6386" spans="1:3" hidden="1">
      <c r="A6386" s="65">
        <v>9008542</v>
      </c>
      <c r="B6386" s="65" t="s">
        <v>6952</v>
      </c>
      <c r="C6386" s="65" t="s">
        <v>793</v>
      </c>
    </row>
    <row r="6387" spans="1:3" hidden="1">
      <c r="A6387" s="65">
        <v>9008543</v>
      </c>
      <c r="B6387" s="65" t="s">
        <v>6953</v>
      </c>
      <c r="C6387" s="65" t="s">
        <v>793</v>
      </c>
    </row>
    <row r="6388" spans="1:3" hidden="1">
      <c r="A6388" s="65">
        <v>9008544</v>
      </c>
      <c r="B6388" s="65" t="s">
        <v>6954</v>
      </c>
      <c r="C6388" s="65" t="s">
        <v>793</v>
      </c>
    </row>
    <row r="6389" spans="1:3" hidden="1">
      <c r="A6389" s="65">
        <v>9008545</v>
      </c>
      <c r="B6389" s="65" t="s">
        <v>6955</v>
      </c>
      <c r="C6389" s="65" t="s">
        <v>793</v>
      </c>
    </row>
    <row r="6390" spans="1:3" hidden="1">
      <c r="A6390" s="65">
        <v>9008546</v>
      </c>
      <c r="B6390" s="65" t="s">
        <v>6956</v>
      </c>
      <c r="C6390" s="65" t="s">
        <v>793</v>
      </c>
    </row>
    <row r="6391" spans="1:3" hidden="1">
      <c r="A6391" s="65">
        <v>9008547</v>
      </c>
      <c r="B6391" s="65" t="s">
        <v>6957</v>
      </c>
      <c r="C6391" s="65" t="s">
        <v>793</v>
      </c>
    </row>
    <row r="6392" spans="1:3" hidden="1">
      <c r="A6392" s="65">
        <v>9008548</v>
      </c>
      <c r="B6392" s="65" t="s">
        <v>6958</v>
      </c>
      <c r="C6392" s="65" t="s">
        <v>793</v>
      </c>
    </row>
    <row r="6393" spans="1:3" hidden="1">
      <c r="A6393" s="65">
        <v>9008549</v>
      </c>
      <c r="B6393" s="65" t="s">
        <v>6959</v>
      </c>
      <c r="C6393" s="65" t="s">
        <v>793</v>
      </c>
    </row>
    <row r="6394" spans="1:3" hidden="1">
      <c r="A6394" s="65">
        <v>9008550</v>
      </c>
      <c r="B6394" s="65" t="s">
        <v>6960</v>
      </c>
      <c r="C6394" s="65" t="s">
        <v>793</v>
      </c>
    </row>
    <row r="6395" spans="1:3" hidden="1">
      <c r="A6395" s="65">
        <v>9008551</v>
      </c>
      <c r="B6395" s="65" t="s">
        <v>6961</v>
      </c>
      <c r="C6395" s="65" t="s">
        <v>793</v>
      </c>
    </row>
    <row r="6396" spans="1:3" hidden="1">
      <c r="A6396" s="65">
        <v>9008552</v>
      </c>
      <c r="B6396" s="65" t="s">
        <v>6962</v>
      </c>
      <c r="C6396" s="65" t="s">
        <v>793</v>
      </c>
    </row>
    <row r="6397" spans="1:3" hidden="1">
      <c r="A6397" s="65">
        <v>9008553</v>
      </c>
      <c r="B6397" s="65" t="s">
        <v>6963</v>
      </c>
      <c r="C6397" s="65" t="s">
        <v>793</v>
      </c>
    </row>
    <row r="6398" spans="1:3" hidden="1">
      <c r="A6398" s="65">
        <v>9008554</v>
      </c>
      <c r="B6398" s="65" t="s">
        <v>6964</v>
      </c>
      <c r="C6398" s="65" t="s">
        <v>793</v>
      </c>
    </row>
    <row r="6399" spans="1:3" hidden="1">
      <c r="A6399" s="65">
        <v>9008555</v>
      </c>
      <c r="B6399" s="65" t="s">
        <v>6965</v>
      </c>
      <c r="C6399" s="65" t="s">
        <v>793</v>
      </c>
    </row>
    <row r="6400" spans="1:3" hidden="1">
      <c r="A6400" s="65">
        <v>9008556</v>
      </c>
      <c r="B6400" s="65" t="s">
        <v>6966</v>
      </c>
      <c r="C6400" s="65" t="s">
        <v>793</v>
      </c>
    </row>
    <row r="6401" spans="1:3" hidden="1">
      <c r="A6401" s="65">
        <v>9008557</v>
      </c>
      <c r="B6401" s="65" t="s">
        <v>6967</v>
      </c>
      <c r="C6401" s="65" t="s">
        <v>793</v>
      </c>
    </row>
    <row r="6402" spans="1:3" hidden="1">
      <c r="A6402" s="65">
        <v>9008558</v>
      </c>
      <c r="B6402" s="65" t="s">
        <v>6968</v>
      </c>
      <c r="C6402" s="65" t="s">
        <v>793</v>
      </c>
    </row>
    <row r="6403" spans="1:3" hidden="1">
      <c r="A6403" s="65">
        <v>9008559</v>
      </c>
      <c r="B6403" s="65" t="s">
        <v>6969</v>
      </c>
      <c r="C6403" s="65" t="s">
        <v>793</v>
      </c>
    </row>
    <row r="6404" spans="1:3" hidden="1">
      <c r="A6404" s="65">
        <v>9008560</v>
      </c>
      <c r="B6404" s="65" t="s">
        <v>6970</v>
      </c>
      <c r="C6404" s="65" t="s">
        <v>793</v>
      </c>
    </row>
    <row r="6405" spans="1:3" hidden="1">
      <c r="A6405" s="65">
        <v>9008561</v>
      </c>
      <c r="B6405" s="65" t="s">
        <v>6971</v>
      </c>
      <c r="C6405" s="65" t="s">
        <v>793</v>
      </c>
    </row>
    <row r="6406" spans="1:3" hidden="1">
      <c r="A6406" s="65">
        <v>9008562</v>
      </c>
      <c r="B6406" s="65" t="s">
        <v>6972</v>
      </c>
      <c r="C6406" s="65" t="s">
        <v>793</v>
      </c>
    </row>
    <row r="6407" spans="1:3" hidden="1">
      <c r="A6407" s="65">
        <v>9008563</v>
      </c>
      <c r="B6407" s="65" t="s">
        <v>6973</v>
      </c>
      <c r="C6407" s="65" t="s">
        <v>793</v>
      </c>
    </row>
    <row r="6408" spans="1:3" hidden="1">
      <c r="A6408" s="65">
        <v>9008564</v>
      </c>
      <c r="B6408" s="65" t="s">
        <v>6974</v>
      </c>
      <c r="C6408" s="65" t="s">
        <v>793</v>
      </c>
    </row>
    <row r="6409" spans="1:3" hidden="1">
      <c r="A6409" s="65">
        <v>9008565</v>
      </c>
      <c r="B6409" s="65" t="s">
        <v>6975</v>
      </c>
      <c r="C6409" s="65" t="s">
        <v>793</v>
      </c>
    </row>
    <row r="6410" spans="1:3" hidden="1">
      <c r="A6410" s="65">
        <v>9008566</v>
      </c>
      <c r="B6410" s="65" t="s">
        <v>6976</v>
      </c>
      <c r="C6410" s="65" t="s">
        <v>793</v>
      </c>
    </row>
    <row r="6411" spans="1:3" hidden="1">
      <c r="A6411" s="65">
        <v>9008567</v>
      </c>
      <c r="B6411" s="65" t="s">
        <v>6977</v>
      </c>
      <c r="C6411" s="65" t="s">
        <v>793</v>
      </c>
    </row>
    <row r="6412" spans="1:3" hidden="1">
      <c r="A6412" s="65">
        <v>9008568</v>
      </c>
      <c r="B6412" s="65" t="s">
        <v>6978</v>
      </c>
      <c r="C6412" s="65" t="s">
        <v>793</v>
      </c>
    </row>
    <row r="6413" spans="1:3" hidden="1">
      <c r="A6413" s="65">
        <v>9008569</v>
      </c>
      <c r="B6413" s="65" t="s">
        <v>6979</v>
      </c>
      <c r="C6413" s="65" t="s">
        <v>793</v>
      </c>
    </row>
    <row r="6414" spans="1:3" hidden="1">
      <c r="A6414" s="65">
        <v>9008570</v>
      </c>
      <c r="B6414" s="65" t="s">
        <v>6980</v>
      </c>
      <c r="C6414" s="65" t="s">
        <v>793</v>
      </c>
    </row>
    <row r="6415" spans="1:3" hidden="1">
      <c r="A6415" s="65">
        <v>9008571</v>
      </c>
      <c r="B6415" s="65" t="s">
        <v>6981</v>
      </c>
      <c r="C6415" s="65" t="s">
        <v>793</v>
      </c>
    </row>
    <row r="6416" spans="1:3" hidden="1">
      <c r="A6416" s="65">
        <v>9008572</v>
      </c>
      <c r="B6416" s="65" t="s">
        <v>6982</v>
      </c>
      <c r="C6416" s="65" t="s">
        <v>793</v>
      </c>
    </row>
    <row r="6417" spans="1:3" hidden="1">
      <c r="A6417" s="65">
        <v>9008573</v>
      </c>
      <c r="B6417" s="65" t="s">
        <v>6983</v>
      </c>
      <c r="C6417" s="65" t="s">
        <v>793</v>
      </c>
    </row>
    <row r="6418" spans="1:3" hidden="1">
      <c r="A6418" s="65">
        <v>9008574</v>
      </c>
      <c r="B6418" s="65" t="s">
        <v>6984</v>
      </c>
      <c r="C6418" s="65" t="s">
        <v>793</v>
      </c>
    </row>
    <row r="6419" spans="1:3" hidden="1">
      <c r="A6419" s="65">
        <v>9008575</v>
      </c>
      <c r="B6419" s="65" t="s">
        <v>6985</v>
      </c>
      <c r="C6419" s="65" t="s">
        <v>793</v>
      </c>
    </row>
    <row r="6420" spans="1:3" hidden="1">
      <c r="A6420" s="65">
        <v>9008579</v>
      </c>
      <c r="B6420" s="65" t="s">
        <v>6986</v>
      </c>
      <c r="C6420" s="65" t="s">
        <v>743</v>
      </c>
    </row>
    <row r="6421" spans="1:3" hidden="1">
      <c r="A6421" s="65">
        <v>9008580</v>
      </c>
      <c r="B6421" s="65" t="s">
        <v>6987</v>
      </c>
      <c r="C6421" s="65" t="s">
        <v>807</v>
      </c>
    </row>
    <row r="6422" spans="1:3" hidden="1">
      <c r="A6422" s="65">
        <v>9008581</v>
      </c>
      <c r="B6422" s="65" t="s">
        <v>6988</v>
      </c>
      <c r="C6422" s="65" t="s">
        <v>683</v>
      </c>
    </row>
    <row r="6423" spans="1:3" hidden="1">
      <c r="A6423" s="65">
        <v>9008582</v>
      </c>
      <c r="B6423" s="65" t="s">
        <v>6989</v>
      </c>
      <c r="C6423" s="65" t="s">
        <v>942</v>
      </c>
    </row>
    <row r="6424" spans="1:3" hidden="1">
      <c r="A6424" s="65">
        <v>9008589</v>
      </c>
      <c r="B6424" s="65" t="s">
        <v>6990</v>
      </c>
      <c r="C6424" s="65" t="s">
        <v>805</v>
      </c>
    </row>
    <row r="6425" spans="1:3" hidden="1">
      <c r="A6425" s="65">
        <v>9008590</v>
      </c>
      <c r="B6425" s="65" t="s">
        <v>6991</v>
      </c>
      <c r="C6425" s="65" t="s">
        <v>807</v>
      </c>
    </row>
    <row r="6426" spans="1:3" hidden="1">
      <c r="A6426" s="65">
        <v>9008591</v>
      </c>
      <c r="B6426" s="65" t="s">
        <v>6992</v>
      </c>
      <c r="C6426" s="65" t="s">
        <v>738</v>
      </c>
    </row>
    <row r="6427" spans="1:3" hidden="1">
      <c r="A6427" s="65">
        <v>9008592</v>
      </c>
      <c r="B6427" s="65" t="s">
        <v>6993</v>
      </c>
      <c r="C6427" s="65" t="s">
        <v>793</v>
      </c>
    </row>
    <row r="6428" spans="1:3" hidden="1">
      <c r="A6428" s="65">
        <v>9008593</v>
      </c>
      <c r="B6428" s="65" t="s">
        <v>6994</v>
      </c>
      <c r="C6428" s="65" t="s">
        <v>738</v>
      </c>
    </row>
    <row r="6429" spans="1:3" hidden="1">
      <c r="A6429" s="65">
        <v>9008594</v>
      </c>
      <c r="B6429" s="65" t="s">
        <v>6995</v>
      </c>
      <c r="C6429" s="65" t="s">
        <v>793</v>
      </c>
    </row>
    <row r="6430" spans="1:3" hidden="1">
      <c r="A6430" s="65">
        <v>9008595</v>
      </c>
      <c r="B6430" s="65" t="s">
        <v>6996</v>
      </c>
      <c r="C6430" s="65" t="s">
        <v>738</v>
      </c>
    </row>
    <row r="6431" spans="1:3" hidden="1">
      <c r="A6431" s="65">
        <v>9008596</v>
      </c>
      <c r="B6431" s="65" t="s">
        <v>6997</v>
      </c>
      <c r="C6431" s="65" t="s">
        <v>805</v>
      </c>
    </row>
    <row r="6432" spans="1:3" hidden="1">
      <c r="A6432" s="65">
        <v>9008597</v>
      </c>
      <c r="B6432" s="65" t="s">
        <v>6998</v>
      </c>
      <c r="C6432" s="65" t="s">
        <v>805</v>
      </c>
    </row>
    <row r="6433" spans="1:3" hidden="1">
      <c r="A6433" s="65">
        <v>9008598</v>
      </c>
      <c r="B6433" s="65" t="s">
        <v>6999</v>
      </c>
      <c r="C6433" s="65" t="s">
        <v>738</v>
      </c>
    </row>
    <row r="6434" spans="1:3" hidden="1">
      <c r="A6434" s="65">
        <v>9008599</v>
      </c>
      <c r="B6434" s="65" t="s">
        <v>7000</v>
      </c>
      <c r="C6434" s="65" t="s">
        <v>942</v>
      </c>
    </row>
    <row r="6435" spans="1:3" hidden="1">
      <c r="A6435" s="65">
        <v>9008600</v>
      </c>
      <c r="B6435" s="65" t="s">
        <v>7001</v>
      </c>
      <c r="C6435" s="65" t="s">
        <v>942</v>
      </c>
    </row>
    <row r="6436" spans="1:3" hidden="1">
      <c r="A6436" s="65">
        <v>9008601</v>
      </c>
      <c r="B6436" s="65" t="s">
        <v>7002</v>
      </c>
      <c r="C6436" s="65" t="s">
        <v>942</v>
      </c>
    </row>
    <row r="6437" spans="1:3" hidden="1">
      <c r="A6437" s="65">
        <v>9008602</v>
      </c>
      <c r="B6437" s="65" t="s">
        <v>7003</v>
      </c>
      <c r="C6437" s="65" t="s">
        <v>942</v>
      </c>
    </row>
    <row r="6438" spans="1:3" hidden="1">
      <c r="A6438" s="65">
        <v>9008603</v>
      </c>
      <c r="B6438" s="65" t="s">
        <v>7004</v>
      </c>
      <c r="C6438" s="65" t="s">
        <v>942</v>
      </c>
    </row>
    <row r="6439" spans="1:3" hidden="1">
      <c r="A6439" s="65">
        <v>9008604</v>
      </c>
      <c r="B6439" s="65" t="s">
        <v>7005</v>
      </c>
      <c r="C6439" s="65" t="s">
        <v>942</v>
      </c>
    </row>
    <row r="6440" spans="1:3" hidden="1">
      <c r="A6440" s="65">
        <v>9008605</v>
      </c>
      <c r="B6440" s="65" t="s">
        <v>7006</v>
      </c>
      <c r="C6440" s="65" t="s">
        <v>942</v>
      </c>
    </row>
    <row r="6441" spans="1:3" hidden="1">
      <c r="A6441" s="65">
        <v>9008606</v>
      </c>
      <c r="B6441" s="65" t="s">
        <v>7007</v>
      </c>
      <c r="C6441" s="65" t="s">
        <v>850</v>
      </c>
    </row>
    <row r="6442" spans="1:3" hidden="1">
      <c r="A6442" s="65">
        <v>9008609</v>
      </c>
      <c r="B6442" s="65" t="s">
        <v>7008</v>
      </c>
      <c r="C6442" s="65" t="s">
        <v>942</v>
      </c>
    </row>
    <row r="6443" spans="1:3" hidden="1">
      <c r="A6443" s="65">
        <v>9008610</v>
      </c>
      <c r="B6443" s="65" t="s">
        <v>7009</v>
      </c>
      <c r="C6443" s="65" t="s">
        <v>942</v>
      </c>
    </row>
    <row r="6444" spans="1:3" hidden="1">
      <c r="A6444" s="65">
        <v>9008611</v>
      </c>
      <c r="B6444" s="65" t="s">
        <v>7010</v>
      </c>
      <c r="C6444" s="65" t="s">
        <v>1594</v>
      </c>
    </row>
    <row r="6445" spans="1:3" hidden="1">
      <c r="A6445" s="65">
        <v>9008612</v>
      </c>
      <c r="B6445" s="65" t="s">
        <v>7011</v>
      </c>
      <c r="C6445" s="65" t="s">
        <v>807</v>
      </c>
    </row>
    <row r="6446" spans="1:3" hidden="1">
      <c r="A6446" s="65">
        <v>9008613</v>
      </c>
      <c r="B6446" s="65" t="s">
        <v>7012</v>
      </c>
      <c r="C6446" s="65" t="s">
        <v>807</v>
      </c>
    </row>
    <row r="6447" spans="1:3" hidden="1">
      <c r="A6447" s="65">
        <v>9008619</v>
      </c>
      <c r="B6447" s="65" t="s">
        <v>7013</v>
      </c>
      <c r="C6447" s="65" t="s">
        <v>942</v>
      </c>
    </row>
    <row r="6448" spans="1:3" hidden="1">
      <c r="A6448" s="65">
        <v>9008620</v>
      </c>
      <c r="B6448" s="65" t="s">
        <v>7014</v>
      </c>
      <c r="C6448" s="65" t="s">
        <v>1181</v>
      </c>
    </row>
    <row r="6449" spans="1:3" hidden="1">
      <c r="A6449" s="65">
        <v>9008621</v>
      </c>
      <c r="B6449" s="65" t="s">
        <v>7015</v>
      </c>
      <c r="C6449" s="65" t="s">
        <v>1181</v>
      </c>
    </row>
    <row r="6450" spans="1:3" hidden="1">
      <c r="A6450" s="65">
        <v>9008622</v>
      </c>
      <c r="B6450" s="65" t="s">
        <v>7016</v>
      </c>
      <c r="C6450" s="65" t="s">
        <v>738</v>
      </c>
    </row>
    <row r="6451" spans="1:3" hidden="1">
      <c r="A6451" s="65">
        <v>9008629</v>
      </c>
      <c r="B6451" s="65" t="s">
        <v>7017</v>
      </c>
      <c r="C6451" s="65" t="s">
        <v>942</v>
      </c>
    </row>
    <row r="6452" spans="1:3" hidden="1">
      <c r="A6452" s="65">
        <v>9008630</v>
      </c>
      <c r="B6452" s="65" t="s">
        <v>7018</v>
      </c>
      <c r="C6452" s="65" t="s">
        <v>942</v>
      </c>
    </row>
    <row r="6453" spans="1:3" hidden="1">
      <c r="A6453" s="65">
        <v>9008631</v>
      </c>
      <c r="B6453" s="65" t="s">
        <v>7019</v>
      </c>
      <c r="C6453" s="65" t="s">
        <v>942</v>
      </c>
    </row>
    <row r="6454" spans="1:3" hidden="1">
      <c r="A6454" s="65">
        <v>9008639</v>
      </c>
      <c r="B6454" s="65" t="s">
        <v>7020</v>
      </c>
      <c r="C6454" s="65" t="s">
        <v>788</v>
      </c>
    </row>
    <row r="6455" spans="1:3" hidden="1">
      <c r="A6455" s="65">
        <v>9008640</v>
      </c>
      <c r="B6455" s="65" t="s">
        <v>7021</v>
      </c>
      <c r="C6455" s="65" t="s">
        <v>751</v>
      </c>
    </row>
    <row r="6456" spans="1:3" hidden="1">
      <c r="A6456" s="65">
        <v>9008641</v>
      </c>
      <c r="B6456" s="65" t="s">
        <v>7022</v>
      </c>
      <c r="C6456" s="65" t="s">
        <v>775</v>
      </c>
    </row>
    <row r="6457" spans="1:3" hidden="1">
      <c r="A6457" s="65">
        <v>9008642</v>
      </c>
      <c r="B6457" s="65" t="s">
        <v>7023</v>
      </c>
      <c r="C6457" s="65" t="s">
        <v>805</v>
      </c>
    </row>
    <row r="6458" spans="1:3" hidden="1">
      <c r="A6458" s="65">
        <v>9008643</v>
      </c>
      <c r="B6458" s="65" t="s">
        <v>7024</v>
      </c>
      <c r="C6458" s="65" t="s">
        <v>743</v>
      </c>
    </row>
    <row r="6459" spans="1:3" hidden="1">
      <c r="A6459" s="65">
        <v>9008649</v>
      </c>
      <c r="B6459" s="65" t="s">
        <v>7025</v>
      </c>
      <c r="C6459" s="65" t="s">
        <v>738</v>
      </c>
    </row>
    <row r="6460" spans="1:3" hidden="1">
      <c r="A6460" s="65">
        <v>9008650</v>
      </c>
      <c r="B6460" s="65" t="s">
        <v>7026</v>
      </c>
      <c r="C6460" s="65" t="s">
        <v>738</v>
      </c>
    </row>
    <row r="6461" spans="1:3" hidden="1">
      <c r="A6461" s="65">
        <v>9008651</v>
      </c>
      <c r="B6461" s="65" t="s">
        <v>7027</v>
      </c>
      <c r="C6461" s="65" t="s">
        <v>805</v>
      </c>
    </row>
    <row r="6462" spans="1:3" hidden="1">
      <c r="A6462" s="65">
        <v>9008652</v>
      </c>
      <c r="B6462" s="65" t="s">
        <v>7028</v>
      </c>
      <c r="C6462" s="65" t="s">
        <v>805</v>
      </c>
    </row>
    <row r="6463" spans="1:3" hidden="1">
      <c r="A6463" s="65">
        <v>9008653</v>
      </c>
      <c r="B6463" s="65" t="s">
        <v>7029</v>
      </c>
      <c r="C6463" s="65" t="s">
        <v>793</v>
      </c>
    </row>
    <row r="6464" spans="1:3" hidden="1">
      <c r="A6464" s="65">
        <v>9008654</v>
      </c>
      <c r="B6464" s="65" t="s">
        <v>7030</v>
      </c>
      <c r="C6464" s="65" t="s">
        <v>793</v>
      </c>
    </row>
    <row r="6465" spans="1:3" hidden="1">
      <c r="A6465" s="65">
        <v>9008655</v>
      </c>
      <c r="B6465" s="65" t="s">
        <v>7031</v>
      </c>
      <c r="C6465" s="65" t="s">
        <v>793</v>
      </c>
    </row>
    <row r="6466" spans="1:3" hidden="1">
      <c r="A6466" s="65">
        <v>9008656</v>
      </c>
      <c r="B6466" s="65" t="s">
        <v>7032</v>
      </c>
      <c r="C6466" s="65" t="s">
        <v>793</v>
      </c>
    </row>
    <row r="6467" spans="1:3" hidden="1">
      <c r="A6467" s="65">
        <v>9008657</v>
      </c>
      <c r="B6467" s="65" t="s">
        <v>7033</v>
      </c>
      <c r="C6467" s="65" t="s">
        <v>793</v>
      </c>
    </row>
    <row r="6468" spans="1:3" hidden="1">
      <c r="A6468" s="65">
        <v>9008658</v>
      </c>
      <c r="B6468" s="65" t="s">
        <v>7034</v>
      </c>
      <c r="C6468" s="65" t="s">
        <v>793</v>
      </c>
    </row>
    <row r="6469" spans="1:3" hidden="1">
      <c r="A6469" s="65">
        <v>9008659</v>
      </c>
      <c r="B6469" s="65" t="s">
        <v>7035</v>
      </c>
      <c r="C6469" s="65" t="s">
        <v>805</v>
      </c>
    </row>
    <row r="6470" spans="1:3" hidden="1">
      <c r="A6470" s="65">
        <v>9008660</v>
      </c>
      <c r="B6470" s="65" t="s">
        <v>7036</v>
      </c>
      <c r="C6470" s="65" t="s">
        <v>793</v>
      </c>
    </row>
    <row r="6471" spans="1:3" hidden="1">
      <c r="A6471" s="65">
        <v>9008661</v>
      </c>
      <c r="B6471" s="65" t="s">
        <v>7037</v>
      </c>
      <c r="C6471" s="65" t="s">
        <v>793</v>
      </c>
    </row>
    <row r="6472" spans="1:3" hidden="1">
      <c r="A6472" s="65">
        <v>9008662</v>
      </c>
      <c r="B6472" s="65" t="s">
        <v>7038</v>
      </c>
      <c r="C6472" s="65" t="s">
        <v>793</v>
      </c>
    </row>
    <row r="6473" spans="1:3" hidden="1">
      <c r="A6473" s="65">
        <v>9008663</v>
      </c>
      <c r="B6473" s="65" t="s">
        <v>7039</v>
      </c>
      <c r="C6473" s="65" t="s">
        <v>805</v>
      </c>
    </row>
    <row r="6474" spans="1:3" hidden="1">
      <c r="A6474" s="65">
        <v>9008664</v>
      </c>
      <c r="B6474" s="65" t="s">
        <v>7040</v>
      </c>
      <c r="C6474" s="65" t="s">
        <v>757</v>
      </c>
    </row>
    <row r="6475" spans="1:3" hidden="1">
      <c r="A6475" s="65">
        <v>9008669</v>
      </c>
      <c r="B6475" s="65" t="s">
        <v>7041</v>
      </c>
      <c r="C6475" s="65" t="s">
        <v>805</v>
      </c>
    </row>
    <row r="6476" spans="1:3" hidden="1">
      <c r="A6476" s="65">
        <v>9008670</v>
      </c>
      <c r="B6476" s="65" t="s">
        <v>7042</v>
      </c>
      <c r="C6476" s="65" t="s">
        <v>793</v>
      </c>
    </row>
    <row r="6477" spans="1:3" hidden="1">
      <c r="A6477" s="65">
        <v>9008671</v>
      </c>
      <c r="B6477" s="65" t="s">
        <v>7043</v>
      </c>
      <c r="C6477" s="65" t="s">
        <v>793</v>
      </c>
    </row>
    <row r="6478" spans="1:3" hidden="1">
      <c r="A6478" s="65">
        <v>9008672</v>
      </c>
      <c r="B6478" s="65" t="s">
        <v>7044</v>
      </c>
      <c r="C6478" s="65" t="s">
        <v>738</v>
      </c>
    </row>
    <row r="6479" spans="1:3" hidden="1">
      <c r="A6479" s="65">
        <v>9008673</v>
      </c>
      <c r="B6479" s="65" t="s">
        <v>7045</v>
      </c>
      <c r="C6479" s="65" t="s">
        <v>738</v>
      </c>
    </row>
    <row r="6480" spans="1:3" hidden="1">
      <c r="A6480" s="65">
        <v>9008674</v>
      </c>
      <c r="B6480" s="65" t="s">
        <v>7046</v>
      </c>
      <c r="C6480" s="65" t="s">
        <v>738</v>
      </c>
    </row>
    <row r="6481" spans="1:3" hidden="1">
      <c r="A6481" s="65">
        <v>9008675</v>
      </c>
      <c r="B6481" s="65" t="s">
        <v>7047</v>
      </c>
      <c r="C6481" s="65" t="s">
        <v>850</v>
      </c>
    </row>
    <row r="6482" spans="1:3" hidden="1">
      <c r="A6482" s="65">
        <v>9008676</v>
      </c>
      <c r="B6482" s="65" t="s">
        <v>7048</v>
      </c>
      <c r="C6482" s="65" t="s">
        <v>745</v>
      </c>
    </row>
    <row r="6483" spans="1:3" hidden="1">
      <c r="A6483" s="65">
        <v>9008677</v>
      </c>
      <c r="B6483" s="65" t="s">
        <v>7049</v>
      </c>
      <c r="C6483" s="65" t="s">
        <v>942</v>
      </c>
    </row>
    <row r="6484" spans="1:3" hidden="1">
      <c r="A6484" s="65">
        <v>9008678</v>
      </c>
      <c r="B6484" s="65" t="s">
        <v>7050</v>
      </c>
      <c r="C6484" s="65" t="s">
        <v>793</v>
      </c>
    </row>
    <row r="6485" spans="1:3" hidden="1">
      <c r="A6485" s="65">
        <v>9008679</v>
      </c>
      <c r="B6485" s="65" t="s">
        <v>7051</v>
      </c>
      <c r="C6485" s="65" t="s">
        <v>775</v>
      </c>
    </row>
    <row r="6486" spans="1:3" hidden="1">
      <c r="A6486" s="65">
        <v>9008680</v>
      </c>
      <c r="B6486" s="65" t="s">
        <v>7052</v>
      </c>
      <c r="C6486" s="65" t="s">
        <v>775</v>
      </c>
    </row>
    <row r="6487" spans="1:3" hidden="1">
      <c r="A6487" s="65">
        <v>9008681</v>
      </c>
      <c r="B6487" s="65" t="s">
        <v>7053</v>
      </c>
      <c r="C6487" s="65" t="s">
        <v>793</v>
      </c>
    </row>
    <row r="6488" spans="1:3" hidden="1">
      <c r="A6488" s="65">
        <v>9008682</v>
      </c>
      <c r="B6488" s="65" t="s">
        <v>7054</v>
      </c>
      <c r="C6488" s="65" t="s">
        <v>793</v>
      </c>
    </row>
    <row r="6489" spans="1:3" hidden="1">
      <c r="A6489" s="65">
        <v>9008683</v>
      </c>
      <c r="B6489" s="65" t="s">
        <v>7055</v>
      </c>
      <c r="C6489" s="65" t="s">
        <v>793</v>
      </c>
    </row>
    <row r="6490" spans="1:3" hidden="1">
      <c r="A6490" s="65">
        <v>9008684</v>
      </c>
      <c r="B6490" s="65" t="s">
        <v>7056</v>
      </c>
      <c r="C6490" s="65" t="s">
        <v>793</v>
      </c>
    </row>
    <row r="6491" spans="1:3" hidden="1">
      <c r="A6491" s="65">
        <v>9008685</v>
      </c>
      <c r="B6491" s="65" t="s">
        <v>7057</v>
      </c>
      <c r="C6491" s="65" t="s">
        <v>738</v>
      </c>
    </row>
    <row r="6492" spans="1:3" hidden="1">
      <c r="A6492" s="65">
        <v>9008686</v>
      </c>
      <c r="B6492" s="65" t="s">
        <v>7058</v>
      </c>
      <c r="C6492" s="65" t="s">
        <v>1926</v>
      </c>
    </row>
    <row r="6493" spans="1:3" hidden="1">
      <c r="A6493" s="65">
        <v>9008687</v>
      </c>
      <c r="B6493" s="65" t="s">
        <v>7059</v>
      </c>
      <c r="C6493" s="65" t="s">
        <v>1181</v>
      </c>
    </row>
    <row r="6494" spans="1:3" hidden="1">
      <c r="A6494" s="65">
        <v>9008688</v>
      </c>
      <c r="B6494" s="65" t="s">
        <v>7060</v>
      </c>
      <c r="C6494" s="65" t="s">
        <v>942</v>
      </c>
    </row>
    <row r="6495" spans="1:3" hidden="1">
      <c r="A6495" s="65">
        <v>9008689</v>
      </c>
      <c r="B6495" s="65" t="s">
        <v>7061</v>
      </c>
      <c r="C6495" s="65" t="s">
        <v>805</v>
      </c>
    </row>
    <row r="6496" spans="1:3" hidden="1">
      <c r="A6496" s="65">
        <v>9008690</v>
      </c>
      <c r="B6496" s="65" t="s">
        <v>7062</v>
      </c>
      <c r="C6496" s="65" t="s">
        <v>942</v>
      </c>
    </row>
    <row r="6497" spans="1:3" hidden="1">
      <c r="A6497" s="65">
        <v>9008691</v>
      </c>
      <c r="B6497" s="65" t="s">
        <v>7063</v>
      </c>
      <c r="C6497" s="65" t="s">
        <v>942</v>
      </c>
    </row>
    <row r="6498" spans="1:3" hidden="1">
      <c r="A6498" s="65">
        <v>9008692</v>
      </c>
      <c r="B6498" s="65" t="s">
        <v>7064</v>
      </c>
      <c r="C6498" s="65" t="s">
        <v>7065</v>
      </c>
    </row>
    <row r="6499" spans="1:3" hidden="1">
      <c r="A6499" s="65">
        <v>9008693</v>
      </c>
      <c r="B6499" s="65" t="s">
        <v>7066</v>
      </c>
      <c r="C6499" s="65" t="s">
        <v>1181</v>
      </c>
    </row>
    <row r="6500" spans="1:3" hidden="1">
      <c r="A6500" s="65">
        <v>9008694</v>
      </c>
      <c r="B6500" s="65" t="s">
        <v>7067</v>
      </c>
      <c r="C6500" s="65" t="s">
        <v>942</v>
      </c>
    </row>
    <row r="6501" spans="1:3" hidden="1">
      <c r="A6501" s="65">
        <v>9008699</v>
      </c>
      <c r="B6501" s="65" t="s">
        <v>7068</v>
      </c>
      <c r="C6501" s="65" t="s">
        <v>786</v>
      </c>
    </row>
    <row r="6502" spans="1:3" hidden="1">
      <c r="A6502" s="65">
        <v>9008700</v>
      </c>
      <c r="B6502" s="65" t="s">
        <v>7069</v>
      </c>
      <c r="C6502" s="65" t="s">
        <v>786</v>
      </c>
    </row>
    <row r="6503" spans="1:3" hidden="1">
      <c r="A6503" s="65">
        <v>9008701</v>
      </c>
      <c r="B6503" s="65" t="s">
        <v>7070</v>
      </c>
      <c r="C6503" s="65" t="s">
        <v>786</v>
      </c>
    </row>
    <row r="6504" spans="1:3" hidden="1">
      <c r="A6504" s="65">
        <v>9008702</v>
      </c>
      <c r="B6504" s="65" t="s">
        <v>7071</v>
      </c>
      <c r="C6504" s="65" t="s">
        <v>1181</v>
      </c>
    </row>
    <row r="6505" spans="1:3" hidden="1">
      <c r="A6505" s="65">
        <v>9008703</v>
      </c>
      <c r="B6505" s="65" t="s">
        <v>7072</v>
      </c>
      <c r="C6505" s="65" t="s">
        <v>1181</v>
      </c>
    </row>
    <row r="6506" spans="1:3" hidden="1">
      <c r="A6506" s="65">
        <v>9008704</v>
      </c>
      <c r="B6506" s="65" t="s">
        <v>7073</v>
      </c>
      <c r="C6506" s="65" t="s">
        <v>1181</v>
      </c>
    </row>
    <row r="6507" spans="1:3" hidden="1">
      <c r="A6507" s="65">
        <v>9008705</v>
      </c>
      <c r="B6507" s="65" t="s">
        <v>7074</v>
      </c>
      <c r="C6507" s="65" t="s">
        <v>786</v>
      </c>
    </row>
    <row r="6508" spans="1:3" hidden="1">
      <c r="A6508" s="65">
        <v>9008706</v>
      </c>
      <c r="B6508" s="65" t="s">
        <v>7075</v>
      </c>
      <c r="C6508" s="65" t="s">
        <v>786</v>
      </c>
    </row>
    <row r="6509" spans="1:3" hidden="1">
      <c r="A6509" s="65">
        <v>9008707</v>
      </c>
      <c r="B6509" s="65" t="s">
        <v>7076</v>
      </c>
      <c r="C6509" s="65" t="s">
        <v>786</v>
      </c>
    </row>
    <row r="6510" spans="1:3" hidden="1">
      <c r="A6510" s="65">
        <v>9008708</v>
      </c>
      <c r="B6510" s="65" t="s">
        <v>7077</v>
      </c>
      <c r="C6510" s="65" t="s">
        <v>786</v>
      </c>
    </row>
    <row r="6511" spans="1:3" hidden="1">
      <c r="A6511" s="65">
        <v>9008709</v>
      </c>
      <c r="B6511" s="65" t="s">
        <v>7078</v>
      </c>
      <c r="C6511" s="65" t="s">
        <v>786</v>
      </c>
    </row>
    <row r="6512" spans="1:3" hidden="1">
      <c r="A6512" s="65">
        <v>9008710</v>
      </c>
      <c r="B6512" s="65" t="s">
        <v>7079</v>
      </c>
      <c r="C6512" s="65" t="s">
        <v>786</v>
      </c>
    </row>
    <row r="6513" spans="1:3" hidden="1">
      <c r="A6513" s="65">
        <v>9008711</v>
      </c>
      <c r="B6513" s="65" t="s">
        <v>7080</v>
      </c>
      <c r="C6513" s="65" t="s">
        <v>738</v>
      </c>
    </row>
    <row r="6514" spans="1:3" hidden="1">
      <c r="A6514" s="65">
        <v>9008712</v>
      </c>
      <c r="B6514" s="65" t="s">
        <v>7081</v>
      </c>
      <c r="C6514" s="65" t="s">
        <v>1181</v>
      </c>
    </row>
    <row r="6515" spans="1:3" hidden="1">
      <c r="A6515" s="65">
        <v>9008713</v>
      </c>
      <c r="B6515" s="65" t="s">
        <v>7082</v>
      </c>
      <c r="C6515" s="65" t="s">
        <v>1181</v>
      </c>
    </row>
    <row r="6516" spans="1:3" hidden="1">
      <c r="A6516" s="65">
        <v>9008714</v>
      </c>
      <c r="B6516" s="65" t="s">
        <v>7083</v>
      </c>
      <c r="C6516" s="65" t="s">
        <v>805</v>
      </c>
    </row>
    <row r="6517" spans="1:3" hidden="1">
      <c r="A6517" s="65">
        <v>9008715</v>
      </c>
      <c r="B6517" s="65" t="s">
        <v>7084</v>
      </c>
      <c r="C6517" s="65" t="s">
        <v>805</v>
      </c>
    </row>
    <row r="6518" spans="1:3" hidden="1">
      <c r="A6518" s="65">
        <v>9008716</v>
      </c>
      <c r="B6518" s="65" t="s">
        <v>7085</v>
      </c>
      <c r="C6518" s="65" t="s">
        <v>1926</v>
      </c>
    </row>
    <row r="6519" spans="1:3" hidden="1">
      <c r="A6519" s="65">
        <v>9008717</v>
      </c>
      <c r="B6519" s="65" t="s">
        <v>7086</v>
      </c>
      <c r="C6519" s="65" t="s">
        <v>1926</v>
      </c>
    </row>
    <row r="6520" spans="1:3" hidden="1">
      <c r="A6520" s="65">
        <v>9008718</v>
      </c>
      <c r="B6520" s="65" t="s">
        <v>7087</v>
      </c>
      <c r="C6520" s="65" t="s">
        <v>1926</v>
      </c>
    </row>
    <row r="6521" spans="1:3" hidden="1">
      <c r="A6521" s="65">
        <v>9008719</v>
      </c>
      <c r="B6521" s="65" t="s">
        <v>7088</v>
      </c>
      <c r="C6521" s="65" t="s">
        <v>1181</v>
      </c>
    </row>
    <row r="6522" spans="1:3" hidden="1">
      <c r="A6522" s="65">
        <v>9008720</v>
      </c>
      <c r="B6522" s="65" t="s">
        <v>7089</v>
      </c>
      <c r="C6522" s="65" t="s">
        <v>1181</v>
      </c>
    </row>
    <row r="6523" spans="1:3" hidden="1">
      <c r="A6523" s="65">
        <v>9008721</v>
      </c>
      <c r="B6523" s="65" t="s">
        <v>7090</v>
      </c>
      <c r="C6523" s="65" t="s">
        <v>1181</v>
      </c>
    </row>
    <row r="6524" spans="1:3" hidden="1">
      <c r="A6524" s="65">
        <v>9008722</v>
      </c>
      <c r="B6524" s="65" t="s">
        <v>7091</v>
      </c>
      <c r="C6524" s="65" t="s">
        <v>793</v>
      </c>
    </row>
    <row r="6525" spans="1:3" hidden="1">
      <c r="A6525" s="65">
        <v>9008723</v>
      </c>
      <c r="B6525" s="65" t="s">
        <v>7092</v>
      </c>
      <c r="C6525" s="65" t="s">
        <v>809</v>
      </c>
    </row>
    <row r="6526" spans="1:3" hidden="1">
      <c r="A6526" s="65">
        <v>9008724</v>
      </c>
      <c r="B6526" s="65" t="s">
        <v>7093</v>
      </c>
      <c r="C6526" s="65" t="s">
        <v>741</v>
      </c>
    </row>
    <row r="6527" spans="1:3" hidden="1">
      <c r="A6527" s="65">
        <v>9008725</v>
      </c>
      <c r="B6527" s="65" t="s">
        <v>7094</v>
      </c>
      <c r="C6527" s="65" t="s">
        <v>741</v>
      </c>
    </row>
    <row r="6528" spans="1:3" hidden="1">
      <c r="A6528" s="65">
        <v>9008726</v>
      </c>
      <c r="B6528" s="65" t="s">
        <v>7095</v>
      </c>
      <c r="C6528" s="65" t="s">
        <v>741</v>
      </c>
    </row>
    <row r="6529" spans="1:3" hidden="1">
      <c r="A6529" s="65">
        <v>9008727</v>
      </c>
      <c r="B6529" s="65" t="s">
        <v>7096</v>
      </c>
      <c r="C6529" s="65" t="s">
        <v>807</v>
      </c>
    </row>
    <row r="6530" spans="1:3" hidden="1">
      <c r="A6530" s="65">
        <v>9008728</v>
      </c>
      <c r="B6530" s="65" t="s">
        <v>7097</v>
      </c>
      <c r="C6530" s="65" t="s">
        <v>807</v>
      </c>
    </row>
    <row r="6531" spans="1:3" hidden="1">
      <c r="A6531" s="65">
        <v>9008729</v>
      </c>
      <c r="B6531" s="65" t="s">
        <v>7098</v>
      </c>
      <c r="C6531" s="65" t="s">
        <v>807</v>
      </c>
    </row>
    <row r="6532" spans="1:3" hidden="1">
      <c r="A6532" s="65">
        <v>9008730</v>
      </c>
      <c r="B6532" s="65" t="s">
        <v>7099</v>
      </c>
      <c r="C6532" s="65" t="s">
        <v>942</v>
      </c>
    </row>
    <row r="6533" spans="1:3" hidden="1">
      <c r="A6533" s="65">
        <v>9008731</v>
      </c>
      <c r="B6533" s="65" t="s">
        <v>7100</v>
      </c>
      <c r="C6533" s="65" t="s">
        <v>942</v>
      </c>
    </row>
    <row r="6534" spans="1:3" hidden="1">
      <c r="A6534" s="65">
        <v>9008732</v>
      </c>
      <c r="B6534" s="65" t="s">
        <v>7101</v>
      </c>
      <c r="C6534" s="65" t="s">
        <v>942</v>
      </c>
    </row>
    <row r="6535" spans="1:3" hidden="1">
      <c r="A6535" s="65">
        <v>9008733</v>
      </c>
      <c r="B6535" s="65" t="s">
        <v>7102</v>
      </c>
      <c r="C6535" s="65" t="s">
        <v>942</v>
      </c>
    </row>
    <row r="6536" spans="1:3" hidden="1">
      <c r="A6536" s="65">
        <v>9008734</v>
      </c>
      <c r="B6536" s="65" t="s">
        <v>7103</v>
      </c>
      <c r="C6536" s="65" t="s">
        <v>942</v>
      </c>
    </row>
    <row r="6537" spans="1:3" hidden="1">
      <c r="A6537" s="65">
        <v>9008735</v>
      </c>
      <c r="B6537" s="65" t="s">
        <v>7104</v>
      </c>
      <c r="C6537" s="65" t="s">
        <v>942</v>
      </c>
    </row>
    <row r="6538" spans="1:3" hidden="1">
      <c r="A6538" s="65">
        <v>9008739</v>
      </c>
      <c r="B6538" s="65" t="s">
        <v>7105</v>
      </c>
      <c r="C6538" s="65" t="s">
        <v>3170</v>
      </c>
    </row>
    <row r="6539" spans="1:3" hidden="1">
      <c r="A6539" s="65">
        <v>9008740</v>
      </c>
      <c r="B6539" s="65" t="s">
        <v>7106</v>
      </c>
      <c r="C6539" s="65" t="s">
        <v>3170</v>
      </c>
    </row>
    <row r="6540" spans="1:3" hidden="1">
      <c r="A6540" s="65">
        <v>9008741</v>
      </c>
      <c r="B6540" s="65" t="s">
        <v>7107</v>
      </c>
      <c r="C6540" s="65" t="s">
        <v>3170</v>
      </c>
    </row>
    <row r="6541" spans="1:3" hidden="1">
      <c r="A6541" s="65">
        <v>9008742</v>
      </c>
      <c r="B6541" s="65" t="s">
        <v>7108</v>
      </c>
      <c r="C6541" s="65" t="s">
        <v>3170</v>
      </c>
    </row>
    <row r="6542" spans="1:3" hidden="1">
      <c r="A6542" s="65">
        <v>9008743</v>
      </c>
      <c r="B6542" s="65" t="s">
        <v>7109</v>
      </c>
      <c r="C6542" s="65" t="s">
        <v>3170</v>
      </c>
    </row>
    <row r="6543" spans="1:3" hidden="1">
      <c r="A6543" s="65">
        <v>9008744</v>
      </c>
      <c r="B6543" s="65" t="s">
        <v>7110</v>
      </c>
      <c r="C6543" s="65" t="s">
        <v>3170</v>
      </c>
    </row>
    <row r="6544" spans="1:3" hidden="1">
      <c r="A6544" s="65">
        <v>9008745</v>
      </c>
      <c r="B6544" s="65" t="s">
        <v>7111</v>
      </c>
      <c r="C6544" s="65" t="s">
        <v>3170</v>
      </c>
    </row>
    <row r="6545" spans="1:3" hidden="1">
      <c r="A6545" s="65">
        <v>9008746</v>
      </c>
      <c r="B6545" s="65" t="s">
        <v>7112</v>
      </c>
      <c r="C6545" s="65" t="s">
        <v>942</v>
      </c>
    </row>
    <row r="6546" spans="1:3" hidden="1">
      <c r="A6546" s="65">
        <v>9008747</v>
      </c>
      <c r="B6546" s="65" t="s">
        <v>7113</v>
      </c>
      <c r="C6546" s="65" t="s">
        <v>942</v>
      </c>
    </row>
    <row r="6547" spans="1:3" hidden="1">
      <c r="A6547" s="65">
        <v>9008748</v>
      </c>
      <c r="B6547" s="65" t="s">
        <v>7114</v>
      </c>
      <c r="C6547" s="65" t="s">
        <v>942</v>
      </c>
    </row>
    <row r="6548" spans="1:3" hidden="1">
      <c r="A6548" s="65">
        <v>9008749</v>
      </c>
      <c r="B6548" s="65" t="s">
        <v>7115</v>
      </c>
      <c r="C6548" s="65" t="s">
        <v>942</v>
      </c>
    </row>
    <row r="6549" spans="1:3" hidden="1">
      <c r="A6549" s="65">
        <v>9008750</v>
      </c>
      <c r="B6549" s="65" t="s">
        <v>7116</v>
      </c>
      <c r="C6549" s="65" t="s">
        <v>942</v>
      </c>
    </row>
    <row r="6550" spans="1:3" hidden="1">
      <c r="A6550" s="65">
        <v>9008759</v>
      </c>
      <c r="B6550" s="65" t="s">
        <v>7117</v>
      </c>
      <c r="C6550" s="65" t="s">
        <v>942</v>
      </c>
    </row>
    <row r="6551" spans="1:3" hidden="1">
      <c r="A6551" s="65">
        <v>9008760</v>
      </c>
      <c r="B6551" s="65" t="s">
        <v>7117</v>
      </c>
      <c r="C6551" s="65" t="s">
        <v>942</v>
      </c>
    </row>
    <row r="6552" spans="1:3" hidden="1">
      <c r="A6552" s="65">
        <v>9008761</v>
      </c>
      <c r="B6552" s="65" t="s">
        <v>7118</v>
      </c>
      <c r="C6552" s="65" t="s">
        <v>942</v>
      </c>
    </row>
    <row r="6553" spans="1:3" hidden="1">
      <c r="A6553" s="65">
        <v>9008762</v>
      </c>
      <c r="B6553" s="65" t="s">
        <v>7119</v>
      </c>
      <c r="C6553" s="65" t="s">
        <v>942</v>
      </c>
    </row>
    <row r="6554" spans="1:3" hidden="1">
      <c r="A6554" s="65">
        <v>9008763</v>
      </c>
      <c r="B6554" s="65" t="s">
        <v>7117</v>
      </c>
      <c r="C6554" s="65" t="s">
        <v>942</v>
      </c>
    </row>
    <row r="6555" spans="1:3" hidden="1">
      <c r="A6555" s="65">
        <v>9008764</v>
      </c>
      <c r="B6555" s="65" t="s">
        <v>7120</v>
      </c>
      <c r="C6555" s="65" t="s">
        <v>942</v>
      </c>
    </row>
    <row r="6556" spans="1:3" hidden="1">
      <c r="A6556" s="65">
        <v>9008765</v>
      </c>
      <c r="B6556" s="65" t="s">
        <v>7121</v>
      </c>
      <c r="C6556" s="65" t="s">
        <v>1181</v>
      </c>
    </row>
    <row r="6557" spans="1:3" hidden="1">
      <c r="A6557" s="65">
        <v>9008766</v>
      </c>
      <c r="B6557" s="65" t="s">
        <v>7122</v>
      </c>
      <c r="C6557" s="65" t="s">
        <v>1181</v>
      </c>
    </row>
    <row r="6558" spans="1:3" hidden="1">
      <c r="A6558" s="65">
        <v>9008767</v>
      </c>
      <c r="B6558" s="65" t="s">
        <v>7123</v>
      </c>
      <c r="C6558" s="65" t="s">
        <v>813</v>
      </c>
    </row>
    <row r="6559" spans="1:3" hidden="1">
      <c r="A6559" s="65">
        <v>9008768</v>
      </c>
      <c r="B6559" s="65" t="s">
        <v>7124</v>
      </c>
      <c r="C6559" s="65" t="s">
        <v>695</v>
      </c>
    </row>
    <row r="6560" spans="1:3" hidden="1">
      <c r="A6560" s="65">
        <v>9008769</v>
      </c>
      <c r="B6560" s="65" t="s">
        <v>7125</v>
      </c>
      <c r="C6560" s="65" t="s">
        <v>793</v>
      </c>
    </row>
    <row r="6561" spans="1:3" hidden="1">
      <c r="A6561" s="65">
        <v>9008770</v>
      </c>
      <c r="B6561" s="65" t="s">
        <v>7126</v>
      </c>
      <c r="C6561" s="65" t="s">
        <v>793</v>
      </c>
    </row>
    <row r="6562" spans="1:3" hidden="1">
      <c r="A6562" s="65">
        <v>9008771</v>
      </c>
      <c r="B6562" s="65" t="s">
        <v>7127</v>
      </c>
      <c r="C6562" s="65" t="s">
        <v>793</v>
      </c>
    </row>
    <row r="6563" spans="1:3" hidden="1">
      <c r="A6563" s="65">
        <v>9008772</v>
      </c>
      <c r="B6563" s="65" t="s">
        <v>7128</v>
      </c>
      <c r="C6563" s="65" t="s">
        <v>738</v>
      </c>
    </row>
    <row r="6564" spans="1:3" hidden="1">
      <c r="A6564" s="65">
        <v>9008773</v>
      </c>
      <c r="B6564" s="65" t="s">
        <v>7129</v>
      </c>
      <c r="C6564" s="65" t="s">
        <v>738</v>
      </c>
    </row>
    <row r="6565" spans="1:3" hidden="1">
      <c r="A6565" s="65">
        <v>9008774</v>
      </c>
      <c r="B6565" s="65" t="s">
        <v>7130</v>
      </c>
      <c r="C6565" s="65" t="s">
        <v>738</v>
      </c>
    </row>
    <row r="6566" spans="1:3" hidden="1">
      <c r="A6566" s="65">
        <v>9008775</v>
      </c>
      <c r="B6566" s="65" t="s">
        <v>7131</v>
      </c>
      <c r="C6566" s="65" t="s">
        <v>793</v>
      </c>
    </row>
    <row r="6567" spans="1:3" hidden="1">
      <c r="A6567" s="65">
        <v>9008776</v>
      </c>
      <c r="B6567" s="65" t="s">
        <v>7132</v>
      </c>
      <c r="C6567" s="65" t="s">
        <v>1101</v>
      </c>
    </row>
    <row r="6568" spans="1:3" hidden="1">
      <c r="A6568" s="65">
        <v>9008777</v>
      </c>
      <c r="B6568" s="65" t="s">
        <v>7133</v>
      </c>
      <c r="C6568" s="65" t="s">
        <v>738</v>
      </c>
    </row>
    <row r="6569" spans="1:3" hidden="1">
      <c r="A6569" s="65">
        <v>9008778</v>
      </c>
      <c r="B6569" s="65" t="s">
        <v>7134</v>
      </c>
      <c r="C6569" s="65" t="s">
        <v>738</v>
      </c>
    </row>
    <row r="6570" spans="1:3" hidden="1">
      <c r="A6570" s="65">
        <v>9008779</v>
      </c>
      <c r="B6570" s="65" t="s">
        <v>7135</v>
      </c>
      <c r="C6570" s="65" t="s">
        <v>738</v>
      </c>
    </row>
    <row r="6571" spans="1:3" hidden="1">
      <c r="A6571" s="65">
        <v>9008780</v>
      </c>
      <c r="B6571" s="65" t="s">
        <v>7136</v>
      </c>
      <c r="C6571" s="65" t="s">
        <v>805</v>
      </c>
    </row>
    <row r="6572" spans="1:3" hidden="1">
      <c r="A6572" s="65">
        <v>9008781</v>
      </c>
      <c r="B6572" s="65" t="s">
        <v>7137</v>
      </c>
      <c r="C6572" s="65" t="s">
        <v>805</v>
      </c>
    </row>
    <row r="6573" spans="1:3" hidden="1">
      <c r="A6573" s="65">
        <v>9008782</v>
      </c>
      <c r="B6573" s="65" t="s">
        <v>7138</v>
      </c>
      <c r="C6573" s="65" t="s">
        <v>805</v>
      </c>
    </row>
    <row r="6574" spans="1:3" hidden="1">
      <c r="A6574" s="65">
        <v>9008783</v>
      </c>
      <c r="B6574" s="65" t="s">
        <v>7139</v>
      </c>
      <c r="C6574" s="65" t="s">
        <v>738</v>
      </c>
    </row>
    <row r="6575" spans="1:3" hidden="1">
      <c r="A6575" s="65">
        <v>9008789</v>
      </c>
      <c r="B6575" s="65" t="s">
        <v>7140</v>
      </c>
      <c r="C6575" s="65" t="s">
        <v>745</v>
      </c>
    </row>
    <row r="6576" spans="1:3" hidden="1">
      <c r="A6576" s="65">
        <v>9008790</v>
      </c>
      <c r="B6576" s="65" t="s">
        <v>7141</v>
      </c>
      <c r="C6576" s="65" t="s">
        <v>745</v>
      </c>
    </row>
    <row r="6577" spans="1:3" hidden="1">
      <c r="A6577" s="65">
        <v>9008791</v>
      </c>
      <c r="B6577" s="65" t="s">
        <v>7142</v>
      </c>
      <c r="C6577" s="65" t="s">
        <v>805</v>
      </c>
    </row>
    <row r="6578" spans="1:3" hidden="1">
      <c r="A6578" s="65">
        <v>9008792</v>
      </c>
      <c r="B6578" s="65" t="s">
        <v>7143</v>
      </c>
      <c r="C6578" s="65" t="s">
        <v>805</v>
      </c>
    </row>
    <row r="6579" spans="1:3" hidden="1">
      <c r="A6579" s="65">
        <v>9008793</v>
      </c>
      <c r="B6579" s="65" t="s">
        <v>7144</v>
      </c>
      <c r="C6579" s="65" t="s">
        <v>805</v>
      </c>
    </row>
    <row r="6580" spans="1:3" hidden="1">
      <c r="A6580" s="65">
        <v>9008794</v>
      </c>
      <c r="B6580" s="65" t="s">
        <v>7145</v>
      </c>
      <c r="C6580" s="65" t="s">
        <v>805</v>
      </c>
    </row>
    <row r="6581" spans="1:3" hidden="1">
      <c r="A6581" s="65">
        <v>9008795</v>
      </c>
      <c r="B6581" s="65" t="s">
        <v>7146</v>
      </c>
      <c r="C6581" s="65" t="s">
        <v>805</v>
      </c>
    </row>
    <row r="6582" spans="1:3" hidden="1">
      <c r="A6582" s="65">
        <v>9008796</v>
      </c>
      <c r="B6582" s="65" t="s">
        <v>7147</v>
      </c>
      <c r="C6582" s="65" t="s">
        <v>805</v>
      </c>
    </row>
    <row r="6583" spans="1:3" hidden="1">
      <c r="A6583" s="65">
        <v>9008797</v>
      </c>
      <c r="B6583" s="65" t="s">
        <v>7148</v>
      </c>
      <c r="C6583" s="65" t="s">
        <v>738</v>
      </c>
    </row>
    <row r="6584" spans="1:3" hidden="1">
      <c r="A6584" s="65">
        <v>9008798</v>
      </c>
      <c r="B6584" s="65" t="s">
        <v>7149</v>
      </c>
      <c r="C6584" s="65" t="s">
        <v>757</v>
      </c>
    </row>
    <row r="6585" spans="1:3" hidden="1">
      <c r="A6585" s="65">
        <v>9008799</v>
      </c>
      <c r="B6585" s="65" t="s">
        <v>7150</v>
      </c>
      <c r="C6585" s="65" t="s">
        <v>779</v>
      </c>
    </row>
    <row r="6586" spans="1:3" hidden="1">
      <c r="A6586" s="65">
        <v>9008800</v>
      </c>
      <c r="B6586" s="65" t="s">
        <v>7151</v>
      </c>
      <c r="C6586" s="65" t="s">
        <v>751</v>
      </c>
    </row>
    <row r="6587" spans="1:3" hidden="1">
      <c r="A6587" s="65">
        <v>9008801</v>
      </c>
      <c r="B6587" s="65" t="s">
        <v>7152</v>
      </c>
      <c r="C6587" s="65" t="s">
        <v>805</v>
      </c>
    </row>
    <row r="6588" spans="1:3" hidden="1">
      <c r="A6588" s="65">
        <v>9008802</v>
      </c>
      <c r="B6588" s="65" t="s">
        <v>7153</v>
      </c>
      <c r="C6588" s="65" t="s">
        <v>942</v>
      </c>
    </row>
    <row r="6589" spans="1:3" hidden="1">
      <c r="A6589" s="65">
        <v>9008809</v>
      </c>
      <c r="B6589" s="65" t="s">
        <v>7154</v>
      </c>
      <c r="C6589" s="65" t="s">
        <v>738</v>
      </c>
    </row>
    <row r="6590" spans="1:3" hidden="1">
      <c r="A6590" s="65">
        <v>9008810</v>
      </c>
      <c r="B6590" s="65" t="s">
        <v>7155</v>
      </c>
      <c r="C6590" s="65" t="s">
        <v>738</v>
      </c>
    </row>
    <row r="6591" spans="1:3" hidden="1">
      <c r="A6591" s="65">
        <v>9008811</v>
      </c>
      <c r="B6591" s="65" t="s">
        <v>7156</v>
      </c>
      <c r="C6591" s="65" t="s">
        <v>805</v>
      </c>
    </row>
    <row r="6592" spans="1:3" hidden="1">
      <c r="A6592" s="65">
        <v>9008812</v>
      </c>
      <c r="B6592" s="65" t="s">
        <v>7157</v>
      </c>
      <c r="C6592" s="65" t="s">
        <v>745</v>
      </c>
    </row>
    <row r="6593" spans="1:3" hidden="1">
      <c r="A6593" s="65">
        <v>9008813</v>
      </c>
      <c r="B6593" s="65" t="s">
        <v>7158</v>
      </c>
      <c r="C6593" s="65" t="s">
        <v>942</v>
      </c>
    </row>
    <row r="6594" spans="1:3" hidden="1">
      <c r="A6594" s="65">
        <v>9008814</v>
      </c>
      <c r="B6594" s="65" t="s">
        <v>7159</v>
      </c>
      <c r="C6594" s="65" t="s">
        <v>942</v>
      </c>
    </row>
    <row r="6595" spans="1:3" hidden="1">
      <c r="A6595" s="65">
        <v>9008815</v>
      </c>
      <c r="B6595" s="65" t="s">
        <v>7160</v>
      </c>
      <c r="C6595" s="65" t="s">
        <v>698</v>
      </c>
    </row>
    <row r="6596" spans="1:3" hidden="1">
      <c r="A6596" s="65">
        <v>9008816</v>
      </c>
      <c r="B6596" s="65" t="s">
        <v>7161</v>
      </c>
      <c r="C6596" s="65" t="s">
        <v>942</v>
      </c>
    </row>
    <row r="6597" spans="1:3" hidden="1">
      <c r="A6597" s="65">
        <v>9008817</v>
      </c>
      <c r="B6597" s="65" t="s">
        <v>7162</v>
      </c>
      <c r="C6597" s="65" t="s">
        <v>807</v>
      </c>
    </row>
    <row r="6598" spans="1:3" hidden="1">
      <c r="A6598" s="65">
        <v>9008818</v>
      </c>
      <c r="B6598" s="65" t="s">
        <v>7163</v>
      </c>
      <c r="C6598" s="65" t="s">
        <v>807</v>
      </c>
    </row>
    <row r="6599" spans="1:3" hidden="1">
      <c r="A6599" s="65">
        <v>9008819</v>
      </c>
      <c r="B6599" s="65" t="s">
        <v>7164</v>
      </c>
      <c r="C6599" s="65" t="s">
        <v>807</v>
      </c>
    </row>
    <row r="6600" spans="1:3" hidden="1">
      <c r="A6600" s="65">
        <v>9008820</v>
      </c>
      <c r="B6600" s="65" t="s">
        <v>7165</v>
      </c>
      <c r="C6600" s="65" t="s">
        <v>942</v>
      </c>
    </row>
    <row r="6601" spans="1:3" hidden="1">
      <c r="A6601" s="65">
        <v>9008821</v>
      </c>
      <c r="B6601" s="65" t="s">
        <v>7166</v>
      </c>
      <c r="C6601" s="65" t="s">
        <v>1036</v>
      </c>
    </row>
    <row r="6602" spans="1:3" hidden="1">
      <c r="A6602" s="65">
        <v>9008822</v>
      </c>
      <c r="B6602" s="65" t="s">
        <v>7167</v>
      </c>
      <c r="C6602" s="65" t="s">
        <v>942</v>
      </c>
    </row>
    <row r="6603" spans="1:3" hidden="1">
      <c r="A6603" s="65">
        <v>9008823</v>
      </c>
      <c r="B6603" s="65" t="s">
        <v>3204</v>
      </c>
      <c r="C6603" s="65" t="s">
        <v>805</v>
      </c>
    </row>
    <row r="6604" spans="1:3" hidden="1">
      <c r="A6604" s="65">
        <v>9008824</v>
      </c>
      <c r="B6604" s="65" t="s">
        <v>1901</v>
      </c>
      <c r="C6604" s="65" t="s">
        <v>664</v>
      </c>
    </row>
    <row r="6605" spans="1:3" hidden="1">
      <c r="A6605" s="65">
        <v>9008825</v>
      </c>
      <c r="B6605" s="65" t="s">
        <v>1635</v>
      </c>
      <c r="C6605" s="65" t="s">
        <v>827</v>
      </c>
    </row>
    <row r="6606" spans="1:3" hidden="1">
      <c r="A6606" s="65">
        <v>9008826</v>
      </c>
      <c r="B6606" s="65" t="s">
        <v>7168</v>
      </c>
      <c r="C6606" s="65" t="s">
        <v>738</v>
      </c>
    </row>
    <row r="6607" spans="1:3" hidden="1">
      <c r="A6607" s="65">
        <v>9008827</v>
      </c>
      <c r="B6607" s="65" t="s">
        <v>1548</v>
      </c>
      <c r="C6607" s="65" t="s">
        <v>738</v>
      </c>
    </row>
    <row r="6608" spans="1:3" hidden="1">
      <c r="A6608" s="65">
        <v>9008828</v>
      </c>
      <c r="B6608" s="65" t="s">
        <v>1485</v>
      </c>
      <c r="C6608" s="65" t="s">
        <v>738</v>
      </c>
    </row>
    <row r="6609" spans="1:3" hidden="1">
      <c r="A6609" s="65">
        <v>9008829</v>
      </c>
      <c r="B6609" s="65" t="s">
        <v>7169</v>
      </c>
      <c r="C6609" s="65" t="s">
        <v>942</v>
      </c>
    </row>
    <row r="6610" spans="1:3" hidden="1">
      <c r="A6610" s="65">
        <v>9008830</v>
      </c>
      <c r="B6610" s="65" t="s">
        <v>7170</v>
      </c>
      <c r="C6610" s="65" t="s">
        <v>751</v>
      </c>
    </row>
    <row r="6611" spans="1:3" hidden="1">
      <c r="A6611" s="65">
        <v>9008831</v>
      </c>
      <c r="B6611" s="65" t="s">
        <v>7171</v>
      </c>
      <c r="C6611" s="65" t="s">
        <v>751</v>
      </c>
    </row>
    <row r="6612" spans="1:3" hidden="1">
      <c r="A6612" s="65">
        <v>9008832</v>
      </c>
      <c r="B6612" s="65" t="s">
        <v>7172</v>
      </c>
      <c r="C6612" s="65" t="s">
        <v>683</v>
      </c>
    </row>
    <row r="6613" spans="1:3" hidden="1">
      <c r="A6613" s="65">
        <v>9008833</v>
      </c>
      <c r="B6613" s="65" t="s">
        <v>7173</v>
      </c>
      <c r="C6613" s="65" t="s">
        <v>805</v>
      </c>
    </row>
    <row r="6614" spans="1:3" hidden="1">
      <c r="A6614" s="65">
        <v>9008834</v>
      </c>
      <c r="B6614" s="65" t="s">
        <v>7174</v>
      </c>
      <c r="C6614" s="65" t="s">
        <v>805</v>
      </c>
    </row>
    <row r="6615" spans="1:3" hidden="1">
      <c r="A6615" s="65">
        <v>9008835</v>
      </c>
      <c r="B6615" s="65" t="s">
        <v>7175</v>
      </c>
      <c r="C6615" s="65" t="s">
        <v>805</v>
      </c>
    </row>
    <row r="6616" spans="1:3" hidden="1">
      <c r="A6616" s="65">
        <v>9008836</v>
      </c>
      <c r="B6616" s="65" t="s">
        <v>7176</v>
      </c>
      <c r="C6616" s="65" t="s">
        <v>805</v>
      </c>
    </row>
    <row r="6617" spans="1:3" hidden="1">
      <c r="A6617" s="65">
        <v>9008837</v>
      </c>
      <c r="B6617" s="65" t="s">
        <v>7177</v>
      </c>
      <c r="C6617" s="65" t="s">
        <v>805</v>
      </c>
    </row>
    <row r="6618" spans="1:3" hidden="1">
      <c r="A6618" s="65">
        <v>9008838</v>
      </c>
      <c r="B6618" s="65" t="s">
        <v>7178</v>
      </c>
      <c r="C6618" s="65" t="s">
        <v>738</v>
      </c>
    </row>
    <row r="6619" spans="1:3" hidden="1">
      <c r="A6619" s="65">
        <v>9008839</v>
      </c>
      <c r="B6619" s="65" t="s">
        <v>7179</v>
      </c>
      <c r="C6619" s="65" t="s">
        <v>942</v>
      </c>
    </row>
    <row r="6620" spans="1:3" hidden="1">
      <c r="A6620" s="65">
        <v>9008840</v>
      </c>
      <c r="B6620" s="65" t="s">
        <v>7180</v>
      </c>
      <c r="C6620" s="65" t="s">
        <v>942</v>
      </c>
    </row>
    <row r="6621" spans="1:3" hidden="1">
      <c r="A6621" s="65">
        <v>9008841</v>
      </c>
      <c r="B6621" s="65" t="s">
        <v>7181</v>
      </c>
      <c r="C6621" s="65" t="s">
        <v>1181</v>
      </c>
    </row>
    <row r="6622" spans="1:3" hidden="1">
      <c r="A6622" s="65">
        <v>9008842</v>
      </c>
      <c r="B6622" s="65" t="s">
        <v>7182</v>
      </c>
      <c r="C6622" s="65" t="s">
        <v>664</v>
      </c>
    </row>
    <row r="6623" spans="1:3" hidden="1">
      <c r="A6623" s="65">
        <v>9008843</v>
      </c>
      <c r="B6623" s="65" t="s">
        <v>7183</v>
      </c>
      <c r="C6623" s="65" t="s">
        <v>664</v>
      </c>
    </row>
    <row r="6624" spans="1:3" hidden="1">
      <c r="A6624" s="65">
        <v>9008844</v>
      </c>
      <c r="B6624" s="65" t="s">
        <v>7184</v>
      </c>
      <c r="C6624" s="65" t="s">
        <v>805</v>
      </c>
    </row>
    <row r="6625" spans="1:3" hidden="1">
      <c r="A6625" s="65">
        <v>9008845</v>
      </c>
      <c r="B6625" s="65" t="s">
        <v>7185</v>
      </c>
      <c r="C6625" s="65" t="s">
        <v>942</v>
      </c>
    </row>
    <row r="6626" spans="1:3" hidden="1">
      <c r="A6626" s="65">
        <v>9008846</v>
      </c>
      <c r="B6626" s="65" t="s">
        <v>7186</v>
      </c>
      <c r="C6626" s="65" t="s">
        <v>942</v>
      </c>
    </row>
    <row r="6627" spans="1:3" hidden="1">
      <c r="A6627" s="65">
        <v>9008849</v>
      </c>
      <c r="B6627" s="65" t="s">
        <v>7187</v>
      </c>
      <c r="C6627" s="65" t="s">
        <v>942</v>
      </c>
    </row>
    <row r="6628" spans="1:3" hidden="1">
      <c r="A6628" s="65">
        <v>9008850</v>
      </c>
      <c r="B6628" s="65" t="s">
        <v>7188</v>
      </c>
      <c r="C6628" s="65" t="s">
        <v>942</v>
      </c>
    </row>
    <row r="6629" spans="1:3" hidden="1">
      <c r="A6629" s="65">
        <v>9008851</v>
      </c>
      <c r="B6629" s="65" t="s">
        <v>7189</v>
      </c>
      <c r="C6629" s="65" t="s">
        <v>942</v>
      </c>
    </row>
    <row r="6630" spans="1:3" hidden="1">
      <c r="A6630" s="65">
        <v>9008852</v>
      </c>
      <c r="B6630" s="65" t="s">
        <v>7190</v>
      </c>
      <c r="C6630" s="65" t="s">
        <v>677</v>
      </c>
    </row>
    <row r="6631" spans="1:3" hidden="1">
      <c r="A6631" s="65">
        <v>9008853</v>
      </c>
      <c r="B6631" s="65" t="s">
        <v>7191</v>
      </c>
      <c r="C6631" s="65" t="s">
        <v>775</v>
      </c>
    </row>
    <row r="6632" spans="1:3" hidden="1">
      <c r="A6632" s="65">
        <v>9008854</v>
      </c>
      <c r="B6632" s="65" t="s">
        <v>7192</v>
      </c>
      <c r="C6632" s="65" t="s">
        <v>698</v>
      </c>
    </row>
    <row r="6633" spans="1:3" hidden="1">
      <c r="A6633" s="65">
        <v>9008855</v>
      </c>
      <c r="B6633" s="65" t="s">
        <v>7193</v>
      </c>
      <c r="C6633" s="65" t="s">
        <v>813</v>
      </c>
    </row>
    <row r="6634" spans="1:3" hidden="1">
      <c r="A6634" s="65">
        <v>9008856</v>
      </c>
      <c r="B6634" s="65" t="s">
        <v>7194</v>
      </c>
      <c r="C6634" s="65" t="s">
        <v>1036</v>
      </c>
    </row>
    <row r="6635" spans="1:3" hidden="1">
      <c r="A6635" s="65">
        <v>9008859</v>
      </c>
      <c r="B6635" s="65" t="s">
        <v>1458</v>
      </c>
      <c r="C6635" s="65" t="s">
        <v>738</v>
      </c>
    </row>
    <row r="6636" spans="1:3" hidden="1">
      <c r="A6636" s="65">
        <v>9008860</v>
      </c>
      <c r="B6636" s="65" t="s">
        <v>7195</v>
      </c>
      <c r="C6636" s="65" t="s">
        <v>738</v>
      </c>
    </row>
    <row r="6637" spans="1:3" hidden="1">
      <c r="A6637" s="65">
        <v>9008861</v>
      </c>
      <c r="B6637" s="65" t="s">
        <v>1305</v>
      </c>
      <c r="C6637" s="65" t="s">
        <v>738</v>
      </c>
    </row>
    <row r="6638" spans="1:3" hidden="1">
      <c r="A6638" s="65">
        <v>9008862</v>
      </c>
      <c r="B6638" s="65" t="s">
        <v>1303</v>
      </c>
      <c r="C6638" s="65" t="s">
        <v>738</v>
      </c>
    </row>
    <row r="6639" spans="1:3" hidden="1">
      <c r="A6639" s="65">
        <v>9008863</v>
      </c>
      <c r="B6639" s="65" t="s">
        <v>1302</v>
      </c>
      <c r="C6639" s="65" t="s">
        <v>738</v>
      </c>
    </row>
    <row r="6640" spans="1:3" hidden="1">
      <c r="A6640" s="65">
        <v>9008864</v>
      </c>
      <c r="B6640" s="65" t="s">
        <v>1167</v>
      </c>
      <c r="C6640" s="65" t="s">
        <v>738</v>
      </c>
    </row>
    <row r="6641" spans="1:3" hidden="1">
      <c r="A6641" s="65">
        <v>9008865</v>
      </c>
      <c r="B6641" s="65" t="s">
        <v>1142</v>
      </c>
      <c r="C6641" s="65" t="s">
        <v>741</v>
      </c>
    </row>
    <row r="6642" spans="1:3" hidden="1">
      <c r="A6642" s="65">
        <v>9008866</v>
      </c>
      <c r="B6642" s="65" t="s">
        <v>7196</v>
      </c>
      <c r="C6642" s="65" t="s">
        <v>942</v>
      </c>
    </row>
    <row r="6643" spans="1:3" hidden="1">
      <c r="A6643" s="65">
        <v>9008867</v>
      </c>
      <c r="B6643" s="65" t="s">
        <v>7197</v>
      </c>
      <c r="C6643" s="65" t="s">
        <v>942</v>
      </c>
    </row>
    <row r="6644" spans="1:3" hidden="1">
      <c r="A6644" s="65">
        <v>9008868</v>
      </c>
      <c r="B6644" s="65" t="s">
        <v>7198</v>
      </c>
      <c r="C6644" s="65" t="s">
        <v>942</v>
      </c>
    </row>
    <row r="6645" spans="1:3" hidden="1">
      <c r="A6645" s="65">
        <v>9008869</v>
      </c>
      <c r="B6645" s="65" t="s">
        <v>7199</v>
      </c>
      <c r="C6645" s="65" t="s">
        <v>942</v>
      </c>
    </row>
    <row r="6646" spans="1:3" hidden="1">
      <c r="A6646" s="65">
        <v>9008870</v>
      </c>
      <c r="B6646" s="65" t="s">
        <v>7200</v>
      </c>
      <c r="C6646" s="65" t="s">
        <v>942</v>
      </c>
    </row>
    <row r="6647" spans="1:3" hidden="1">
      <c r="A6647" s="65">
        <v>9008871</v>
      </c>
      <c r="B6647" s="65" t="s">
        <v>7201</v>
      </c>
      <c r="C6647" s="65" t="s">
        <v>942</v>
      </c>
    </row>
    <row r="6648" spans="1:3" hidden="1">
      <c r="A6648" s="65">
        <v>9008879</v>
      </c>
      <c r="B6648" s="65" t="s">
        <v>7202</v>
      </c>
      <c r="C6648" s="65" t="s">
        <v>807</v>
      </c>
    </row>
    <row r="6649" spans="1:3" hidden="1">
      <c r="A6649" s="65">
        <v>9008880</v>
      </c>
      <c r="B6649" s="65" t="s">
        <v>7203</v>
      </c>
      <c r="C6649" s="65" t="s">
        <v>807</v>
      </c>
    </row>
    <row r="6650" spans="1:3" hidden="1">
      <c r="A6650" s="65">
        <v>9008889</v>
      </c>
      <c r="B6650" s="65" t="s">
        <v>7204</v>
      </c>
      <c r="C6650" s="65" t="s">
        <v>1101</v>
      </c>
    </row>
    <row r="6651" spans="1:3" hidden="1">
      <c r="A6651" s="65">
        <v>9008890</v>
      </c>
      <c r="B6651" s="65" t="s">
        <v>7205</v>
      </c>
      <c r="C6651" s="65" t="s">
        <v>775</v>
      </c>
    </row>
    <row r="6652" spans="1:3" hidden="1">
      <c r="A6652" s="65">
        <v>9008891</v>
      </c>
      <c r="B6652" s="65" t="s">
        <v>7206</v>
      </c>
      <c r="C6652" s="65" t="s">
        <v>743</v>
      </c>
    </row>
    <row r="6653" spans="1:3" hidden="1">
      <c r="A6653" s="65">
        <v>9008892</v>
      </c>
      <c r="B6653" s="65" t="s">
        <v>7207</v>
      </c>
      <c r="C6653" s="65" t="s">
        <v>743</v>
      </c>
    </row>
    <row r="6654" spans="1:3" hidden="1">
      <c r="A6654" s="65">
        <v>9008893</v>
      </c>
      <c r="B6654" s="65" t="s">
        <v>7208</v>
      </c>
      <c r="C6654" s="65" t="s">
        <v>942</v>
      </c>
    </row>
    <row r="6655" spans="1:3" hidden="1">
      <c r="A6655" s="65">
        <v>9008894</v>
      </c>
      <c r="B6655" s="65" t="s">
        <v>7209</v>
      </c>
      <c r="C6655" s="65" t="s">
        <v>942</v>
      </c>
    </row>
    <row r="6656" spans="1:3" hidden="1">
      <c r="A6656" s="65">
        <v>9008895</v>
      </c>
      <c r="B6656" s="65" t="s">
        <v>7210</v>
      </c>
      <c r="C6656" s="65" t="s">
        <v>7211</v>
      </c>
    </row>
    <row r="6657" spans="1:3" hidden="1">
      <c r="A6657" s="65">
        <v>9008899</v>
      </c>
      <c r="B6657" s="65" t="s">
        <v>7212</v>
      </c>
      <c r="C6657" s="65" t="s">
        <v>1425</v>
      </c>
    </row>
    <row r="6658" spans="1:3" hidden="1">
      <c r="A6658" s="65">
        <v>9008900</v>
      </c>
      <c r="B6658" s="65" t="s">
        <v>7213</v>
      </c>
      <c r="C6658" s="65" t="s">
        <v>807</v>
      </c>
    </row>
    <row r="6659" spans="1:3" hidden="1">
      <c r="A6659" s="65">
        <v>9008901</v>
      </c>
      <c r="B6659" s="65" t="s">
        <v>7214</v>
      </c>
      <c r="C6659" s="65" t="s">
        <v>942</v>
      </c>
    </row>
    <row r="6660" spans="1:3" hidden="1">
      <c r="A6660" s="65">
        <v>9008902</v>
      </c>
      <c r="B6660" s="65" t="s">
        <v>7215</v>
      </c>
      <c r="C6660" s="65" t="s">
        <v>741</v>
      </c>
    </row>
    <row r="6661" spans="1:3" hidden="1">
      <c r="A6661" s="65">
        <v>9008903</v>
      </c>
      <c r="B6661" s="65" t="s">
        <v>7216</v>
      </c>
      <c r="C6661" s="65" t="s">
        <v>732</v>
      </c>
    </row>
    <row r="6662" spans="1:3" hidden="1">
      <c r="A6662" s="65">
        <v>9008904</v>
      </c>
      <c r="B6662" s="65" t="s">
        <v>7217</v>
      </c>
      <c r="C6662" s="65" t="s">
        <v>942</v>
      </c>
    </row>
    <row r="6663" spans="1:3" hidden="1">
      <c r="A6663" s="65">
        <v>9008905</v>
      </c>
      <c r="B6663" s="65" t="s">
        <v>7218</v>
      </c>
      <c r="C6663" s="65" t="s">
        <v>805</v>
      </c>
    </row>
    <row r="6664" spans="1:3" hidden="1">
      <c r="A6664" s="65">
        <v>9008906</v>
      </c>
      <c r="B6664" s="65" t="s">
        <v>7219</v>
      </c>
      <c r="C6664" s="65" t="s">
        <v>805</v>
      </c>
    </row>
    <row r="6665" spans="1:3" hidden="1">
      <c r="A6665" s="65">
        <v>9008907</v>
      </c>
      <c r="B6665" s="65" t="s">
        <v>7220</v>
      </c>
      <c r="C6665" s="65" t="s">
        <v>805</v>
      </c>
    </row>
    <row r="6666" spans="1:3" hidden="1">
      <c r="A6666" s="65">
        <v>9008908</v>
      </c>
      <c r="B6666" s="65" t="s">
        <v>7221</v>
      </c>
      <c r="C6666" s="65" t="s">
        <v>793</v>
      </c>
    </row>
    <row r="6667" spans="1:3" hidden="1">
      <c r="A6667" s="65">
        <v>9008909</v>
      </c>
      <c r="B6667" s="65" t="s">
        <v>7222</v>
      </c>
      <c r="C6667" s="65" t="s">
        <v>807</v>
      </c>
    </row>
    <row r="6668" spans="1:3" hidden="1">
      <c r="A6668" s="65">
        <v>9008910</v>
      </c>
      <c r="B6668" s="65" t="s">
        <v>7223</v>
      </c>
      <c r="C6668" s="65" t="s">
        <v>1181</v>
      </c>
    </row>
    <row r="6669" spans="1:3" hidden="1">
      <c r="A6669" s="65">
        <v>9008911</v>
      </c>
      <c r="B6669" s="65" t="s">
        <v>7224</v>
      </c>
      <c r="C6669" s="65" t="s">
        <v>1181</v>
      </c>
    </row>
    <row r="6670" spans="1:3" hidden="1">
      <c r="A6670" s="65">
        <v>9008919</v>
      </c>
      <c r="B6670" s="65" t="s">
        <v>7225</v>
      </c>
      <c r="C6670" s="65" t="s">
        <v>805</v>
      </c>
    </row>
    <row r="6671" spans="1:3" hidden="1">
      <c r="A6671" s="65">
        <v>9008920</v>
      </c>
      <c r="B6671" s="65" t="s">
        <v>7226</v>
      </c>
      <c r="C6671" s="65" t="s">
        <v>805</v>
      </c>
    </row>
    <row r="6672" spans="1:3" hidden="1">
      <c r="A6672" s="65">
        <v>9008921</v>
      </c>
      <c r="B6672" s="65" t="s">
        <v>7227</v>
      </c>
      <c r="C6672" s="65" t="s">
        <v>805</v>
      </c>
    </row>
    <row r="6673" spans="1:3" hidden="1">
      <c r="A6673" s="65">
        <v>9008922</v>
      </c>
      <c r="B6673" s="65" t="s">
        <v>7228</v>
      </c>
      <c r="C6673" s="65" t="s">
        <v>805</v>
      </c>
    </row>
    <row r="6674" spans="1:3" hidden="1">
      <c r="A6674" s="65">
        <v>9008923</v>
      </c>
      <c r="B6674" s="65" t="s">
        <v>7229</v>
      </c>
      <c r="C6674" s="65" t="s">
        <v>793</v>
      </c>
    </row>
    <row r="6675" spans="1:3" hidden="1">
      <c r="A6675" s="65">
        <v>9008924</v>
      </c>
      <c r="B6675" s="65" t="s">
        <v>7230</v>
      </c>
      <c r="C6675" s="65" t="s">
        <v>793</v>
      </c>
    </row>
    <row r="6676" spans="1:3" hidden="1">
      <c r="A6676" s="65">
        <v>9008929</v>
      </c>
      <c r="B6676" s="65" t="s">
        <v>7231</v>
      </c>
      <c r="C6676" s="65" t="s">
        <v>7211</v>
      </c>
    </row>
    <row r="6677" spans="1:3" hidden="1">
      <c r="A6677" s="65">
        <v>9008939</v>
      </c>
      <c r="B6677" s="65" t="s">
        <v>7232</v>
      </c>
      <c r="C6677" s="65" t="s">
        <v>807</v>
      </c>
    </row>
    <row r="6678" spans="1:3" hidden="1">
      <c r="A6678" s="65">
        <v>9008949</v>
      </c>
      <c r="B6678" s="65" t="s">
        <v>7233</v>
      </c>
      <c r="C6678" s="65" t="s">
        <v>942</v>
      </c>
    </row>
    <row r="6679" spans="1:3" hidden="1">
      <c r="A6679" s="65">
        <v>9008950</v>
      </c>
      <c r="B6679" s="65" t="s">
        <v>7234</v>
      </c>
      <c r="C6679" s="65" t="s">
        <v>942</v>
      </c>
    </row>
    <row r="6680" spans="1:3" hidden="1">
      <c r="A6680" s="65">
        <v>9008959</v>
      </c>
      <c r="B6680" s="65" t="s">
        <v>7235</v>
      </c>
      <c r="C6680" s="65" t="s">
        <v>942</v>
      </c>
    </row>
    <row r="6681" spans="1:3" hidden="1">
      <c r="A6681" s="65">
        <v>9008960</v>
      </c>
      <c r="B6681" s="65" t="s">
        <v>7236</v>
      </c>
      <c r="C6681" s="65" t="s">
        <v>942</v>
      </c>
    </row>
    <row r="6682" spans="1:3" hidden="1">
      <c r="A6682" s="65">
        <v>9008961</v>
      </c>
      <c r="B6682" s="65" t="s">
        <v>7237</v>
      </c>
      <c r="C6682" s="65" t="s">
        <v>942</v>
      </c>
    </row>
    <row r="6683" spans="1:3" hidden="1">
      <c r="A6683" s="65">
        <v>9008962</v>
      </c>
      <c r="B6683" s="65" t="s">
        <v>7238</v>
      </c>
      <c r="C6683" s="65" t="s">
        <v>942</v>
      </c>
    </row>
    <row r="6684" spans="1:3" hidden="1">
      <c r="A6684" s="65">
        <v>9008963</v>
      </c>
      <c r="B6684" s="65" t="s">
        <v>7239</v>
      </c>
      <c r="C6684" s="65" t="s">
        <v>738</v>
      </c>
    </row>
    <row r="6685" spans="1:3" hidden="1">
      <c r="A6685" s="65">
        <v>9008964</v>
      </c>
      <c r="B6685" s="65" t="s">
        <v>7240</v>
      </c>
      <c r="C6685" s="65" t="s">
        <v>1181</v>
      </c>
    </row>
    <row r="6686" spans="1:3" hidden="1">
      <c r="A6686" s="65">
        <v>9008965</v>
      </c>
      <c r="B6686" s="65" t="s">
        <v>7241</v>
      </c>
      <c r="C6686" s="65" t="s">
        <v>1181</v>
      </c>
    </row>
    <row r="6687" spans="1:3" hidden="1">
      <c r="A6687" s="65">
        <v>9008966</v>
      </c>
      <c r="B6687" s="65" t="s">
        <v>7242</v>
      </c>
      <c r="C6687" s="65" t="s">
        <v>805</v>
      </c>
    </row>
    <row r="6688" spans="1:3" hidden="1">
      <c r="A6688" s="65">
        <v>9008967</v>
      </c>
      <c r="B6688" s="65" t="s">
        <v>7243</v>
      </c>
      <c r="C6688" s="65" t="s">
        <v>805</v>
      </c>
    </row>
    <row r="6689" spans="1:3" hidden="1">
      <c r="A6689" s="65">
        <v>9008968</v>
      </c>
      <c r="B6689" s="65" t="s">
        <v>7244</v>
      </c>
      <c r="C6689" s="65" t="s">
        <v>738</v>
      </c>
    </row>
    <row r="6690" spans="1:3" hidden="1">
      <c r="A6690" s="65">
        <v>9008969</v>
      </c>
      <c r="B6690" s="65" t="s">
        <v>7245</v>
      </c>
      <c r="C6690" s="65" t="s">
        <v>738</v>
      </c>
    </row>
    <row r="6691" spans="1:3" hidden="1">
      <c r="A6691" s="65">
        <v>9008970</v>
      </c>
      <c r="B6691" s="65" t="s">
        <v>7246</v>
      </c>
      <c r="C6691" s="65" t="s">
        <v>805</v>
      </c>
    </row>
    <row r="6692" spans="1:3" hidden="1">
      <c r="A6692" s="65">
        <v>9008979</v>
      </c>
      <c r="B6692" s="65" t="s">
        <v>7247</v>
      </c>
      <c r="C6692" s="65" t="s">
        <v>942</v>
      </c>
    </row>
    <row r="6693" spans="1:3" hidden="1">
      <c r="A6693" s="65">
        <v>9008980</v>
      </c>
      <c r="B6693" s="65" t="s">
        <v>7248</v>
      </c>
      <c r="C6693" s="65" t="s">
        <v>942</v>
      </c>
    </row>
    <row r="6694" spans="1:3" hidden="1">
      <c r="A6694" s="65">
        <v>9008981</v>
      </c>
      <c r="B6694" s="65" t="s">
        <v>7249</v>
      </c>
      <c r="C6694" s="65" t="s">
        <v>942</v>
      </c>
    </row>
    <row r="6695" spans="1:3" hidden="1">
      <c r="A6695" s="65">
        <v>9008989</v>
      </c>
      <c r="B6695" s="65" t="s">
        <v>7250</v>
      </c>
      <c r="C6695" s="65" t="s">
        <v>738</v>
      </c>
    </row>
    <row r="6696" spans="1:3" hidden="1">
      <c r="A6696" s="65">
        <v>9008999</v>
      </c>
      <c r="B6696" s="65" t="s">
        <v>7251</v>
      </c>
      <c r="C6696" s="65" t="s">
        <v>677</v>
      </c>
    </row>
    <row r="6697" spans="1:3" hidden="1">
      <c r="A6697" s="65">
        <v>9009009</v>
      </c>
      <c r="B6697" s="65" t="s">
        <v>7252</v>
      </c>
      <c r="C6697" s="65" t="s">
        <v>805</v>
      </c>
    </row>
    <row r="6698" spans="1:3" hidden="1">
      <c r="A6698" s="65">
        <v>9009010</v>
      </c>
      <c r="B6698" s="65" t="s">
        <v>7253</v>
      </c>
      <c r="C6698" s="65" t="s">
        <v>738</v>
      </c>
    </row>
    <row r="6699" spans="1:3" hidden="1">
      <c r="A6699" s="65">
        <v>9009011</v>
      </c>
      <c r="B6699" s="65" t="s">
        <v>7254</v>
      </c>
      <c r="C6699" s="65" t="s">
        <v>1181</v>
      </c>
    </row>
    <row r="6700" spans="1:3" hidden="1">
      <c r="A6700" s="65">
        <v>9009019</v>
      </c>
      <c r="B6700" s="65" t="s">
        <v>7255</v>
      </c>
      <c r="C6700" s="65" t="s">
        <v>942</v>
      </c>
    </row>
    <row r="6701" spans="1:3" hidden="1">
      <c r="A6701" s="65">
        <v>9009020</v>
      </c>
      <c r="B6701" s="65" t="s">
        <v>7256</v>
      </c>
      <c r="C6701" s="65" t="s">
        <v>942</v>
      </c>
    </row>
    <row r="6702" spans="1:3" hidden="1">
      <c r="A6702" s="65">
        <v>9009021</v>
      </c>
      <c r="B6702" s="65" t="s">
        <v>7257</v>
      </c>
      <c r="C6702" s="65" t="s">
        <v>5655</v>
      </c>
    </row>
    <row r="6703" spans="1:3" hidden="1">
      <c r="A6703" s="65">
        <v>9009022</v>
      </c>
      <c r="B6703" s="65" t="s">
        <v>7258</v>
      </c>
      <c r="C6703" s="65" t="s">
        <v>1181</v>
      </c>
    </row>
    <row r="6704" spans="1:3" hidden="1">
      <c r="A6704" s="65">
        <v>9009023</v>
      </c>
      <c r="B6704" s="65" t="s">
        <v>7259</v>
      </c>
      <c r="C6704" s="65" t="s">
        <v>805</v>
      </c>
    </row>
    <row r="6705" spans="1:3" hidden="1">
      <c r="A6705" s="65">
        <v>9009029</v>
      </c>
      <c r="B6705" s="65" t="s">
        <v>7260</v>
      </c>
      <c r="C6705" s="65" t="s">
        <v>942</v>
      </c>
    </row>
    <row r="6706" spans="1:3" hidden="1">
      <c r="A6706" s="65">
        <v>9009039</v>
      </c>
      <c r="B6706" s="65" t="s">
        <v>7261</v>
      </c>
      <c r="C6706" s="65" t="s">
        <v>677</v>
      </c>
    </row>
    <row r="6707" spans="1:3" hidden="1">
      <c r="A6707" s="65">
        <v>9009040</v>
      </c>
      <c r="B6707" s="65" t="s">
        <v>7262</v>
      </c>
      <c r="C6707" s="65" t="s">
        <v>788</v>
      </c>
    </row>
    <row r="6708" spans="1:3" hidden="1">
      <c r="A6708" s="65">
        <v>9009041</v>
      </c>
      <c r="B6708" s="65" t="s">
        <v>7263</v>
      </c>
      <c r="C6708" s="65" t="s">
        <v>942</v>
      </c>
    </row>
    <row r="6709" spans="1:3" hidden="1">
      <c r="A6709" s="65">
        <v>9009042</v>
      </c>
      <c r="B6709" s="65" t="s">
        <v>7264</v>
      </c>
      <c r="C6709" s="65" t="s">
        <v>942</v>
      </c>
    </row>
    <row r="6710" spans="1:3" hidden="1">
      <c r="A6710" s="65">
        <v>9009043</v>
      </c>
      <c r="B6710" s="65" t="s">
        <v>7265</v>
      </c>
      <c r="C6710" s="65" t="s">
        <v>942</v>
      </c>
    </row>
    <row r="6711" spans="1:3" hidden="1">
      <c r="A6711" s="65">
        <v>9009044</v>
      </c>
      <c r="B6711" s="65" t="s">
        <v>7266</v>
      </c>
      <c r="C6711" s="65" t="s">
        <v>942</v>
      </c>
    </row>
    <row r="6712" spans="1:3" hidden="1">
      <c r="A6712" s="65">
        <v>9009045</v>
      </c>
      <c r="B6712" s="65" t="s">
        <v>7267</v>
      </c>
      <c r="C6712" s="65" t="s">
        <v>942</v>
      </c>
    </row>
    <row r="6713" spans="1:3" hidden="1">
      <c r="A6713" s="65">
        <v>9009046</v>
      </c>
      <c r="B6713" s="65" t="s">
        <v>7268</v>
      </c>
      <c r="C6713" s="65" t="s">
        <v>942</v>
      </c>
    </row>
    <row r="6714" spans="1:3" hidden="1">
      <c r="A6714" s="65">
        <v>9009047</v>
      </c>
      <c r="B6714" s="65" t="s">
        <v>7269</v>
      </c>
      <c r="C6714" s="65" t="s">
        <v>942</v>
      </c>
    </row>
    <row r="6715" spans="1:3" hidden="1">
      <c r="A6715" s="65">
        <v>9009048</v>
      </c>
      <c r="B6715" s="65" t="s">
        <v>6975</v>
      </c>
      <c r="C6715" s="65" t="s">
        <v>793</v>
      </c>
    </row>
    <row r="6716" spans="1:3" hidden="1">
      <c r="A6716" s="65">
        <v>9009049</v>
      </c>
      <c r="B6716" s="65" t="s">
        <v>7270</v>
      </c>
      <c r="C6716" s="65" t="s">
        <v>942</v>
      </c>
    </row>
    <row r="6717" spans="1:3" hidden="1">
      <c r="A6717" s="65">
        <v>9009050</v>
      </c>
      <c r="B6717" s="65" t="s">
        <v>7271</v>
      </c>
      <c r="C6717" s="65" t="s">
        <v>807</v>
      </c>
    </row>
    <row r="6718" spans="1:3" hidden="1">
      <c r="A6718" s="65">
        <v>9009051</v>
      </c>
      <c r="B6718" s="65" t="s">
        <v>7272</v>
      </c>
      <c r="C6718" s="65" t="s">
        <v>827</v>
      </c>
    </row>
    <row r="6719" spans="1:3" hidden="1">
      <c r="A6719" s="65">
        <v>9009059</v>
      </c>
      <c r="B6719" s="65" t="s">
        <v>7273</v>
      </c>
      <c r="C6719" s="65" t="s">
        <v>813</v>
      </c>
    </row>
    <row r="6720" spans="1:3" hidden="1">
      <c r="A6720" s="65">
        <v>9009069</v>
      </c>
      <c r="B6720" s="65" t="s">
        <v>7274</v>
      </c>
      <c r="C6720" s="65" t="s">
        <v>1181</v>
      </c>
    </row>
    <row r="6721" spans="1:3" hidden="1">
      <c r="A6721" s="65">
        <v>9009070</v>
      </c>
      <c r="B6721" s="65" t="s">
        <v>7275</v>
      </c>
      <c r="C6721" s="65" t="s">
        <v>850</v>
      </c>
    </row>
    <row r="6722" spans="1:3" hidden="1">
      <c r="A6722" s="65">
        <v>9009071</v>
      </c>
      <c r="B6722" s="65" t="s">
        <v>7276</v>
      </c>
      <c r="C6722" s="65" t="s">
        <v>745</v>
      </c>
    </row>
    <row r="6723" spans="1:3" hidden="1">
      <c r="A6723" s="65">
        <v>9009072</v>
      </c>
      <c r="B6723" s="65" t="s">
        <v>7277</v>
      </c>
      <c r="C6723" s="65" t="s">
        <v>942</v>
      </c>
    </row>
    <row r="6724" spans="1:3" hidden="1">
      <c r="A6724" s="65">
        <v>9009073</v>
      </c>
      <c r="B6724" s="65" t="s">
        <v>7278</v>
      </c>
      <c r="C6724" s="65" t="s">
        <v>807</v>
      </c>
    </row>
    <row r="6725" spans="1:3" hidden="1">
      <c r="A6725" s="65">
        <v>9009074</v>
      </c>
      <c r="B6725" s="65" t="s">
        <v>7279</v>
      </c>
      <c r="C6725" s="65" t="s">
        <v>942</v>
      </c>
    </row>
    <row r="6726" spans="1:3" hidden="1">
      <c r="A6726" s="65">
        <v>9009075</v>
      </c>
      <c r="B6726" s="65" t="s">
        <v>7280</v>
      </c>
      <c r="C6726" s="65" t="s">
        <v>807</v>
      </c>
    </row>
    <row r="6727" spans="1:3" hidden="1">
      <c r="A6727" s="65">
        <v>9009076</v>
      </c>
      <c r="B6727" s="65" t="s">
        <v>7281</v>
      </c>
      <c r="C6727" s="65" t="s">
        <v>695</v>
      </c>
    </row>
    <row r="6728" spans="1:3" hidden="1">
      <c r="A6728" s="65">
        <v>9009077</v>
      </c>
      <c r="B6728" s="65" t="s">
        <v>7282</v>
      </c>
      <c r="C6728" s="65" t="s">
        <v>745</v>
      </c>
    </row>
    <row r="6729" spans="1:3" hidden="1">
      <c r="A6729" s="65">
        <v>9009078</v>
      </c>
      <c r="B6729" s="65" t="s">
        <v>7283</v>
      </c>
      <c r="C6729" s="65" t="s">
        <v>745</v>
      </c>
    </row>
    <row r="6730" spans="1:3" hidden="1">
      <c r="A6730" s="65">
        <v>9009079</v>
      </c>
      <c r="B6730" s="65" t="s">
        <v>7284</v>
      </c>
      <c r="C6730" s="65" t="s">
        <v>745</v>
      </c>
    </row>
    <row r="6731" spans="1:3" hidden="1">
      <c r="A6731" s="65">
        <v>9009080</v>
      </c>
      <c r="B6731" s="65" t="s">
        <v>7285</v>
      </c>
      <c r="C6731" s="65" t="s">
        <v>745</v>
      </c>
    </row>
    <row r="6732" spans="1:3" hidden="1">
      <c r="A6732" s="65">
        <v>9009081</v>
      </c>
      <c r="B6732" s="65" t="s">
        <v>7286</v>
      </c>
      <c r="C6732" s="65" t="s">
        <v>745</v>
      </c>
    </row>
    <row r="6733" spans="1:3" hidden="1">
      <c r="A6733" s="65">
        <v>9009082</v>
      </c>
      <c r="B6733" s="65" t="s">
        <v>7287</v>
      </c>
      <c r="C6733" s="65" t="s">
        <v>745</v>
      </c>
    </row>
    <row r="6734" spans="1:3" hidden="1">
      <c r="A6734" s="65">
        <v>9009083</v>
      </c>
      <c r="B6734" s="65" t="s">
        <v>7288</v>
      </c>
      <c r="C6734" s="65" t="s">
        <v>745</v>
      </c>
    </row>
    <row r="6735" spans="1:3" hidden="1">
      <c r="A6735" s="65">
        <v>9009084</v>
      </c>
      <c r="B6735" s="65" t="s">
        <v>7289</v>
      </c>
      <c r="C6735" s="65" t="s">
        <v>745</v>
      </c>
    </row>
    <row r="6736" spans="1:3" hidden="1">
      <c r="A6736" s="65">
        <v>9009085</v>
      </c>
      <c r="B6736" s="65" t="s">
        <v>7290</v>
      </c>
      <c r="C6736" s="65" t="s">
        <v>743</v>
      </c>
    </row>
    <row r="6737" spans="1:3" hidden="1">
      <c r="A6737" s="65">
        <v>9009086</v>
      </c>
      <c r="B6737" s="65" t="s">
        <v>7291</v>
      </c>
      <c r="C6737" s="65" t="s">
        <v>745</v>
      </c>
    </row>
    <row r="6738" spans="1:3" hidden="1">
      <c r="A6738" s="65">
        <v>9009087</v>
      </c>
      <c r="B6738" s="65" t="s">
        <v>7292</v>
      </c>
      <c r="C6738" s="65" t="s">
        <v>807</v>
      </c>
    </row>
    <row r="6739" spans="1:3" hidden="1">
      <c r="A6739" s="65">
        <v>9009088</v>
      </c>
      <c r="B6739" s="65" t="s">
        <v>7293</v>
      </c>
      <c r="C6739" s="65" t="s">
        <v>2624</v>
      </c>
    </row>
    <row r="6740" spans="1:3" hidden="1">
      <c r="A6740" s="65">
        <v>9009089</v>
      </c>
      <c r="B6740" s="65" t="s">
        <v>7294</v>
      </c>
      <c r="C6740" s="65" t="s">
        <v>809</v>
      </c>
    </row>
    <row r="6741" spans="1:3" hidden="1">
      <c r="A6741" s="65">
        <v>9009090</v>
      </c>
      <c r="B6741" s="65" t="s">
        <v>7295</v>
      </c>
      <c r="C6741" s="65" t="s">
        <v>809</v>
      </c>
    </row>
    <row r="6742" spans="1:3" hidden="1">
      <c r="A6742" s="65">
        <v>9009091</v>
      </c>
      <c r="B6742" s="65" t="s">
        <v>7296</v>
      </c>
      <c r="C6742" s="65" t="s">
        <v>664</v>
      </c>
    </row>
    <row r="6743" spans="1:3" hidden="1">
      <c r="A6743" s="65">
        <v>9009092</v>
      </c>
      <c r="B6743" s="65" t="s">
        <v>7297</v>
      </c>
      <c r="C6743" s="65" t="s">
        <v>942</v>
      </c>
    </row>
    <row r="6744" spans="1:3" hidden="1">
      <c r="A6744" s="65">
        <v>9009093</v>
      </c>
      <c r="B6744" s="65" t="s">
        <v>7298</v>
      </c>
      <c r="C6744" s="65" t="s">
        <v>942</v>
      </c>
    </row>
    <row r="6745" spans="1:3" hidden="1">
      <c r="A6745" s="65">
        <v>9009094</v>
      </c>
      <c r="B6745" s="65" t="s">
        <v>7299</v>
      </c>
      <c r="C6745" s="65" t="s">
        <v>942</v>
      </c>
    </row>
    <row r="6746" spans="1:3" hidden="1">
      <c r="A6746" s="65">
        <v>9009095</v>
      </c>
      <c r="B6746" s="65" t="s">
        <v>7300</v>
      </c>
      <c r="C6746" s="65" t="s">
        <v>1425</v>
      </c>
    </row>
    <row r="6747" spans="1:3" hidden="1">
      <c r="A6747" s="65">
        <v>9009099</v>
      </c>
      <c r="B6747" s="65" t="s">
        <v>7301</v>
      </c>
      <c r="C6747" s="65" t="s">
        <v>942</v>
      </c>
    </row>
    <row r="6748" spans="1:3" hidden="1">
      <c r="A6748" s="65">
        <v>9009100</v>
      </c>
      <c r="B6748" s="65" t="s">
        <v>7302</v>
      </c>
      <c r="C6748" s="65" t="s">
        <v>850</v>
      </c>
    </row>
    <row r="6749" spans="1:3" hidden="1">
      <c r="A6749" s="65">
        <v>9009101</v>
      </c>
      <c r="B6749" s="65" t="s">
        <v>7303</v>
      </c>
      <c r="C6749" s="65" t="s">
        <v>942</v>
      </c>
    </row>
    <row r="6750" spans="1:3" hidden="1">
      <c r="A6750" s="65">
        <v>9009102</v>
      </c>
      <c r="B6750" s="65" t="s">
        <v>7304</v>
      </c>
      <c r="C6750" s="65" t="s">
        <v>3170</v>
      </c>
    </row>
    <row r="6751" spans="1:3" hidden="1">
      <c r="A6751" s="65">
        <v>9009103</v>
      </c>
      <c r="B6751" s="65" t="s">
        <v>7305</v>
      </c>
      <c r="C6751" s="65" t="s">
        <v>807</v>
      </c>
    </row>
    <row r="6752" spans="1:3" hidden="1">
      <c r="A6752" s="65">
        <v>9009104</v>
      </c>
      <c r="B6752" s="65" t="s">
        <v>7306</v>
      </c>
      <c r="C6752" s="65" t="s">
        <v>850</v>
      </c>
    </row>
    <row r="6753" spans="1:3" hidden="1">
      <c r="A6753" s="65">
        <v>9009105</v>
      </c>
      <c r="B6753" s="65" t="s">
        <v>7307</v>
      </c>
      <c r="C6753" s="65" t="s">
        <v>7308</v>
      </c>
    </row>
    <row r="6754" spans="1:3" hidden="1">
      <c r="A6754" s="65">
        <v>9009106</v>
      </c>
      <c r="B6754" s="65" t="s">
        <v>7309</v>
      </c>
      <c r="C6754" s="65" t="s">
        <v>765</v>
      </c>
    </row>
    <row r="6755" spans="1:3" hidden="1">
      <c r="A6755" s="65">
        <v>9009107</v>
      </c>
      <c r="B6755" s="65" t="s">
        <v>7310</v>
      </c>
      <c r="C6755" s="65" t="s">
        <v>2624</v>
      </c>
    </row>
    <row r="6756" spans="1:3" hidden="1">
      <c r="A6756" s="65">
        <v>9009108</v>
      </c>
      <c r="B6756" s="65" t="s">
        <v>7311</v>
      </c>
      <c r="C6756" s="65" t="s">
        <v>942</v>
      </c>
    </row>
    <row r="6757" spans="1:3" hidden="1">
      <c r="A6757" s="65">
        <v>9009109</v>
      </c>
      <c r="B6757" s="65" t="s">
        <v>7312</v>
      </c>
      <c r="C6757" s="65" t="s">
        <v>745</v>
      </c>
    </row>
    <row r="6758" spans="1:3" hidden="1">
      <c r="A6758" s="65">
        <v>9009110</v>
      </c>
      <c r="B6758" s="65" t="s">
        <v>7313</v>
      </c>
      <c r="C6758" s="65" t="s">
        <v>942</v>
      </c>
    </row>
    <row r="6759" spans="1:3" hidden="1">
      <c r="A6759" s="65">
        <v>9009111</v>
      </c>
      <c r="B6759" s="65" t="s">
        <v>7314</v>
      </c>
      <c r="C6759" s="65" t="s">
        <v>3170</v>
      </c>
    </row>
    <row r="6760" spans="1:3" hidden="1">
      <c r="A6760" s="65">
        <v>9009112</v>
      </c>
      <c r="B6760" s="65" t="s">
        <v>7315</v>
      </c>
      <c r="C6760" s="65" t="s">
        <v>1181</v>
      </c>
    </row>
    <row r="6761" spans="1:3" hidden="1">
      <c r="A6761" s="65">
        <v>9009119</v>
      </c>
      <c r="B6761" s="65" t="s">
        <v>7316</v>
      </c>
      <c r="C6761" s="65" t="s">
        <v>942</v>
      </c>
    </row>
    <row r="6762" spans="1:3" hidden="1">
      <c r="A6762" s="65">
        <v>9009120</v>
      </c>
      <c r="B6762" s="65" t="s">
        <v>7317</v>
      </c>
      <c r="C6762" s="65" t="s">
        <v>751</v>
      </c>
    </row>
    <row r="6763" spans="1:3" hidden="1">
      <c r="A6763" s="65">
        <v>9009121</v>
      </c>
      <c r="B6763" s="65" t="s">
        <v>7317</v>
      </c>
      <c r="C6763" s="65" t="s">
        <v>751</v>
      </c>
    </row>
    <row r="6764" spans="1:3" hidden="1">
      <c r="A6764" s="65">
        <v>9009122</v>
      </c>
      <c r="B6764" s="65" t="s">
        <v>7318</v>
      </c>
      <c r="C6764" s="65" t="s">
        <v>805</v>
      </c>
    </row>
    <row r="6765" spans="1:3" hidden="1">
      <c r="A6765" s="65">
        <v>9009123</v>
      </c>
      <c r="B6765" s="65" t="s">
        <v>7319</v>
      </c>
      <c r="C6765" s="65" t="s">
        <v>805</v>
      </c>
    </row>
    <row r="6766" spans="1:3" hidden="1">
      <c r="A6766" s="65">
        <v>9009124</v>
      </c>
      <c r="B6766" s="65" t="s">
        <v>7320</v>
      </c>
      <c r="C6766" s="65" t="s">
        <v>805</v>
      </c>
    </row>
    <row r="6767" spans="1:3" hidden="1">
      <c r="A6767" s="65">
        <v>9009125</v>
      </c>
      <c r="B6767" s="65" t="s">
        <v>7321</v>
      </c>
      <c r="C6767" s="65" t="s">
        <v>805</v>
      </c>
    </row>
    <row r="6768" spans="1:3" hidden="1">
      <c r="A6768" s="65">
        <v>9009126</v>
      </c>
      <c r="B6768" s="65" t="s">
        <v>7322</v>
      </c>
      <c r="C6768" s="65" t="s">
        <v>805</v>
      </c>
    </row>
    <row r="6769" spans="1:3" hidden="1">
      <c r="A6769" s="65">
        <v>9009127</v>
      </c>
      <c r="B6769" s="65" t="s">
        <v>7323</v>
      </c>
      <c r="C6769" s="65" t="s">
        <v>805</v>
      </c>
    </row>
    <row r="6770" spans="1:3" hidden="1">
      <c r="A6770" s="65">
        <v>9009128</v>
      </c>
      <c r="B6770" s="65" t="s">
        <v>7324</v>
      </c>
      <c r="C6770" s="65" t="s">
        <v>805</v>
      </c>
    </row>
    <row r="6771" spans="1:3" hidden="1">
      <c r="A6771" s="65">
        <v>9009129</v>
      </c>
      <c r="B6771" s="65" t="s">
        <v>7325</v>
      </c>
      <c r="C6771" s="65" t="s">
        <v>1017</v>
      </c>
    </row>
    <row r="6772" spans="1:3" hidden="1">
      <c r="A6772" s="65">
        <v>9009130</v>
      </c>
      <c r="B6772" s="65" t="s">
        <v>7326</v>
      </c>
      <c r="C6772" s="65" t="s">
        <v>942</v>
      </c>
    </row>
    <row r="6773" spans="1:3" hidden="1">
      <c r="A6773" s="65">
        <v>9009131</v>
      </c>
      <c r="B6773" s="65" t="s">
        <v>7327</v>
      </c>
      <c r="C6773" s="65" t="s">
        <v>942</v>
      </c>
    </row>
    <row r="6774" spans="1:3" hidden="1">
      <c r="A6774" s="65">
        <v>9009132</v>
      </c>
      <c r="B6774" s="65" t="s">
        <v>7328</v>
      </c>
      <c r="C6774" s="65" t="s">
        <v>942</v>
      </c>
    </row>
    <row r="6775" spans="1:3" hidden="1">
      <c r="A6775" s="65">
        <v>9009133</v>
      </c>
      <c r="B6775" s="65" t="s">
        <v>7329</v>
      </c>
      <c r="C6775" s="65" t="s">
        <v>942</v>
      </c>
    </row>
    <row r="6776" spans="1:3" hidden="1">
      <c r="A6776" s="65">
        <v>9009134</v>
      </c>
      <c r="B6776" s="65" t="s">
        <v>7330</v>
      </c>
      <c r="C6776" s="65" t="s">
        <v>942</v>
      </c>
    </row>
    <row r="6777" spans="1:3" hidden="1">
      <c r="A6777" s="65">
        <v>9009135</v>
      </c>
      <c r="B6777" s="65" t="s">
        <v>7331</v>
      </c>
      <c r="C6777" s="65" t="s">
        <v>942</v>
      </c>
    </row>
    <row r="6778" spans="1:3" hidden="1">
      <c r="A6778" s="65">
        <v>9009136</v>
      </c>
      <c r="B6778" s="65" t="s">
        <v>7332</v>
      </c>
      <c r="C6778" s="65" t="s">
        <v>942</v>
      </c>
    </row>
    <row r="6779" spans="1:3" hidden="1">
      <c r="A6779" s="65">
        <v>9009137</v>
      </c>
      <c r="B6779" s="65" t="s">
        <v>7333</v>
      </c>
      <c r="C6779" s="65" t="s">
        <v>942</v>
      </c>
    </row>
    <row r="6780" spans="1:3" hidden="1">
      <c r="A6780" s="65">
        <v>9009138</v>
      </c>
      <c r="B6780" s="65" t="s">
        <v>7334</v>
      </c>
      <c r="C6780" s="65" t="s">
        <v>942</v>
      </c>
    </row>
    <row r="6781" spans="1:3">
      <c r="A6781" s="65">
        <v>9009139</v>
      </c>
      <c r="B6781" s="65" t="s">
        <v>7335</v>
      </c>
      <c r="C6781" s="65" t="s">
        <v>942</v>
      </c>
    </row>
    <row r="6782" spans="1:3">
      <c r="A6782" s="65">
        <v>9009140</v>
      </c>
      <c r="B6782" s="65" t="s">
        <v>7336</v>
      </c>
      <c r="C6782" s="65" t="s">
        <v>942</v>
      </c>
    </row>
    <row r="6783" spans="1:3" hidden="1">
      <c r="A6783" s="65">
        <v>9009141</v>
      </c>
      <c r="B6783" s="65" t="s">
        <v>7337</v>
      </c>
      <c r="C6783" s="65" t="s">
        <v>942</v>
      </c>
    </row>
    <row r="6784" spans="1:3" hidden="1">
      <c r="A6784" s="65">
        <v>9009142</v>
      </c>
      <c r="B6784" s="65" t="s">
        <v>7338</v>
      </c>
      <c r="C6784" s="65" t="s">
        <v>942</v>
      </c>
    </row>
    <row r="6785" spans="1:3" hidden="1">
      <c r="A6785" s="65">
        <v>9009143</v>
      </c>
      <c r="B6785" s="65" t="s">
        <v>7339</v>
      </c>
      <c r="C6785" s="65" t="s">
        <v>942</v>
      </c>
    </row>
    <row r="6786" spans="1:3" hidden="1">
      <c r="A6786" s="65">
        <v>9009144</v>
      </c>
      <c r="B6786" s="65" t="s">
        <v>7340</v>
      </c>
      <c r="C6786" s="65" t="s">
        <v>793</v>
      </c>
    </row>
    <row r="6787" spans="1:3" hidden="1">
      <c r="A6787" s="65">
        <v>9009145</v>
      </c>
      <c r="B6787" s="65" t="s">
        <v>7341</v>
      </c>
      <c r="C6787" s="65" t="s">
        <v>793</v>
      </c>
    </row>
    <row r="6788" spans="1:3" hidden="1">
      <c r="A6788" s="65">
        <v>9009146</v>
      </c>
      <c r="B6788" s="65" t="s">
        <v>7342</v>
      </c>
      <c r="C6788" s="65" t="s">
        <v>793</v>
      </c>
    </row>
    <row r="6789" spans="1:3" hidden="1">
      <c r="A6789" s="65">
        <v>9009147</v>
      </c>
      <c r="B6789" s="65" t="s">
        <v>7343</v>
      </c>
      <c r="C6789" s="65" t="s">
        <v>793</v>
      </c>
    </row>
    <row r="6790" spans="1:3" hidden="1">
      <c r="A6790" s="65">
        <v>9009148</v>
      </c>
      <c r="B6790" s="65" t="s">
        <v>7344</v>
      </c>
      <c r="C6790" s="65" t="s">
        <v>805</v>
      </c>
    </row>
    <row r="6791" spans="1:3" hidden="1">
      <c r="A6791" s="65">
        <v>9009149</v>
      </c>
      <c r="B6791" s="65" t="s">
        <v>7345</v>
      </c>
      <c r="C6791" s="65" t="s">
        <v>942</v>
      </c>
    </row>
    <row r="6792" spans="1:3" hidden="1">
      <c r="A6792" s="65">
        <v>9009150</v>
      </c>
      <c r="B6792" s="65" t="s">
        <v>7346</v>
      </c>
      <c r="C6792" s="65" t="s">
        <v>745</v>
      </c>
    </row>
    <row r="6793" spans="1:3" hidden="1">
      <c r="A6793" s="65">
        <v>9009151</v>
      </c>
      <c r="B6793" s="65" t="s">
        <v>7347</v>
      </c>
      <c r="C6793" s="65" t="s">
        <v>732</v>
      </c>
    </row>
    <row r="6794" spans="1:3" hidden="1">
      <c r="A6794" s="65">
        <v>9009152</v>
      </c>
      <c r="B6794" s="65" t="s">
        <v>7348</v>
      </c>
      <c r="C6794" s="65" t="s">
        <v>942</v>
      </c>
    </row>
    <row r="6795" spans="1:3" hidden="1">
      <c r="A6795" s="65">
        <v>9009153</v>
      </c>
      <c r="B6795" s="65" t="s">
        <v>7349</v>
      </c>
      <c r="C6795" s="65" t="s">
        <v>738</v>
      </c>
    </row>
    <row r="6796" spans="1:3" hidden="1">
      <c r="A6796" s="65">
        <v>9009154</v>
      </c>
      <c r="B6796" s="65" t="s">
        <v>7350</v>
      </c>
      <c r="C6796" s="65" t="s">
        <v>793</v>
      </c>
    </row>
    <row r="6797" spans="1:3" hidden="1">
      <c r="A6797" s="65">
        <v>9009155</v>
      </c>
      <c r="B6797" s="65" t="s">
        <v>7351</v>
      </c>
      <c r="C6797" s="65" t="s">
        <v>793</v>
      </c>
    </row>
    <row r="6798" spans="1:3" hidden="1">
      <c r="A6798" s="65">
        <v>9009156</v>
      </c>
      <c r="B6798" s="65" t="s">
        <v>7352</v>
      </c>
      <c r="C6798" s="65" t="s">
        <v>793</v>
      </c>
    </row>
    <row r="6799" spans="1:3" hidden="1">
      <c r="A6799" s="65">
        <v>9009157</v>
      </c>
      <c r="B6799" s="65" t="s">
        <v>7353</v>
      </c>
      <c r="C6799" s="65" t="s">
        <v>793</v>
      </c>
    </row>
    <row r="6800" spans="1:3" hidden="1">
      <c r="A6800" s="65">
        <v>9009158</v>
      </c>
      <c r="B6800" s="65" t="s">
        <v>7354</v>
      </c>
      <c r="C6800" s="65" t="s">
        <v>793</v>
      </c>
    </row>
    <row r="6801" spans="1:3" hidden="1">
      <c r="A6801" s="65">
        <v>9009159</v>
      </c>
      <c r="B6801" s="65" t="s">
        <v>7355</v>
      </c>
      <c r="C6801" s="65" t="s">
        <v>942</v>
      </c>
    </row>
    <row r="6802" spans="1:3" hidden="1">
      <c r="A6802" s="65">
        <v>9009169</v>
      </c>
      <c r="B6802" s="65" t="s">
        <v>7356</v>
      </c>
      <c r="C6802" s="65" t="s">
        <v>942</v>
      </c>
    </row>
    <row r="6803" spans="1:3" hidden="1">
      <c r="A6803" s="65">
        <v>9009170</v>
      </c>
      <c r="B6803" s="65" t="s">
        <v>7357</v>
      </c>
      <c r="C6803" s="65" t="s">
        <v>942</v>
      </c>
    </row>
    <row r="6804" spans="1:3" hidden="1">
      <c r="A6804" s="65">
        <v>9009171</v>
      </c>
      <c r="B6804" s="65" t="s">
        <v>7358</v>
      </c>
      <c r="C6804" s="65" t="s">
        <v>745</v>
      </c>
    </row>
    <row r="6805" spans="1:3" hidden="1">
      <c r="A6805" s="65">
        <v>9009179</v>
      </c>
      <c r="B6805" s="65" t="s">
        <v>7359</v>
      </c>
      <c r="C6805" s="65" t="s">
        <v>805</v>
      </c>
    </row>
    <row r="6806" spans="1:3" hidden="1">
      <c r="A6806" s="65">
        <v>9009180</v>
      </c>
      <c r="B6806" s="65" t="s">
        <v>7360</v>
      </c>
      <c r="C6806" s="65" t="s">
        <v>805</v>
      </c>
    </row>
    <row r="6807" spans="1:3" hidden="1">
      <c r="A6807" s="65">
        <v>9009181</v>
      </c>
      <c r="B6807" s="65" t="s">
        <v>7361</v>
      </c>
      <c r="C6807" s="65" t="s">
        <v>805</v>
      </c>
    </row>
    <row r="6808" spans="1:3" hidden="1">
      <c r="A6808" s="65">
        <v>9009182</v>
      </c>
      <c r="B6808" s="65" t="s">
        <v>7362</v>
      </c>
      <c r="C6808" s="65" t="s">
        <v>793</v>
      </c>
    </row>
    <row r="6809" spans="1:3" hidden="1">
      <c r="A6809" s="65">
        <v>9009183</v>
      </c>
      <c r="B6809" s="65" t="s">
        <v>7363</v>
      </c>
      <c r="C6809" s="65" t="s">
        <v>793</v>
      </c>
    </row>
    <row r="6810" spans="1:3" hidden="1">
      <c r="A6810" s="65">
        <v>9009184</v>
      </c>
      <c r="B6810" s="65" t="s">
        <v>7364</v>
      </c>
      <c r="C6810" s="65" t="s">
        <v>793</v>
      </c>
    </row>
    <row r="6811" spans="1:3" hidden="1">
      <c r="A6811" s="65">
        <v>9009185</v>
      </c>
      <c r="B6811" s="65" t="s">
        <v>7309</v>
      </c>
      <c r="C6811" s="65" t="s">
        <v>765</v>
      </c>
    </row>
    <row r="6812" spans="1:3" hidden="1">
      <c r="A6812" s="65">
        <v>9009186</v>
      </c>
      <c r="B6812" s="65" t="s">
        <v>7365</v>
      </c>
      <c r="C6812" s="65" t="s">
        <v>942</v>
      </c>
    </row>
    <row r="6813" spans="1:3" hidden="1">
      <c r="A6813" s="65">
        <v>9009187</v>
      </c>
      <c r="B6813" s="65" t="s">
        <v>7366</v>
      </c>
      <c r="C6813" s="65" t="s">
        <v>1181</v>
      </c>
    </row>
    <row r="6814" spans="1:3" hidden="1">
      <c r="A6814" s="65">
        <v>9009188</v>
      </c>
      <c r="B6814" s="65" t="s">
        <v>7367</v>
      </c>
      <c r="C6814" s="65" t="s">
        <v>1181</v>
      </c>
    </row>
    <row r="6815" spans="1:3" hidden="1">
      <c r="A6815" s="65">
        <v>9009189</v>
      </c>
      <c r="B6815" s="65" t="s">
        <v>7368</v>
      </c>
      <c r="C6815" s="65" t="s">
        <v>1181</v>
      </c>
    </row>
    <row r="6816" spans="1:3" hidden="1">
      <c r="A6816" s="65">
        <v>9009190</v>
      </c>
      <c r="B6816" s="65" t="s">
        <v>7369</v>
      </c>
      <c r="C6816" s="65" t="s">
        <v>1181</v>
      </c>
    </row>
    <row r="6817" spans="1:3" hidden="1">
      <c r="A6817" s="65">
        <v>9009191</v>
      </c>
      <c r="B6817" s="65" t="s">
        <v>7370</v>
      </c>
      <c r="C6817" s="65" t="s">
        <v>1181</v>
      </c>
    </row>
    <row r="6818" spans="1:3" hidden="1">
      <c r="A6818" s="65">
        <v>9009192</v>
      </c>
      <c r="B6818" s="65" t="s">
        <v>7371</v>
      </c>
      <c r="C6818" s="65" t="s">
        <v>1181</v>
      </c>
    </row>
    <row r="6819" spans="1:3" hidden="1">
      <c r="A6819" s="65">
        <v>9009193</v>
      </c>
      <c r="B6819" s="65" t="s">
        <v>7372</v>
      </c>
      <c r="C6819" s="65" t="s">
        <v>1181</v>
      </c>
    </row>
    <row r="6820" spans="1:3" hidden="1">
      <c r="A6820" s="65">
        <v>9009194</v>
      </c>
      <c r="B6820" s="65" t="s">
        <v>7373</v>
      </c>
      <c r="C6820" s="65" t="s">
        <v>1181</v>
      </c>
    </row>
    <row r="6821" spans="1:3" hidden="1">
      <c r="A6821" s="65">
        <v>9009195</v>
      </c>
      <c r="B6821" s="65" t="s">
        <v>7374</v>
      </c>
      <c r="C6821" s="65" t="s">
        <v>1181</v>
      </c>
    </row>
    <row r="6822" spans="1:3" hidden="1">
      <c r="A6822" s="65">
        <v>9009196</v>
      </c>
      <c r="B6822" s="65" t="s">
        <v>7375</v>
      </c>
      <c r="C6822" s="65" t="s">
        <v>1181</v>
      </c>
    </row>
    <row r="6823" spans="1:3" hidden="1">
      <c r="A6823" s="65">
        <v>9009197</v>
      </c>
      <c r="B6823" s="65" t="s">
        <v>7376</v>
      </c>
      <c r="C6823" s="65" t="s">
        <v>1181</v>
      </c>
    </row>
    <row r="6824" spans="1:3" hidden="1">
      <c r="A6824" s="65">
        <v>9009198</v>
      </c>
      <c r="B6824" s="65" t="s">
        <v>7377</v>
      </c>
      <c r="C6824" s="65" t="s">
        <v>1181</v>
      </c>
    </row>
    <row r="6825" spans="1:3" hidden="1">
      <c r="A6825" s="65">
        <v>9009199</v>
      </c>
      <c r="B6825" s="65" t="s">
        <v>7378</v>
      </c>
      <c r="C6825" s="65" t="s">
        <v>1181</v>
      </c>
    </row>
    <row r="6826" spans="1:3" hidden="1">
      <c r="A6826" s="65">
        <v>9009200</v>
      </c>
      <c r="B6826" s="65" t="s">
        <v>7379</v>
      </c>
      <c r="C6826" s="65" t="s">
        <v>1181</v>
      </c>
    </row>
    <row r="6827" spans="1:3" hidden="1">
      <c r="A6827" s="65">
        <v>9009201</v>
      </c>
      <c r="B6827" s="65" t="s">
        <v>7380</v>
      </c>
      <c r="C6827" s="65" t="s">
        <v>1181</v>
      </c>
    </row>
    <row r="6828" spans="1:3" hidden="1">
      <c r="A6828" s="65">
        <v>9009209</v>
      </c>
      <c r="B6828" s="65" t="s">
        <v>7381</v>
      </c>
      <c r="C6828" s="65" t="s">
        <v>805</v>
      </c>
    </row>
    <row r="6829" spans="1:3" hidden="1">
      <c r="A6829" s="65">
        <v>9009210</v>
      </c>
      <c r="B6829" s="65" t="s">
        <v>7382</v>
      </c>
      <c r="C6829" s="65" t="s">
        <v>805</v>
      </c>
    </row>
    <row r="6830" spans="1:3" hidden="1">
      <c r="A6830" s="65">
        <v>9009211</v>
      </c>
      <c r="B6830" s="65" t="s">
        <v>7383</v>
      </c>
      <c r="C6830" s="65" t="s">
        <v>805</v>
      </c>
    </row>
    <row r="6831" spans="1:3" hidden="1">
      <c r="A6831" s="65">
        <v>9009212</v>
      </c>
      <c r="B6831" s="65" t="s">
        <v>7384</v>
      </c>
      <c r="C6831" s="65" t="s">
        <v>793</v>
      </c>
    </row>
    <row r="6832" spans="1:3" hidden="1">
      <c r="A6832" s="65">
        <v>9009213</v>
      </c>
      <c r="B6832" s="65" t="s">
        <v>7385</v>
      </c>
      <c r="C6832" s="65" t="s">
        <v>793</v>
      </c>
    </row>
    <row r="6833" spans="1:3" hidden="1">
      <c r="A6833" s="65">
        <v>9009214</v>
      </c>
      <c r="B6833" s="65" t="s">
        <v>7386</v>
      </c>
      <c r="C6833" s="65" t="s">
        <v>793</v>
      </c>
    </row>
    <row r="6834" spans="1:3" hidden="1">
      <c r="A6834" s="65">
        <v>9009215</v>
      </c>
      <c r="B6834" s="65" t="s">
        <v>7387</v>
      </c>
      <c r="C6834" s="65" t="s">
        <v>793</v>
      </c>
    </row>
    <row r="6835" spans="1:3" hidden="1">
      <c r="A6835" s="65">
        <v>9009216</v>
      </c>
      <c r="B6835" s="65" t="s">
        <v>7388</v>
      </c>
      <c r="C6835" s="65" t="s">
        <v>793</v>
      </c>
    </row>
    <row r="6836" spans="1:3" hidden="1">
      <c r="A6836" s="65">
        <v>9009217</v>
      </c>
      <c r="B6836" s="65" t="s">
        <v>7389</v>
      </c>
      <c r="C6836" s="65" t="s">
        <v>793</v>
      </c>
    </row>
    <row r="6837" spans="1:3" hidden="1">
      <c r="A6837" s="65">
        <v>9009218</v>
      </c>
      <c r="B6837" s="65" t="s">
        <v>7390</v>
      </c>
      <c r="C6837" s="65" t="s">
        <v>805</v>
      </c>
    </row>
    <row r="6838" spans="1:3" hidden="1">
      <c r="A6838" s="65">
        <v>9009219</v>
      </c>
      <c r="B6838" s="65" t="s">
        <v>7391</v>
      </c>
      <c r="C6838" s="65" t="s">
        <v>805</v>
      </c>
    </row>
    <row r="6839" spans="1:3" hidden="1">
      <c r="A6839" s="65">
        <v>9009220</v>
      </c>
      <c r="B6839" s="65" t="s">
        <v>7392</v>
      </c>
      <c r="C6839" s="65" t="s">
        <v>805</v>
      </c>
    </row>
    <row r="6840" spans="1:3" hidden="1">
      <c r="A6840" s="65">
        <v>9009221</v>
      </c>
      <c r="B6840" s="65" t="s">
        <v>7393</v>
      </c>
      <c r="C6840" s="65" t="s">
        <v>805</v>
      </c>
    </row>
    <row r="6841" spans="1:3" hidden="1">
      <c r="A6841" s="65">
        <v>9009222</v>
      </c>
      <c r="B6841" s="65" t="s">
        <v>7394</v>
      </c>
      <c r="C6841" s="65" t="s">
        <v>793</v>
      </c>
    </row>
    <row r="6842" spans="1:3" hidden="1">
      <c r="A6842" s="65">
        <v>9009223</v>
      </c>
      <c r="B6842" s="65" t="s">
        <v>7395</v>
      </c>
      <c r="C6842" s="65" t="s">
        <v>793</v>
      </c>
    </row>
    <row r="6843" spans="1:3" hidden="1">
      <c r="A6843" s="65">
        <v>9009229</v>
      </c>
      <c r="B6843" s="65" t="s">
        <v>7396</v>
      </c>
      <c r="C6843" s="65" t="s">
        <v>738</v>
      </c>
    </row>
    <row r="6844" spans="1:3" hidden="1">
      <c r="A6844" s="65">
        <v>9009230</v>
      </c>
      <c r="B6844" s="65" t="s">
        <v>7397</v>
      </c>
      <c r="C6844" s="65" t="s">
        <v>738</v>
      </c>
    </row>
    <row r="6845" spans="1:3" hidden="1">
      <c r="A6845" s="65">
        <v>9009231</v>
      </c>
      <c r="B6845" s="65" t="s">
        <v>7398</v>
      </c>
      <c r="C6845" s="65" t="s">
        <v>738</v>
      </c>
    </row>
    <row r="6846" spans="1:3" hidden="1">
      <c r="A6846" s="65">
        <v>9009232</v>
      </c>
      <c r="B6846" s="65" t="s">
        <v>7399</v>
      </c>
      <c r="C6846" s="65" t="s">
        <v>670</v>
      </c>
    </row>
    <row r="6847" spans="1:3" hidden="1">
      <c r="A6847" s="65">
        <v>9009233</v>
      </c>
      <c r="B6847" s="65" t="s">
        <v>7400</v>
      </c>
      <c r="C6847" s="65" t="s">
        <v>805</v>
      </c>
    </row>
    <row r="6848" spans="1:3" hidden="1">
      <c r="A6848" s="65">
        <v>9009234</v>
      </c>
      <c r="B6848" s="65" t="s">
        <v>7401</v>
      </c>
      <c r="C6848" s="65" t="s">
        <v>942</v>
      </c>
    </row>
    <row r="6849" spans="1:3" hidden="1">
      <c r="A6849" s="65">
        <v>9009235</v>
      </c>
      <c r="B6849" s="65" t="s">
        <v>7402</v>
      </c>
      <c r="C6849" s="65" t="s">
        <v>942</v>
      </c>
    </row>
    <row r="6850" spans="1:3" hidden="1">
      <c r="A6850" s="65">
        <v>9009236</v>
      </c>
      <c r="B6850" s="65" t="s">
        <v>7403</v>
      </c>
      <c r="C6850" s="65" t="s">
        <v>942</v>
      </c>
    </row>
    <row r="6851" spans="1:3" hidden="1">
      <c r="A6851" s="65">
        <v>9009237</v>
      </c>
      <c r="B6851" s="65" t="s">
        <v>7404</v>
      </c>
      <c r="C6851" s="65" t="s">
        <v>942</v>
      </c>
    </row>
    <row r="6852" spans="1:3" hidden="1">
      <c r="A6852" s="65">
        <v>9009238</v>
      </c>
      <c r="B6852" s="65" t="s">
        <v>7405</v>
      </c>
      <c r="C6852" s="65" t="s">
        <v>942</v>
      </c>
    </row>
    <row r="6853" spans="1:3" hidden="1">
      <c r="A6853" s="65">
        <v>9009239</v>
      </c>
      <c r="B6853" s="65" t="s">
        <v>7406</v>
      </c>
      <c r="C6853" s="65" t="s">
        <v>942</v>
      </c>
    </row>
    <row r="6854" spans="1:3" hidden="1">
      <c r="A6854" s="65">
        <v>9009240</v>
      </c>
      <c r="B6854" s="65" t="s">
        <v>7407</v>
      </c>
      <c r="C6854" s="65" t="s">
        <v>942</v>
      </c>
    </row>
    <row r="6855" spans="1:3" hidden="1">
      <c r="A6855" s="65">
        <v>9009241</v>
      </c>
      <c r="B6855" s="65" t="s">
        <v>7408</v>
      </c>
      <c r="C6855" s="65" t="s">
        <v>942</v>
      </c>
    </row>
    <row r="6856" spans="1:3" hidden="1">
      <c r="A6856" s="65">
        <v>9009242</v>
      </c>
      <c r="B6856" s="65" t="s">
        <v>7409</v>
      </c>
      <c r="C6856" s="65" t="s">
        <v>942</v>
      </c>
    </row>
    <row r="6857" spans="1:3" hidden="1">
      <c r="A6857" s="65">
        <v>9009243</v>
      </c>
      <c r="B6857" s="65" t="s">
        <v>7410</v>
      </c>
      <c r="C6857" s="65" t="s">
        <v>942</v>
      </c>
    </row>
    <row r="6858" spans="1:3" hidden="1">
      <c r="A6858" s="65">
        <v>9009244</v>
      </c>
      <c r="B6858" s="65" t="s">
        <v>7411</v>
      </c>
      <c r="C6858" s="65" t="s">
        <v>942</v>
      </c>
    </row>
    <row r="6859" spans="1:3" hidden="1">
      <c r="A6859" s="65">
        <v>9009245</v>
      </c>
      <c r="B6859" s="65" t="s">
        <v>7412</v>
      </c>
      <c r="C6859" s="65" t="s">
        <v>942</v>
      </c>
    </row>
    <row r="6860" spans="1:3" hidden="1">
      <c r="A6860" s="65">
        <v>9009246</v>
      </c>
      <c r="B6860" s="65" t="s">
        <v>7413</v>
      </c>
      <c r="C6860" s="65" t="s">
        <v>942</v>
      </c>
    </row>
    <row r="6861" spans="1:3" hidden="1">
      <c r="A6861" s="65">
        <v>9009247</v>
      </c>
      <c r="B6861" s="65" t="s">
        <v>7414</v>
      </c>
      <c r="C6861" s="65" t="s">
        <v>942</v>
      </c>
    </row>
    <row r="6862" spans="1:3" hidden="1">
      <c r="A6862" s="65">
        <v>9009248</v>
      </c>
      <c r="B6862" s="65" t="s">
        <v>7415</v>
      </c>
      <c r="C6862" s="65" t="s">
        <v>942</v>
      </c>
    </row>
    <row r="6863" spans="1:3" hidden="1">
      <c r="A6863" s="65">
        <v>9009249</v>
      </c>
      <c r="B6863" s="65" t="s">
        <v>7416</v>
      </c>
      <c r="C6863" s="65" t="s">
        <v>942</v>
      </c>
    </row>
    <row r="6864" spans="1:3" hidden="1">
      <c r="A6864" s="65">
        <v>9009250</v>
      </c>
      <c r="B6864" s="65" t="s">
        <v>7417</v>
      </c>
      <c r="C6864" s="65" t="s">
        <v>942</v>
      </c>
    </row>
    <row r="6865" spans="1:3" hidden="1">
      <c r="A6865" s="65">
        <v>9009251</v>
      </c>
      <c r="B6865" s="65" t="s">
        <v>7418</v>
      </c>
      <c r="C6865" s="65" t="s">
        <v>942</v>
      </c>
    </row>
    <row r="6866" spans="1:3" hidden="1">
      <c r="A6866" s="65">
        <v>9009252</v>
      </c>
      <c r="B6866" s="65" t="s">
        <v>7419</v>
      </c>
      <c r="C6866" s="65" t="s">
        <v>942</v>
      </c>
    </row>
    <row r="6867" spans="1:3" hidden="1">
      <c r="A6867" s="65">
        <v>9009253</v>
      </c>
      <c r="B6867" s="65" t="s">
        <v>7420</v>
      </c>
      <c r="C6867" s="65" t="s">
        <v>942</v>
      </c>
    </row>
    <row r="6868" spans="1:3" hidden="1">
      <c r="A6868" s="65">
        <v>9009254</v>
      </c>
      <c r="B6868" s="65" t="s">
        <v>7421</v>
      </c>
      <c r="C6868" s="65" t="s">
        <v>942</v>
      </c>
    </row>
    <row r="6869" spans="1:3" hidden="1">
      <c r="A6869" s="65">
        <v>9009255</v>
      </c>
      <c r="B6869" s="65" t="s">
        <v>7422</v>
      </c>
      <c r="C6869" s="65" t="s">
        <v>942</v>
      </c>
    </row>
    <row r="6870" spans="1:3" hidden="1">
      <c r="A6870" s="65">
        <v>9009256</v>
      </c>
      <c r="B6870" s="65" t="s">
        <v>7423</v>
      </c>
      <c r="C6870" s="65" t="s">
        <v>942</v>
      </c>
    </row>
    <row r="6871" spans="1:3" hidden="1">
      <c r="A6871" s="65">
        <v>9009257</v>
      </c>
      <c r="B6871" s="65" t="s">
        <v>7424</v>
      </c>
      <c r="C6871" s="65" t="s">
        <v>942</v>
      </c>
    </row>
    <row r="6872" spans="1:3" hidden="1">
      <c r="A6872" s="65">
        <v>9009258</v>
      </c>
      <c r="B6872" s="65" t="s">
        <v>7425</v>
      </c>
      <c r="C6872" s="65" t="s">
        <v>942</v>
      </c>
    </row>
    <row r="6873" spans="1:3" hidden="1">
      <c r="A6873" s="65">
        <v>9009259</v>
      </c>
      <c r="B6873" s="65" t="s">
        <v>7426</v>
      </c>
      <c r="C6873" s="65" t="s">
        <v>942</v>
      </c>
    </row>
    <row r="6874" spans="1:3" hidden="1">
      <c r="A6874" s="65">
        <v>9009260</v>
      </c>
      <c r="B6874" s="65" t="s">
        <v>7427</v>
      </c>
      <c r="C6874" s="65" t="s">
        <v>942</v>
      </c>
    </row>
    <row r="6875" spans="1:3" hidden="1">
      <c r="A6875" s="65">
        <v>9009261</v>
      </c>
      <c r="B6875" s="65" t="s">
        <v>7428</v>
      </c>
      <c r="C6875" s="65" t="s">
        <v>942</v>
      </c>
    </row>
    <row r="6876" spans="1:3" hidden="1">
      <c r="A6876" s="65">
        <v>9009262</v>
      </c>
      <c r="B6876" s="65" t="s">
        <v>7429</v>
      </c>
      <c r="C6876" s="65" t="s">
        <v>942</v>
      </c>
    </row>
    <row r="6877" spans="1:3" hidden="1">
      <c r="A6877" s="65">
        <v>9009263</v>
      </c>
      <c r="B6877" s="65" t="s">
        <v>7430</v>
      </c>
      <c r="C6877" s="65" t="s">
        <v>942</v>
      </c>
    </row>
    <row r="6878" spans="1:3" hidden="1">
      <c r="A6878" s="65">
        <v>9009264</v>
      </c>
      <c r="B6878" s="65" t="s">
        <v>7431</v>
      </c>
      <c r="C6878" s="65" t="s">
        <v>942</v>
      </c>
    </row>
    <row r="6879" spans="1:3" hidden="1">
      <c r="A6879" s="65">
        <v>9009265</v>
      </c>
      <c r="B6879" s="65" t="s">
        <v>7432</v>
      </c>
      <c r="C6879" s="65" t="s">
        <v>942</v>
      </c>
    </row>
    <row r="6880" spans="1:3" hidden="1">
      <c r="A6880" s="65">
        <v>9009266</v>
      </c>
      <c r="B6880" s="65" t="s">
        <v>7433</v>
      </c>
      <c r="C6880" s="65" t="s">
        <v>942</v>
      </c>
    </row>
    <row r="6881" spans="1:3" hidden="1">
      <c r="A6881" s="65">
        <v>9009267</v>
      </c>
      <c r="B6881" s="65" t="s">
        <v>7434</v>
      </c>
      <c r="C6881" s="65" t="s">
        <v>942</v>
      </c>
    </row>
    <row r="6882" spans="1:3" hidden="1">
      <c r="A6882" s="65">
        <v>9009268</v>
      </c>
      <c r="B6882" s="65" t="s">
        <v>7435</v>
      </c>
      <c r="C6882" s="65" t="s">
        <v>942</v>
      </c>
    </row>
    <row r="6883" spans="1:3" hidden="1">
      <c r="A6883" s="65">
        <v>9009269</v>
      </c>
      <c r="B6883" s="65" t="s">
        <v>7436</v>
      </c>
      <c r="C6883" s="65" t="s">
        <v>942</v>
      </c>
    </row>
    <row r="6884" spans="1:3" hidden="1">
      <c r="A6884" s="65">
        <v>9009270</v>
      </c>
      <c r="B6884" s="65" t="s">
        <v>7437</v>
      </c>
      <c r="C6884" s="65" t="s">
        <v>942</v>
      </c>
    </row>
    <row r="6885" spans="1:3" hidden="1">
      <c r="A6885" s="65">
        <v>9009271</v>
      </c>
      <c r="B6885" s="65" t="s">
        <v>7438</v>
      </c>
      <c r="C6885" s="65" t="s">
        <v>942</v>
      </c>
    </row>
    <row r="6886" spans="1:3" hidden="1">
      <c r="A6886" s="65">
        <v>9009272</v>
      </c>
      <c r="B6886" s="65" t="s">
        <v>7439</v>
      </c>
      <c r="C6886" s="65" t="s">
        <v>942</v>
      </c>
    </row>
    <row r="6887" spans="1:3" hidden="1">
      <c r="A6887" s="65">
        <v>9009273</v>
      </c>
      <c r="B6887" s="65" t="s">
        <v>7440</v>
      </c>
      <c r="C6887" s="65" t="s">
        <v>942</v>
      </c>
    </row>
    <row r="6888" spans="1:3" hidden="1">
      <c r="A6888" s="65">
        <v>9009274</v>
      </c>
      <c r="B6888" s="65" t="s">
        <v>7441</v>
      </c>
      <c r="C6888" s="65" t="s">
        <v>942</v>
      </c>
    </row>
    <row r="6889" spans="1:3" hidden="1">
      <c r="A6889" s="65">
        <v>9009275</v>
      </c>
      <c r="B6889" s="65" t="s">
        <v>7442</v>
      </c>
      <c r="C6889" s="65" t="s">
        <v>942</v>
      </c>
    </row>
    <row r="6890" spans="1:3" hidden="1">
      <c r="A6890" s="65">
        <v>9009276</v>
      </c>
      <c r="B6890" s="65" t="s">
        <v>7443</v>
      </c>
      <c r="C6890" s="65" t="s">
        <v>942</v>
      </c>
    </row>
    <row r="6891" spans="1:3" hidden="1">
      <c r="A6891" s="65">
        <v>9009277</v>
      </c>
      <c r="B6891" s="65" t="s">
        <v>7444</v>
      </c>
      <c r="C6891" s="65" t="s">
        <v>942</v>
      </c>
    </row>
    <row r="6892" spans="1:3" hidden="1">
      <c r="A6892" s="65">
        <v>9009278</v>
      </c>
      <c r="B6892" s="65" t="s">
        <v>7445</v>
      </c>
      <c r="C6892" s="65" t="s">
        <v>942</v>
      </c>
    </row>
    <row r="6893" spans="1:3" hidden="1">
      <c r="A6893" s="65">
        <v>9009279</v>
      </c>
      <c r="B6893" s="65" t="s">
        <v>7446</v>
      </c>
      <c r="C6893" s="65" t="s">
        <v>942</v>
      </c>
    </row>
    <row r="6894" spans="1:3" hidden="1">
      <c r="A6894" s="65">
        <v>9009280</v>
      </c>
      <c r="B6894" s="65" t="s">
        <v>7447</v>
      </c>
      <c r="C6894" s="65" t="s">
        <v>942</v>
      </c>
    </row>
    <row r="6895" spans="1:3" hidden="1">
      <c r="A6895" s="65">
        <v>9009281</v>
      </c>
      <c r="B6895" s="65" t="s">
        <v>7448</v>
      </c>
      <c r="C6895" s="65" t="s">
        <v>942</v>
      </c>
    </row>
    <row r="6896" spans="1:3" hidden="1">
      <c r="A6896" s="65">
        <v>9009282</v>
      </c>
      <c r="B6896" s="65" t="s">
        <v>7449</v>
      </c>
      <c r="C6896" s="65" t="s">
        <v>942</v>
      </c>
    </row>
    <row r="6897" spans="1:3" hidden="1">
      <c r="A6897" s="65">
        <v>9009283</v>
      </c>
      <c r="B6897" s="65" t="s">
        <v>7450</v>
      </c>
      <c r="C6897" s="65" t="s">
        <v>942</v>
      </c>
    </row>
    <row r="6898" spans="1:3" hidden="1">
      <c r="A6898" s="65">
        <v>9009284</v>
      </c>
      <c r="B6898" s="65" t="s">
        <v>7451</v>
      </c>
      <c r="C6898" s="65" t="s">
        <v>942</v>
      </c>
    </row>
    <row r="6899" spans="1:3" hidden="1">
      <c r="A6899" s="65">
        <v>9009285</v>
      </c>
      <c r="B6899" s="65" t="s">
        <v>7452</v>
      </c>
      <c r="C6899" s="65" t="s">
        <v>942</v>
      </c>
    </row>
    <row r="6900" spans="1:3" hidden="1">
      <c r="A6900" s="65">
        <v>9009286</v>
      </c>
      <c r="B6900" s="65" t="s">
        <v>7453</v>
      </c>
      <c r="C6900" s="65" t="s">
        <v>942</v>
      </c>
    </row>
    <row r="6901" spans="1:3" hidden="1">
      <c r="A6901" s="65">
        <v>9009287</v>
      </c>
      <c r="B6901" s="65" t="s">
        <v>7454</v>
      </c>
      <c r="C6901" s="65" t="s">
        <v>942</v>
      </c>
    </row>
    <row r="6902" spans="1:3" hidden="1">
      <c r="A6902" s="65">
        <v>9009288</v>
      </c>
      <c r="B6902" s="65" t="s">
        <v>7455</v>
      </c>
      <c r="C6902" s="65" t="s">
        <v>942</v>
      </c>
    </row>
    <row r="6903" spans="1:3" hidden="1">
      <c r="A6903" s="65">
        <v>9009289</v>
      </c>
      <c r="B6903" s="65" t="s">
        <v>7456</v>
      </c>
      <c r="C6903" s="65" t="s">
        <v>942</v>
      </c>
    </row>
    <row r="6904" spans="1:3" hidden="1">
      <c r="A6904" s="65">
        <v>9009290</v>
      </c>
      <c r="B6904" s="65" t="s">
        <v>7457</v>
      </c>
      <c r="C6904" s="65" t="s">
        <v>942</v>
      </c>
    </row>
    <row r="6905" spans="1:3" hidden="1">
      <c r="A6905" s="65">
        <v>9009291</v>
      </c>
      <c r="B6905" s="65" t="s">
        <v>7458</v>
      </c>
      <c r="C6905" s="65" t="s">
        <v>942</v>
      </c>
    </row>
    <row r="6906" spans="1:3" hidden="1">
      <c r="A6906" s="65">
        <v>9009292</v>
      </c>
      <c r="B6906" s="65" t="s">
        <v>7459</v>
      </c>
      <c r="C6906" s="65" t="s">
        <v>942</v>
      </c>
    </row>
    <row r="6907" spans="1:3" hidden="1">
      <c r="A6907" s="65">
        <v>9009293</v>
      </c>
      <c r="B6907" s="65" t="s">
        <v>7460</v>
      </c>
      <c r="C6907" s="65" t="s">
        <v>942</v>
      </c>
    </row>
    <row r="6908" spans="1:3" hidden="1">
      <c r="A6908" s="65">
        <v>9009294</v>
      </c>
      <c r="B6908" s="65" t="s">
        <v>7461</v>
      </c>
      <c r="C6908" s="65" t="s">
        <v>942</v>
      </c>
    </row>
    <row r="6909" spans="1:3" hidden="1">
      <c r="A6909" s="65">
        <v>9009295</v>
      </c>
      <c r="B6909" s="65" t="s">
        <v>7462</v>
      </c>
      <c r="C6909" s="65" t="s">
        <v>942</v>
      </c>
    </row>
    <row r="6910" spans="1:3" hidden="1">
      <c r="A6910" s="65">
        <v>9009296</v>
      </c>
      <c r="B6910" s="65" t="s">
        <v>7463</v>
      </c>
      <c r="C6910" s="65" t="s">
        <v>942</v>
      </c>
    </row>
    <row r="6911" spans="1:3" hidden="1">
      <c r="A6911" s="65">
        <v>9009297</v>
      </c>
      <c r="B6911" s="65" t="s">
        <v>7464</v>
      </c>
      <c r="C6911" s="65" t="s">
        <v>942</v>
      </c>
    </row>
    <row r="6912" spans="1:3" hidden="1">
      <c r="A6912" s="65">
        <v>9009298</v>
      </c>
      <c r="B6912" s="65" t="s">
        <v>7465</v>
      </c>
      <c r="C6912" s="65" t="s">
        <v>942</v>
      </c>
    </row>
    <row r="6913" spans="1:3" hidden="1">
      <c r="A6913" s="65">
        <v>9009299</v>
      </c>
      <c r="B6913" s="65" t="s">
        <v>7466</v>
      </c>
      <c r="C6913" s="65" t="s">
        <v>738</v>
      </c>
    </row>
    <row r="6914" spans="1:3" hidden="1">
      <c r="A6914" s="65">
        <v>9009300</v>
      </c>
      <c r="B6914" s="65" t="s">
        <v>7467</v>
      </c>
      <c r="C6914" s="65" t="s">
        <v>793</v>
      </c>
    </row>
    <row r="6915" spans="1:3" hidden="1">
      <c r="A6915" s="65">
        <v>9009301</v>
      </c>
      <c r="B6915" s="65" t="s">
        <v>7468</v>
      </c>
      <c r="C6915" s="65" t="s">
        <v>805</v>
      </c>
    </row>
    <row r="6916" spans="1:3" hidden="1">
      <c r="A6916" s="65">
        <v>9009302</v>
      </c>
      <c r="B6916" s="65" t="s">
        <v>7469</v>
      </c>
      <c r="C6916" s="65" t="s">
        <v>805</v>
      </c>
    </row>
    <row r="6917" spans="1:3" hidden="1">
      <c r="A6917" s="65">
        <v>9009303</v>
      </c>
      <c r="B6917" s="65" t="s">
        <v>7470</v>
      </c>
      <c r="C6917" s="65" t="s">
        <v>805</v>
      </c>
    </row>
    <row r="6918" spans="1:3" hidden="1">
      <c r="A6918" s="65">
        <v>9009304</v>
      </c>
      <c r="B6918" s="65" t="s">
        <v>7471</v>
      </c>
      <c r="C6918" s="65" t="s">
        <v>805</v>
      </c>
    </row>
    <row r="6919" spans="1:3" hidden="1">
      <c r="A6919" s="65">
        <v>9009305</v>
      </c>
      <c r="B6919" s="65" t="s">
        <v>7472</v>
      </c>
      <c r="C6919" s="65" t="s">
        <v>805</v>
      </c>
    </row>
    <row r="6920" spans="1:3" hidden="1">
      <c r="A6920" s="65">
        <v>9009306</v>
      </c>
      <c r="B6920" s="65" t="s">
        <v>7473</v>
      </c>
      <c r="C6920" s="65" t="s">
        <v>805</v>
      </c>
    </row>
    <row r="6921" spans="1:3" hidden="1">
      <c r="A6921" s="65">
        <v>9009307</v>
      </c>
      <c r="B6921" s="65" t="s">
        <v>7474</v>
      </c>
      <c r="C6921" s="65" t="s">
        <v>738</v>
      </c>
    </row>
    <row r="6922" spans="1:3" hidden="1">
      <c r="A6922" s="65">
        <v>9009308</v>
      </c>
      <c r="B6922" s="65" t="s">
        <v>7475</v>
      </c>
      <c r="C6922" s="65" t="s">
        <v>805</v>
      </c>
    </row>
    <row r="6923" spans="1:3" hidden="1">
      <c r="A6923" s="65">
        <v>9009309</v>
      </c>
      <c r="B6923" s="65" t="s">
        <v>7476</v>
      </c>
      <c r="C6923" s="65" t="s">
        <v>805</v>
      </c>
    </row>
    <row r="6924" spans="1:3" hidden="1">
      <c r="A6924" s="65">
        <v>9009310</v>
      </c>
      <c r="B6924" s="65" t="s">
        <v>7477</v>
      </c>
      <c r="C6924" s="65" t="s">
        <v>805</v>
      </c>
    </row>
    <row r="6925" spans="1:3" hidden="1">
      <c r="A6925" s="65">
        <v>9009311</v>
      </c>
      <c r="B6925" s="65" t="s">
        <v>7478</v>
      </c>
      <c r="C6925" s="65" t="s">
        <v>805</v>
      </c>
    </row>
    <row r="6926" spans="1:3" hidden="1">
      <c r="A6926" s="65">
        <v>9009312</v>
      </c>
      <c r="B6926" s="65" t="s">
        <v>7479</v>
      </c>
      <c r="C6926" s="65" t="s">
        <v>805</v>
      </c>
    </row>
    <row r="6927" spans="1:3" hidden="1">
      <c r="A6927" s="65">
        <v>9009313</v>
      </c>
      <c r="B6927" s="65" t="s">
        <v>7480</v>
      </c>
      <c r="C6927" s="65" t="s">
        <v>793</v>
      </c>
    </row>
    <row r="6928" spans="1:3" hidden="1">
      <c r="A6928" s="65">
        <v>9009314</v>
      </c>
      <c r="B6928" s="65" t="s">
        <v>7481</v>
      </c>
      <c r="C6928" s="65" t="s">
        <v>805</v>
      </c>
    </row>
    <row r="6929" spans="1:3" hidden="1">
      <c r="A6929" s="65">
        <v>9009315</v>
      </c>
      <c r="B6929" s="65" t="s">
        <v>7482</v>
      </c>
      <c r="C6929" s="65" t="s">
        <v>805</v>
      </c>
    </row>
    <row r="6930" spans="1:3" hidden="1">
      <c r="A6930" s="65">
        <v>9009316</v>
      </c>
      <c r="B6930" s="65" t="s">
        <v>7483</v>
      </c>
      <c r="C6930" s="65" t="s">
        <v>805</v>
      </c>
    </row>
    <row r="6931" spans="1:3" hidden="1">
      <c r="A6931" s="65">
        <v>9009317</v>
      </c>
      <c r="B6931" s="65" t="s">
        <v>7484</v>
      </c>
      <c r="C6931" s="65" t="s">
        <v>805</v>
      </c>
    </row>
    <row r="6932" spans="1:3" hidden="1">
      <c r="A6932" s="65">
        <v>9009318</v>
      </c>
      <c r="B6932" s="65" t="s">
        <v>7485</v>
      </c>
      <c r="C6932" s="65" t="s">
        <v>805</v>
      </c>
    </row>
    <row r="6933" spans="1:3" hidden="1">
      <c r="A6933" s="65">
        <v>9009319</v>
      </c>
      <c r="B6933" s="65" t="s">
        <v>7486</v>
      </c>
      <c r="C6933" s="65" t="s">
        <v>805</v>
      </c>
    </row>
    <row r="6934" spans="1:3" hidden="1">
      <c r="A6934" s="65">
        <v>9009320</v>
      </c>
      <c r="B6934" s="65" t="s">
        <v>7487</v>
      </c>
      <c r="C6934" s="65" t="s">
        <v>805</v>
      </c>
    </row>
    <row r="6935" spans="1:3" hidden="1">
      <c r="A6935" s="65">
        <v>9009321</v>
      </c>
      <c r="B6935" s="65" t="s">
        <v>7488</v>
      </c>
      <c r="C6935" s="65" t="s">
        <v>805</v>
      </c>
    </row>
    <row r="6936" spans="1:3" hidden="1">
      <c r="A6936" s="65">
        <v>9009322</v>
      </c>
      <c r="B6936" s="65" t="s">
        <v>7489</v>
      </c>
      <c r="C6936" s="65" t="s">
        <v>805</v>
      </c>
    </row>
    <row r="6937" spans="1:3" hidden="1">
      <c r="A6937" s="65">
        <v>9009323</v>
      </c>
      <c r="B6937" s="65" t="s">
        <v>7490</v>
      </c>
      <c r="C6937" s="65" t="s">
        <v>805</v>
      </c>
    </row>
    <row r="6938" spans="1:3" hidden="1">
      <c r="A6938" s="65">
        <v>9009324</v>
      </c>
      <c r="B6938" s="65" t="s">
        <v>7491</v>
      </c>
      <c r="C6938" s="65" t="s">
        <v>805</v>
      </c>
    </row>
    <row r="6939" spans="1:3" hidden="1">
      <c r="A6939" s="65">
        <v>9009325</v>
      </c>
      <c r="B6939" s="65" t="s">
        <v>7492</v>
      </c>
      <c r="C6939" s="65" t="s">
        <v>805</v>
      </c>
    </row>
    <row r="6940" spans="1:3" hidden="1">
      <c r="A6940" s="65">
        <v>9009326</v>
      </c>
      <c r="B6940" s="65" t="s">
        <v>7493</v>
      </c>
      <c r="C6940" s="65" t="s">
        <v>942</v>
      </c>
    </row>
    <row r="6941" spans="1:3" hidden="1">
      <c r="A6941" s="65">
        <v>9009327</v>
      </c>
      <c r="B6941" s="65" t="s">
        <v>7494</v>
      </c>
      <c r="C6941" s="65" t="s">
        <v>738</v>
      </c>
    </row>
    <row r="6942" spans="1:3" hidden="1">
      <c r="A6942" s="65">
        <v>9009328</v>
      </c>
      <c r="B6942" s="65" t="s">
        <v>7495</v>
      </c>
      <c r="C6942" s="65" t="s">
        <v>805</v>
      </c>
    </row>
    <row r="6943" spans="1:3" hidden="1">
      <c r="A6943" s="65">
        <v>9009329</v>
      </c>
      <c r="B6943" s="65" t="s">
        <v>7496</v>
      </c>
      <c r="C6943" s="65" t="s">
        <v>827</v>
      </c>
    </row>
    <row r="6944" spans="1:3" hidden="1">
      <c r="A6944" s="65">
        <v>9009339</v>
      </c>
      <c r="B6944" s="65" t="s">
        <v>7497</v>
      </c>
      <c r="C6944" s="65" t="s">
        <v>793</v>
      </c>
    </row>
    <row r="6945" spans="1:3" hidden="1">
      <c r="A6945" s="65">
        <v>9009340</v>
      </c>
      <c r="B6945" s="65" t="s">
        <v>7498</v>
      </c>
      <c r="C6945" s="65" t="s">
        <v>793</v>
      </c>
    </row>
    <row r="6946" spans="1:3" hidden="1">
      <c r="A6946" s="65">
        <v>9009341</v>
      </c>
      <c r="B6946" s="65" t="s">
        <v>7499</v>
      </c>
      <c r="C6946" s="65" t="s">
        <v>793</v>
      </c>
    </row>
    <row r="6947" spans="1:3" hidden="1">
      <c r="A6947" s="65">
        <v>9009342</v>
      </c>
      <c r="B6947" s="65" t="s">
        <v>7500</v>
      </c>
      <c r="C6947" s="65" t="s">
        <v>793</v>
      </c>
    </row>
    <row r="6948" spans="1:3" hidden="1">
      <c r="A6948" s="65">
        <v>9009343</v>
      </c>
      <c r="B6948" s="65" t="s">
        <v>7501</v>
      </c>
      <c r="C6948" s="65" t="s">
        <v>793</v>
      </c>
    </row>
    <row r="6949" spans="1:3" hidden="1">
      <c r="A6949" s="65">
        <v>9009344</v>
      </c>
      <c r="B6949" s="65" t="s">
        <v>7502</v>
      </c>
      <c r="C6949" s="65" t="s">
        <v>807</v>
      </c>
    </row>
    <row r="6950" spans="1:3" hidden="1">
      <c r="A6950" s="65">
        <v>9009345</v>
      </c>
      <c r="B6950" s="65" t="s">
        <v>7503</v>
      </c>
      <c r="C6950" s="65" t="s">
        <v>738</v>
      </c>
    </row>
    <row r="6951" spans="1:3" hidden="1">
      <c r="A6951" s="65">
        <v>9009346</v>
      </c>
      <c r="B6951" s="65" t="s">
        <v>7504</v>
      </c>
      <c r="C6951" s="65" t="s">
        <v>738</v>
      </c>
    </row>
    <row r="6952" spans="1:3" hidden="1">
      <c r="A6952" s="65">
        <v>9009347</v>
      </c>
      <c r="B6952" s="65" t="s">
        <v>7505</v>
      </c>
      <c r="C6952" s="65" t="s">
        <v>793</v>
      </c>
    </row>
    <row r="6953" spans="1:3" hidden="1">
      <c r="A6953" s="65">
        <v>9009349</v>
      </c>
      <c r="B6953" s="65" t="s">
        <v>7506</v>
      </c>
      <c r="C6953" s="65" t="s">
        <v>745</v>
      </c>
    </row>
    <row r="6954" spans="1:3" hidden="1">
      <c r="A6954" s="65">
        <v>9009350</v>
      </c>
      <c r="B6954" s="65" t="s">
        <v>7507</v>
      </c>
      <c r="C6954" s="65" t="s">
        <v>807</v>
      </c>
    </row>
    <row r="6955" spans="1:3" hidden="1">
      <c r="A6955" s="65">
        <v>9009359</v>
      </c>
      <c r="B6955" s="65" t="s">
        <v>7508</v>
      </c>
      <c r="C6955" s="65" t="s">
        <v>827</v>
      </c>
    </row>
    <row r="6956" spans="1:3" hidden="1">
      <c r="A6956" s="65">
        <v>9009360</v>
      </c>
      <c r="B6956" s="65" t="s">
        <v>7509</v>
      </c>
      <c r="C6956" s="65" t="s">
        <v>1394</v>
      </c>
    </row>
    <row r="6957" spans="1:3" hidden="1">
      <c r="A6957" s="65">
        <v>9009361</v>
      </c>
      <c r="B6957" s="65" t="s">
        <v>7510</v>
      </c>
      <c r="C6957" s="65" t="s">
        <v>1394</v>
      </c>
    </row>
    <row r="6958" spans="1:3" hidden="1">
      <c r="A6958" s="65">
        <v>9009362</v>
      </c>
      <c r="B6958" s="65" t="s">
        <v>7511</v>
      </c>
      <c r="C6958" s="65" t="s">
        <v>1394</v>
      </c>
    </row>
    <row r="6959" spans="1:3" hidden="1">
      <c r="A6959" s="65">
        <v>9009363</v>
      </c>
      <c r="B6959" s="65" t="s">
        <v>7512</v>
      </c>
      <c r="C6959" s="65" t="s">
        <v>677</v>
      </c>
    </row>
    <row r="6960" spans="1:3" hidden="1">
      <c r="A6960" s="65">
        <v>9009364</v>
      </c>
      <c r="B6960" s="65" t="s">
        <v>7513</v>
      </c>
      <c r="C6960" s="65" t="s">
        <v>677</v>
      </c>
    </row>
    <row r="6961" spans="1:3" hidden="1">
      <c r="A6961" s="65">
        <v>9009365</v>
      </c>
      <c r="B6961" s="65" t="s">
        <v>7514</v>
      </c>
      <c r="C6961" s="65" t="s">
        <v>1394</v>
      </c>
    </row>
    <row r="6962" spans="1:3" hidden="1">
      <c r="A6962" s="65">
        <v>9009369</v>
      </c>
      <c r="B6962" s="65" t="s">
        <v>7515</v>
      </c>
      <c r="C6962" s="65" t="s">
        <v>738</v>
      </c>
    </row>
    <row r="6963" spans="1:3" hidden="1">
      <c r="A6963" s="65">
        <v>9009370</v>
      </c>
      <c r="B6963" s="65" t="s">
        <v>7516</v>
      </c>
      <c r="C6963" s="65" t="s">
        <v>738</v>
      </c>
    </row>
    <row r="6964" spans="1:3" hidden="1">
      <c r="A6964" s="65">
        <v>9009371</v>
      </c>
      <c r="B6964" s="65" t="s">
        <v>7517</v>
      </c>
      <c r="C6964" s="65" t="s">
        <v>1101</v>
      </c>
    </row>
    <row r="6965" spans="1:3" hidden="1">
      <c r="A6965" s="65">
        <v>9009372</v>
      </c>
      <c r="B6965" s="65" t="s">
        <v>7518</v>
      </c>
      <c r="C6965" s="65" t="s">
        <v>1101</v>
      </c>
    </row>
    <row r="6966" spans="1:3" hidden="1">
      <c r="A6966" s="65">
        <v>9009373</v>
      </c>
      <c r="B6966" s="65" t="s">
        <v>7519</v>
      </c>
      <c r="C6966" s="65" t="s">
        <v>1181</v>
      </c>
    </row>
    <row r="6967" spans="1:3" hidden="1">
      <c r="A6967" s="65">
        <v>9009374</v>
      </c>
      <c r="B6967" s="65" t="s">
        <v>7520</v>
      </c>
      <c r="C6967" s="65" t="s">
        <v>738</v>
      </c>
    </row>
    <row r="6968" spans="1:3" hidden="1">
      <c r="A6968" s="65">
        <v>9009375</v>
      </c>
      <c r="B6968" s="65" t="s">
        <v>7521</v>
      </c>
      <c r="C6968" s="65" t="s">
        <v>738</v>
      </c>
    </row>
    <row r="6969" spans="1:3" hidden="1">
      <c r="A6969" s="65">
        <v>9009376</v>
      </c>
      <c r="B6969" s="65" t="s">
        <v>7522</v>
      </c>
      <c r="C6969" s="65" t="s">
        <v>942</v>
      </c>
    </row>
    <row r="6970" spans="1:3" hidden="1">
      <c r="A6970" s="65">
        <v>9009377</v>
      </c>
      <c r="B6970" s="65" t="s">
        <v>7523</v>
      </c>
      <c r="C6970" s="65" t="s">
        <v>942</v>
      </c>
    </row>
    <row r="6971" spans="1:3" hidden="1">
      <c r="A6971" s="65">
        <v>9009378</v>
      </c>
      <c r="B6971" s="65" t="s">
        <v>7524</v>
      </c>
      <c r="C6971" s="65" t="s">
        <v>942</v>
      </c>
    </row>
    <row r="6972" spans="1:3" hidden="1">
      <c r="A6972" s="65">
        <v>9009379</v>
      </c>
      <c r="B6972" s="65" t="s">
        <v>7525</v>
      </c>
      <c r="C6972" s="65" t="s">
        <v>3170</v>
      </c>
    </row>
    <row r="6973" spans="1:3" hidden="1">
      <c r="A6973" s="65">
        <v>9009389</v>
      </c>
      <c r="B6973" s="65" t="s">
        <v>7526</v>
      </c>
      <c r="C6973" s="65" t="s">
        <v>738</v>
      </c>
    </row>
    <row r="6974" spans="1:3" hidden="1">
      <c r="A6974" s="65">
        <v>9009390</v>
      </c>
      <c r="B6974" s="65" t="s">
        <v>7527</v>
      </c>
      <c r="C6974" s="65" t="s">
        <v>670</v>
      </c>
    </row>
    <row r="6975" spans="1:3" hidden="1">
      <c r="A6975" s="65">
        <v>9009399</v>
      </c>
      <c r="B6975" s="65" t="s">
        <v>7528</v>
      </c>
      <c r="C6975" s="65" t="s">
        <v>793</v>
      </c>
    </row>
    <row r="6976" spans="1:3" hidden="1">
      <c r="A6976" s="65">
        <v>9009400</v>
      </c>
      <c r="B6976" s="65" t="s">
        <v>7529</v>
      </c>
      <c r="C6976" s="65" t="s">
        <v>793</v>
      </c>
    </row>
    <row r="6977" spans="1:3" hidden="1">
      <c r="A6977" s="65">
        <v>9009401</v>
      </c>
      <c r="B6977" s="65" t="s">
        <v>7530</v>
      </c>
      <c r="C6977" s="65" t="s">
        <v>793</v>
      </c>
    </row>
    <row r="6978" spans="1:3" hidden="1">
      <c r="A6978" s="65">
        <v>9009402</v>
      </c>
      <c r="B6978" s="65" t="s">
        <v>7531</v>
      </c>
      <c r="C6978" s="65" t="s">
        <v>942</v>
      </c>
    </row>
    <row r="6979" spans="1:3" hidden="1">
      <c r="A6979" s="65">
        <v>9009403</v>
      </c>
      <c r="B6979" s="65" t="s">
        <v>7532</v>
      </c>
      <c r="C6979" s="65" t="s">
        <v>805</v>
      </c>
    </row>
    <row r="6980" spans="1:3" hidden="1">
      <c r="A6980" s="65">
        <v>9009404</v>
      </c>
      <c r="B6980" s="65" t="s">
        <v>7533</v>
      </c>
      <c r="C6980" s="65" t="s">
        <v>805</v>
      </c>
    </row>
    <row r="6981" spans="1:3" hidden="1">
      <c r="A6981" s="65">
        <v>9009405</v>
      </c>
      <c r="B6981" s="65" t="s">
        <v>7534</v>
      </c>
      <c r="C6981" s="65" t="s">
        <v>805</v>
      </c>
    </row>
    <row r="6982" spans="1:3" hidden="1">
      <c r="A6982" s="65">
        <v>9009406</v>
      </c>
      <c r="B6982" s="65" t="s">
        <v>7535</v>
      </c>
      <c r="C6982" s="65" t="s">
        <v>805</v>
      </c>
    </row>
    <row r="6983" spans="1:3" hidden="1">
      <c r="A6983" s="65">
        <v>9009407</v>
      </c>
      <c r="B6983" s="65" t="s">
        <v>7536</v>
      </c>
      <c r="C6983" s="65" t="s">
        <v>805</v>
      </c>
    </row>
    <row r="6984" spans="1:3" hidden="1">
      <c r="A6984" s="65">
        <v>9009408</v>
      </c>
      <c r="B6984" s="65" t="s">
        <v>7537</v>
      </c>
      <c r="C6984" s="65" t="s">
        <v>805</v>
      </c>
    </row>
    <row r="6985" spans="1:3" hidden="1">
      <c r="A6985" s="65">
        <v>9009409</v>
      </c>
      <c r="B6985" s="65" t="s">
        <v>7538</v>
      </c>
      <c r="C6985" s="65" t="s">
        <v>805</v>
      </c>
    </row>
    <row r="6986" spans="1:3" hidden="1">
      <c r="A6986" s="65">
        <v>9009410</v>
      </c>
      <c r="B6986" s="65" t="s">
        <v>7539</v>
      </c>
      <c r="C6986" s="65" t="s">
        <v>805</v>
      </c>
    </row>
    <row r="6987" spans="1:3" hidden="1">
      <c r="A6987" s="65">
        <v>9009411</v>
      </c>
      <c r="B6987" s="65" t="s">
        <v>7540</v>
      </c>
      <c r="C6987" s="65" t="s">
        <v>805</v>
      </c>
    </row>
    <row r="6988" spans="1:3" hidden="1">
      <c r="A6988" s="65">
        <v>9009412</v>
      </c>
      <c r="B6988" s="65" t="s">
        <v>7541</v>
      </c>
      <c r="C6988" s="65" t="s">
        <v>805</v>
      </c>
    </row>
    <row r="6989" spans="1:3" hidden="1">
      <c r="A6989" s="65">
        <v>9009413</v>
      </c>
      <c r="B6989" s="65" t="s">
        <v>7542</v>
      </c>
      <c r="C6989" s="65" t="s">
        <v>738</v>
      </c>
    </row>
    <row r="6990" spans="1:3" hidden="1">
      <c r="A6990" s="65">
        <v>9009419</v>
      </c>
      <c r="B6990" s="65" t="s">
        <v>7543</v>
      </c>
      <c r="C6990" s="65" t="s">
        <v>805</v>
      </c>
    </row>
    <row r="6991" spans="1:3" hidden="1">
      <c r="A6991" s="65">
        <v>9009420</v>
      </c>
      <c r="B6991" s="65" t="s">
        <v>7544</v>
      </c>
      <c r="C6991" s="65" t="s">
        <v>805</v>
      </c>
    </row>
    <row r="6992" spans="1:3" hidden="1">
      <c r="A6992" s="65">
        <v>9009421</v>
      </c>
      <c r="B6992" s="65" t="s">
        <v>7545</v>
      </c>
      <c r="C6992" s="65" t="s">
        <v>805</v>
      </c>
    </row>
    <row r="6993" spans="1:3" hidden="1">
      <c r="A6993" s="65">
        <v>9009429</v>
      </c>
      <c r="B6993" s="65" t="s">
        <v>7546</v>
      </c>
      <c r="C6993" s="65" t="s">
        <v>942</v>
      </c>
    </row>
    <row r="6994" spans="1:3" hidden="1">
      <c r="A6994" s="65">
        <v>9009430</v>
      </c>
      <c r="B6994" s="65" t="s">
        <v>7547</v>
      </c>
      <c r="C6994" s="65" t="s">
        <v>942</v>
      </c>
    </row>
    <row r="6995" spans="1:3" hidden="1">
      <c r="A6995" s="65">
        <v>9009431</v>
      </c>
      <c r="B6995" s="65" t="s">
        <v>7548</v>
      </c>
      <c r="C6995" s="65" t="s">
        <v>942</v>
      </c>
    </row>
    <row r="6996" spans="1:3" hidden="1">
      <c r="A6996" s="65">
        <v>9009432</v>
      </c>
      <c r="B6996" s="65" t="s">
        <v>7549</v>
      </c>
      <c r="C6996" s="65" t="s">
        <v>942</v>
      </c>
    </row>
    <row r="6997" spans="1:3" hidden="1">
      <c r="A6997" s="65">
        <v>9009433</v>
      </c>
      <c r="B6997" s="65" t="s">
        <v>7550</v>
      </c>
      <c r="C6997" s="65" t="s">
        <v>942</v>
      </c>
    </row>
    <row r="6998" spans="1:3" hidden="1">
      <c r="A6998" s="65">
        <v>9009434</v>
      </c>
      <c r="B6998" s="65" t="s">
        <v>7551</v>
      </c>
      <c r="C6998" s="65" t="s">
        <v>942</v>
      </c>
    </row>
    <row r="6999" spans="1:3" hidden="1">
      <c r="A6999" s="65">
        <v>9009435</v>
      </c>
      <c r="B6999" s="65" t="s">
        <v>7552</v>
      </c>
      <c r="C6999" s="65" t="s">
        <v>942</v>
      </c>
    </row>
    <row r="7000" spans="1:3" hidden="1">
      <c r="A7000" s="65">
        <v>9009436</v>
      </c>
      <c r="B7000" s="65" t="s">
        <v>7553</v>
      </c>
      <c r="C7000" s="65" t="s">
        <v>942</v>
      </c>
    </row>
    <row r="7001" spans="1:3" hidden="1">
      <c r="A7001" s="65">
        <v>9009437</v>
      </c>
      <c r="B7001" s="65" t="s">
        <v>7554</v>
      </c>
      <c r="C7001" s="65" t="s">
        <v>942</v>
      </c>
    </row>
    <row r="7002" spans="1:3" hidden="1">
      <c r="A7002" s="65">
        <v>9009439</v>
      </c>
      <c r="B7002" s="65" t="s">
        <v>7555</v>
      </c>
      <c r="C7002" s="65" t="s">
        <v>738</v>
      </c>
    </row>
    <row r="7003" spans="1:3" hidden="1">
      <c r="A7003" s="65">
        <v>9009440</v>
      </c>
      <c r="B7003" s="65" t="s">
        <v>7556</v>
      </c>
      <c r="C7003" s="65" t="s">
        <v>807</v>
      </c>
    </row>
    <row r="7004" spans="1:3" hidden="1">
      <c r="A7004" s="65">
        <v>9009441</v>
      </c>
      <c r="B7004" s="65" t="s">
        <v>7557</v>
      </c>
      <c r="C7004" s="65" t="s">
        <v>807</v>
      </c>
    </row>
    <row r="7005" spans="1:3" hidden="1">
      <c r="A7005" s="65">
        <v>9009442</v>
      </c>
      <c r="B7005" s="65" t="s">
        <v>7558</v>
      </c>
      <c r="C7005" s="65" t="s">
        <v>805</v>
      </c>
    </row>
    <row r="7006" spans="1:3" hidden="1">
      <c r="A7006" s="65">
        <v>9009443</v>
      </c>
      <c r="B7006" s="65" t="s">
        <v>7559</v>
      </c>
      <c r="C7006" s="65" t="s">
        <v>942</v>
      </c>
    </row>
    <row r="7007" spans="1:3" hidden="1">
      <c r="A7007" s="65">
        <v>9009444</v>
      </c>
      <c r="B7007" s="65" t="s">
        <v>7560</v>
      </c>
      <c r="C7007" s="65" t="s">
        <v>942</v>
      </c>
    </row>
    <row r="7008" spans="1:3" hidden="1">
      <c r="A7008" s="65">
        <v>9009445</v>
      </c>
      <c r="B7008" s="65" t="s">
        <v>7561</v>
      </c>
      <c r="C7008" s="65" t="s">
        <v>942</v>
      </c>
    </row>
    <row r="7009" spans="1:3" hidden="1">
      <c r="A7009" s="65">
        <v>9009446</v>
      </c>
      <c r="B7009" s="65" t="s">
        <v>7562</v>
      </c>
      <c r="C7009" s="65" t="s">
        <v>942</v>
      </c>
    </row>
    <row r="7010" spans="1:3" hidden="1">
      <c r="A7010" s="65">
        <v>9009447</v>
      </c>
      <c r="B7010" s="65" t="s">
        <v>7563</v>
      </c>
      <c r="C7010" s="65" t="s">
        <v>942</v>
      </c>
    </row>
    <row r="7011" spans="1:3" hidden="1">
      <c r="A7011" s="65">
        <v>9009448</v>
      </c>
      <c r="B7011" s="65" t="s">
        <v>7564</v>
      </c>
      <c r="C7011" s="65" t="s">
        <v>942</v>
      </c>
    </row>
    <row r="7012" spans="1:3" hidden="1">
      <c r="A7012" s="65">
        <v>9009449</v>
      </c>
      <c r="B7012" s="65" t="s">
        <v>7565</v>
      </c>
      <c r="C7012" s="65" t="s">
        <v>751</v>
      </c>
    </row>
    <row r="7013" spans="1:3" hidden="1">
      <c r="A7013" s="65">
        <v>9009450</v>
      </c>
      <c r="B7013" s="65" t="s">
        <v>7566</v>
      </c>
      <c r="C7013" s="65" t="s">
        <v>850</v>
      </c>
    </row>
    <row r="7014" spans="1:3" hidden="1">
      <c r="A7014" s="65">
        <v>9009451</v>
      </c>
      <c r="B7014" s="65" t="s">
        <v>7567</v>
      </c>
      <c r="C7014" s="65" t="s">
        <v>807</v>
      </c>
    </row>
    <row r="7015" spans="1:3" hidden="1">
      <c r="A7015" s="65">
        <v>9009452</v>
      </c>
      <c r="B7015" s="65" t="s">
        <v>7568</v>
      </c>
      <c r="C7015" s="65" t="s">
        <v>3170</v>
      </c>
    </row>
    <row r="7016" spans="1:3" hidden="1">
      <c r="A7016" s="65">
        <v>9009453</v>
      </c>
      <c r="B7016" s="65" t="s">
        <v>7569</v>
      </c>
      <c r="C7016" s="65" t="s">
        <v>1181</v>
      </c>
    </row>
    <row r="7017" spans="1:3" hidden="1">
      <c r="A7017" s="65">
        <v>9009454</v>
      </c>
      <c r="B7017" s="65" t="s">
        <v>7570</v>
      </c>
      <c r="C7017" s="65" t="s">
        <v>827</v>
      </c>
    </row>
    <row r="7018" spans="1:3" hidden="1">
      <c r="A7018" s="65">
        <v>9009455</v>
      </c>
      <c r="B7018" s="65" t="s">
        <v>817</v>
      </c>
      <c r="C7018" s="65" t="s">
        <v>818</v>
      </c>
    </row>
    <row r="7019" spans="1:3" hidden="1">
      <c r="A7019" s="65">
        <v>9009456</v>
      </c>
      <c r="B7019" s="65" t="s">
        <v>7571</v>
      </c>
      <c r="C7019" s="65" t="s">
        <v>942</v>
      </c>
    </row>
    <row r="7020" spans="1:3" hidden="1">
      <c r="A7020" s="65">
        <v>9009457</v>
      </c>
      <c r="B7020" s="65" t="s">
        <v>7572</v>
      </c>
      <c r="C7020" s="65" t="s">
        <v>942</v>
      </c>
    </row>
    <row r="7021" spans="1:3" hidden="1">
      <c r="A7021" s="65">
        <v>9009458</v>
      </c>
      <c r="B7021" s="65" t="s">
        <v>7573</v>
      </c>
      <c r="C7021" s="65" t="s">
        <v>942</v>
      </c>
    </row>
    <row r="7022" spans="1:3" hidden="1">
      <c r="A7022" s="65">
        <v>9009459</v>
      </c>
      <c r="B7022" s="65" t="s">
        <v>7574</v>
      </c>
      <c r="C7022" s="65" t="s">
        <v>3170</v>
      </c>
    </row>
    <row r="7023" spans="1:3" hidden="1">
      <c r="A7023" s="65">
        <v>9009460</v>
      </c>
      <c r="B7023" s="65" t="s">
        <v>7575</v>
      </c>
      <c r="C7023" s="65" t="s">
        <v>942</v>
      </c>
    </row>
    <row r="7024" spans="1:3" hidden="1">
      <c r="A7024" s="65">
        <v>9009461</v>
      </c>
      <c r="B7024" s="65" t="s">
        <v>7576</v>
      </c>
      <c r="C7024" s="65" t="s">
        <v>942</v>
      </c>
    </row>
    <row r="7025" spans="1:3" hidden="1">
      <c r="A7025" s="65">
        <v>9009462</v>
      </c>
      <c r="B7025" s="65" t="s">
        <v>7577</v>
      </c>
      <c r="C7025" s="65" t="s">
        <v>805</v>
      </c>
    </row>
    <row r="7026" spans="1:3" hidden="1">
      <c r="A7026" s="65">
        <v>9009463</v>
      </c>
      <c r="B7026" s="65" t="s">
        <v>7578</v>
      </c>
      <c r="C7026" s="65" t="s">
        <v>775</v>
      </c>
    </row>
    <row r="7027" spans="1:3" hidden="1">
      <c r="A7027" s="65">
        <v>9009464</v>
      </c>
      <c r="B7027" s="65" t="s">
        <v>7579</v>
      </c>
      <c r="C7027" s="65" t="s">
        <v>942</v>
      </c>
    </row>
    <row r="7028" spans="1:3" hidden="1">
      <c r="A7028" s="65">
        <v>9009465</v>
      </c>
      <c r="B7028" s="65" t="s">
        <v>7580</v>
      </c>
      <c r="C7028" s="65" t="s">
        <v>741</v>
      </c>
    </row>
    <row r="7029" spans="1:3" hidden="1">
      <c r="A7029" s="65">
        <v>9009466</v>
      </c>
      <c r="B7029" s="65" t="s">
        <v>7581</v>
      </c>
      <c r="C7029" s="65" t="s">
        <v>741</v>
      </c>
    </row>
    <row r="7030" spans="1:3" hidden="1">
      <c r="A7030" s="65">
        <v>9009467</v>
      </c>
      <c r="B7030" s="65" t="s">
        <v>7582</v>
      </c>
      <c r="C7030" s="65" t="s">
        <v>741</v>
      </c>
    </row>
    <row r="7031" spans="1:3" hidden="1">
      <c r="A7031" s="65">
        <v>9009468</v>
      </c>
      <c r="B7031" s="65" t="s">
        <v>7583</v>
      </c>
      <c r="C7031" s="65" t="s">
        <v>741</v>
      </c>
    </row>
    <row r="7032" spans="1:3" hidden="1">
      <c r="A7032" s="65">
        <v>9009469</v>
      </c>
      <c r="B7032" s="65" t="s">
        <v>7584</v>
      </c>
      <c r="C7032" s="65" t="s">
        <v>797</v>
      </c>
    </row>
    <row r="7033" spans="1:3" hidden="1">
      <c r="A7033" s="65">
        <v>9009470</v>
      </c>
      <c r="B7033" s="65" t="s">
        <v>7585</v>
      </c>
      <c r="C7033" s="65" t="s">
        <v>807</v>
      </c>
    </row>
    <row r="7034" spans="1:3" hidden="1">
      <c r="A7034" s="65">
        <v>9009471</v>
      </c>
      <c r="B7034" s="65" t="s">
        <v>7586</v>
      </c>
      <c r="C7034" s="65" t="s">
        <v>807</v>
      </c>
    </row>
    <row r="7035" spans="1:3" hidden="1">
      <c r="A7035" s="65">
        <v>9009472</v>
      </c>
      <c r="B7035" s="65" t="s">
        <v>7587</v>
      </c>
      <c r="C7035" s="65" t="s">
        <v>738</v>
      </c>
    </row>
    <row r="7036" spans="1:3" hidden="1">
      <c r="A7036" s="65">
        <v>9009473</v>
      </c>
      <c r="B7036" s="65" t="s">
        <v>7588</v>
      </c>
      <c r="C7036" s="65" t="s">
        <v>738</v>
      </c>
    </row>
    <row r="7037" spans="1:3" hidden="1">
      <c r="A7037" s="65">
        <v>9009474</v>
      </c>
      <c r="B7037" s="65" t="s">
        <v>7589</v>
      </c>
      <c r="C7037" s="65" t="s">
        <v>738</v>
      </c>
    </row>
    <row r="7038" spans="1:3" hidden="1">
      <c r="A7038" s="65">
        <v>9009475</v>
      </c>
      <c r="B7038" s="65" t="s">
        <v>7590</v>
      </c>
      <c r="C7038" s="65" t="s">
        <v>745</v>
      </c>
    </row>
    <row r="7039" spans="1:3" hidden="1">
      <c r="A7039" s="65">
        <v>9009476</v>
      </c>
      <c r="B7039" s="65" t="s">
        <v>7591</v>
      </c>
      <c r="C7039" s="65" t="s">
        <v>743</v>
      </c>
    </row>
    <row r="7040" spans="1:3" hidden="1">
      <c r="A7040" s="65">
        <v>9009477</v>
      </c>
      <c r="B7040" s="65" t="s">
        <v>7592</v>
      </c>
      <c r="C7040" s="65" t="s">
        <v>1425</v>
      </c>
    </row>
    <row r="7041" spans="1:3" hidden="1">
      <c r="A7041" s="65">
        <v>9009478</v>
      </c>
      <c r="B7041" s="65" t="s">
        <v>7593</v>
      </c>
      <c r="C7041" s="65" t="s">
        <v>664</v>
      </c>
    </row>
    <row r="7042" spans="1:3" hidden="1">
      <c r="A7042" s="65">
        <v>9009479</v>
      </c>
      <c r="B7042" s="65" t="s">
        <v>7594</v>
      </c>
      <c r="C7042" s="65" t="s">
        <v>942</v>
      </c>
    </row>
    <row r="7043" spans="1:3" hidden="1">
      <c r="A7043" s="65">
        <v>9009480</v>
      </c>
      <c r="B7043" s="65" t="s">
        <v>7595</v>
      </c>
      <c r="C7043" s="65" t="s">
        <v>1181</v>
      </c>
    </row>
    <row r="7044" spans="1:3" hidden="1">
      <c r="A7044" s="65">
        <v>9009481</v>
      </c>
      <c r="B7044" s="65" t="s">
        <v>7596</v>
      </c>
      <c r="C7044" s="65" t="s">
        <v>1181</v>
      </c>
    </row>
    <row r="7045" spans="1:3" hidden="1">
      <c r="A7045" s="65">
        <v>9009482</v>
      </c>
      <c r="B7045" s="65" t="s">
        <v>7597</v>
      </c>
      <c r="C7045" s="65" t="s">
        <v>1181</v>
      </c>
    </row>
    <row r="7046" spans="1:3" hidden="1">
      <c r="A7046" s="65">
        <v>9009483</v>
      </c>
      <c r="B7046" s="65" t="s">
        <v>7598</v>
      </c>
      <c r="C7046" s="65" t="s">
        <v>942</v>
      </c>
    </row>
    <row r="7047" spans="1:3" hidden="1">
      <c r="A7047" s="65">
        <v>9009484</v>
      </c>
      <c r="B7047" s="65" t="s">
        <v>7599</v>
      </c>
      <c r="C7047" s="65" t="s">
        <v>942</v>
      </c>
    </row>
    <row r="7048" spans="1:3" hidden="1">
      <c r="A7048" s="65">
        <v>9009485</v>
      </c>
      <c r="B7048" s="65" t="s">
        <v>7600</v>
      </c>
      <c r="C7048" s="65" t="s">
        <v>942</v>
      </c>
    </row>
    <row r="7049" spans="1:3" hidden="1">
      <c r="A7049" s="65">
        <v>9009486</v>
      </c>
      <c r="B7049" s="65" t="s">
        <v>7601</v>
      </c>
      <c r="C7049" s="65" t="s">
        <v>942</v>
      </c>
    </row>
    <row r="7050" spans="1:3" hidden="1">
      <c r="A7050" s="65">
        <v>9009487</v>
      </c>
      <c r="B7050" s="65" t="s">
        <v>7602</v>
      </c>
      <c r="C7050" s="65" t="s">
        <v>942</v>
      </c>
    </row>
    <row r="7051" spans="1:3" hidden="1">
      <c r="A7051" s="65">
        <v>9009488</v>
      </c>
      <c r="B7051" s="65" t="s">
        <v>7603</v>
      </c>
      <c r="C7051" s="65" t="s">
        <v>942</v>
      </c>
    </row>
    <row r="7052" spans="1:3" hidden="1">
      <c r="A7052" s="65">
        <v>9009489</v>
      </c>
      <c r="B7052" s="65" t="s">
        <v>7604</v>
      </c>
      <c r="C7052" s="65" t="s">
        <v>942</v>
      </c>
    </row>
    <row r="7053" spans="1:3" hidden="1">
      <c r="A7053" s="65">
        <v>9009490</v>
      </c>
      <c r="B7053" s="65" t="s">
        <v>7605</v>
      </c>
      <c r="C7053" s="65" t="s">
        <v>942</v>
      </c>
    </row>
    <row r="7054" spans="1:3" hidden="1">
      <c r="A7054" s="65">
        <v>9009491</v>
      </c>
      <c r="B7054" s="65" t="s">
        <v>7606</v>
      </c>
      <c r="C7054" s="65" t="s">
        <v>942</v>
      </c>
    </row>
    <row r="7055" spans="1:3" hidden="1">
      <c r="A7055" s="65">
        <v>9009492</v>
      </c>
      <c r="B7055" s="65" t="s">
        <v>7607</v>
      </c>
      <c r="C7055" s="65" t="s">
        <v>942</v>
      </c>
    </row>
    <row r="7056" spans="1:3" hidden="1">
      <c r="A7056" s="65">
        <v>9009493</v>
      </c>
      <c r="B7056" s="65" t="s">
        <v>7608</v>
      </c>
      <c r="C7056" s="65" t="s">
        <v>942</v>
      </c>
    </row>
    <row r="7057" spans="1:3" hidden="1">
      <c r="A7057" s="65">
        <v>9009494</v>
      </c>
      <c r="B7057" s="65" t="s">
        <v>7609</v>
      </c>
      <c r="C7057" s="65" t="s">
        <v>942</v>
      </c>
    </row>
    <row r="7058" spans="1:3" hidden="1">
      <c r="A7058" s="65">
        <v>9009495</v>
      </c>
      <c r="B7058" s="65" t="s">
        <v>7610</v>
      </c>
      <c r="C7058" s="65" t="s">
        <v>1181</v>
      </c>
    </row>
    <row r="7059" spans="1:3" hidden="1">
      <c r="A7059" s="65">
        <v>9009496</v>
      </c>
      <c r="B7059" s="65" t="s">
        <v>7611</v>
      </c>
      <c r="C7059" s="65" t="s">
        <v>942</v>
      </c>
    </row>
    <row r="7060" spans="1:3" hidden="1">
      <c r="A7060" s="65">
        <v>9009497</v>
      </c>
      <c r="B7060" s="65" t="s">
        <v>7612</v>
      </c>
      <c r="C7060" s="65" t="s">
        <v>942</v>
      </c>
    </row>
    <row r="7061" spans="1:3" hidden="1">
      <c r="A7061" s="65">
        <v>9009498</v>
      </c>
      <c r="B7061" s="65" t="s">
        <v>7613</v>
      </c>
      <c r="C7061" s="65" t="s">
        <v>807</v>
      </c>
    </row>
    <row r="7062" spans="1:3" hidden="1">
      <c r="A7062" s="65">
        <v>9009499</v>
      </c>
      <c r="B7062" s="65" t="s">
        <v>7614</v>
      </c>
      <c r="C7062" s="65" t="s">
        <v>942</v>
      </c>
    </row>
    <row r="7063" spans="1:3" hidden="1">
      <c r="A7063" s="65">
        <v>9009500</v>
      </c>
      <c r="B7063" s="65" t="s">
        <v>7615</v>
      </c>
      <c r="C7063" s="65" t="s">
        <v>942</v>
      </c>
    </row>
    <row r="7064" spans="1:3" hidden="1">
      <c r="A7064" s="65">
        <v>9009501</v>
      </c>
      <c r="B7064" s="65" t="s">
        <v>7616</v>
      </c>
      <c r="C7064" s="65" t="s">
        <v>942</v>
      </c>
    </row>
    <row r="7065" spans="1:3" hidden="1">
      <c r="A7065" s="65">
        <v>9009502</v>
      </c>
      <c r="B7065" s="65" t="s">
        <v>7617</v>
      </c>
      <c r="C7065" s="65" t="s">
        <v>942</v>
      </c>
    </row>
    <row r="7066" spans="1:3" hidden="1">
      <c r="A7066" s="65">
        <v>9009503</v>
      </c>
      <c r="B7066" s="65" t="s">
        <v>7618</v>
      </c>
      <c r="C7066" s="65" t="s">
        <v>942</v>
      </c>
    </row>
    <row r="7067" spans="1:3" hidden="1">
      <c r="A7067" s="65">
        <v>9009504</v>
      </c>
      <c r="B7067" s="65" t="s">
        <v>7619</v>
      </c>
      <c r="C7067" s="65" t="s">
        <v>942</v>
      </c>
    </row>
    <row r="7068" spans="1:3" hidden="1">
      <c r="A7068" s="65">
        <v>9009505</v>
      </c>
      <c r="B7068" s="65" t="s">
        <v>7620</v>
      </c>
      <c r="C7068" s="65" t="s">
        <v>942</v>
      </c>
    </row>
    <row r="7069" spans="1:3" hidden="1">
      <c r="A7069" s="65">
        <v>9009506</v>
      </c>
      <c r="B7069" s="65" t="s">
        <v>7621</v>
      </c>
      <c r="C7069" s="65" t="s">
        <v>942</v>
      </c>
    </row>
    <row r="7070" spans="1:3" hidden="1">
      <c r="A7070" s="65">
        <v>9009507</v>
      </c>
      <c r="B7070" s="65" t="s">
        <v>7622</v>
      </c>
      <c r="C7070" s="65" t="s">
        <v>942</v>
      </c>
    </row>
    <row r="7071" spans="1:3" hidden="1">
      <c r="A7071" s="65">
        <v>9009508</v>
      </c>
      <c r="B7071" s="65" t="s">
        <v>7623</v>
      </c>
      <c r="C7071" s="65" t="s">
        <v>942</v>
      </c>
    </row>
    <row r="7072" spans="1:3" hidden="1">
      <c r="A7072" s="65">
        <v>9009509</v>
      </c>
      <c r="B7072" s="65" t="s">
        <v>7624</v>
      </c>
      <c r="C7072" s="65" t="s">
        <v>942</v>
      </c>
    </row>
    <row r="7073" spans="1:3" hidden="1">
      <c r="A7073" s="65">
        <v>9009510</v>
      </c>
      <c r="B7073" s="65" t="s">
        <v>7625</v>
      </c>
      <c r="C7073" s="65" t="s">
        <v>942</v>
      </c>
    </row>
    <row r="7074" spans="1:3" hidden="1">
      <c r="A7074" s="65">
        <v>9009511</v>
      </c>
      <c r="B7074" s="65" t="s">
        <v>7626</v>
      </c>
      <c r="C7074" s="65" t="s">
        <v>942</v>
      </c>
    </row>
    <row r="7075" spans="1:3" hidden="1">
      <c r="A7075" s="65">
        <v>9009512</v>
      </c>
      <c r="B7075" s="65" t="s">
        <v>7627</v>
      </c>
      <c r="C7075" s="65" t="s">
        <v>942</v>
      </c>
    </row>
    <row r="7076" spans="1:3" hidden="1">
      <c r="A7076" s="65">
        <v>9009513</v>
      </c>
      <c r="B7076" s="65" t="s">
        <v>7628</v>
      </c>
      <c r="C7076" s="65" t="s">
        <v>942</v>
      </c>
    </row>
    <row r="7077" spans="1:3" hidden="1">
      <c r="A7077" s="65">
        <v>9009514</v>
      </c>
      <c r="B7077" s="65" t="s">
        <v>7629</v>
      </c>
      <c r="C7077" s="65" t="s">
        <v>942</v>
      </c>
    </row>
    <row r="7078" spans="1:3" hidden="1">
      <c r="A7078" s="65">
        <v>9009515</v>
      </c>
      <c r="B7078" s="65" t="s">
        <v>7630</v>
      </c>
      <c r="C7078" s="65" t="s">
        <v>942</v>
      </c>
    </row>
    <row r="7079" spans="1:3" hidden="1">
      <c r="A7079" s="65">
        <v>9009516</v>
      </c>
      <c r="B7079" s="65" t="s">
        <v>7631</v>
      </c>
      <c r="C7079" s="65" t="s">
        <v>942</v>
      </c>
    </row>
    <row r="7080" spans="1:3" hidden="1">
      <c r="A7080" s="65">
        <v>9009517</v>
      </c>
      <c r="B7080" s="65" t="s">
        <v>7632</v>
      </c>
      <c r="C7080" s="65" t="s">
        <v>745</v>
      </c>
    </row>
    <row r="7081" spans="1:3" hidden="1">
      <c r="A7081" s="65">
        <v>9009518</v>
      </c>
      <c r="B7081" s="65" t="s">
        <v>7633</v>
      </c>
      <c r="C7081" s="65" t="s">
        <v>942</v>
      </c>
    </row>
    <row r="7082" spans="1:3" hidden="1">
      <c r="A7082" s="65">
        <v>9009519</v>
      </c>
      <c r="B7082" s="65" t="s">
        <v>7634</v>
      </c>
      <c r="C7082" s="65" t="s">
        <v>5643</v>
      </c>
    </row>
    <row r="7083" spans="1:3" hidden="1">
      <c r="A7083" s="65">
        <v>9009520</v>
      </c>
      <c r="B7083" s="65" t="s">
        <v>7635</v>
      </c>
      <c r="C7083" s="65" t="s">
        <v>741</v>
      </c>
    </row>
    <row r="7084" spans="1:3" hidden="1">
      <c r="A7084" s="65">
        <v>9009521</v>
      </c>
      <c r="B7084" s="65" t="s">
        <v>7636</v>
      </c>
      <c r="C7084" s="65" t="s">
        <v>741</v>
      </c>
    </row>
    <row r="7085" spans="1:3" hidden="1">
      <c r="A7085" s="65">
        <v>9009522</v>
      </c>
      <c r="B7085" s="65" t="s">
        <v>7637</v>
      </c>
      <c r="C7085" s="65" t="s">
        <v>741</v>
      </c>
    </row>
    <row r="7086" spans="1:3" hidden="1">
      <c r="A7086" s="65">
        <v>9009523</v>
      </c>
      <c r="B7086" s="65" t="s">
        <v>7638</v>
      </c>
      <c r="C7086" s="65" t="s">
        <v>741</v>
      </c>
    </row>
    <row r="7087" spans="1:3" hidden="1">
      <c r="A7087" s="65">
        <v>9009524</v>
      </c>
      <c r="B7087" s="65" t="s">
        <v>7639</v>
      </c>
      <c r="C7087" s="65" t="s">
        <v>741</v>
      </c>
    </row>
    <row r="7088" spans="1:3" hidden="1">
      <c r="A7088" s="65">
        <v>9009525</v>
      </c>
      <c r="B7088" s="65" t="s">
        <v>7640</v>
      </c>
      <c r="C7088" s="65" t="s">
        <v>741</v>
      </c>
    </row>
    <row r="7089" spans="1:3" hidden="1">
      <c r="A7089" s="65">
        <v>9009526</v>
      </c>
      <c r="B7089" s="65" t="s">
        <v>7641</v>
      </c>
      <c r="C7089" s="65" t="s">
        <v>1181</v>
      </c>
    </row>
    <row r="7090" spans="1:3" hidden="1">
      <c r="A7090" s="65">
        <v>9009527</v>
      </c>
      <c r="B7090" s="65" t="s">
        <v>7642</v>
      </c>
      <c r="C7090" s="65" t="s">
        <v>1181</v>
      </c>
    </row>
    <row r="7091" spans="1:3" hidden="1">
      <c r="A7091" s="65">
        <v>9009528</v>
      </c>
      <c r="B7091" s="65" t="s">
        <v>7643</v>
      </c>
      <c r="C7091" s="65" t="s">
        <v>1181</v>
      </c>
    </row>
    <row r="7092" spans="1:3" hidden="1">
      <c r="A7092" s="65">
        <v>9009529</v>
      </c>
      <c r="B7092" s="65" t="s">
        <v>7644</v>
      </c>
      <c r="C7092" s="65" t="s">
        <v>825</v>
      </c>
    </row>
    <row r="7093" spans="1:3" hidden="1">
      <c r="A7093" s="65">
        <v>9009530</v>
      </c>
      <c r="B7093" s="65" t="s">
        <v>7645</v>
      </c>
      <c r="C7093" s="65" t="s">
        <v>805</v>
      </c>
    </row>
    <row r="7094" spans="1:3" hidden="1">
      <c r="A7094" s="65">
        <v>9009531</v>
      </c>
      <c r="B7094" s="65" t="s">
        <v>7646</v>
      </c>
      <c r="C7094" s="65" t="s">
        <v>942</v>
      </c>
    </row>
    <row r="7095" spans="1:3" hidden="1">
      <c r="A7095" s="65">
        <v>9009532</v>
      </c>
      <c r="B7095" s="65" t="s">
        <v>7647</v>
      </c>
      <c r="C7095" s="65" t="s">
        <v>942</v>
      </c>
    </row>
    <row r="7096" spans="1:3" hidden="1">
      <c r="A7096" s="65">
        <v>9009533</v>
      </c>
      <c r="B7096" s="65" t="s">
        <v>7648</v>
      </c>
      <c r="C7096" s="65" t="s">
        <v>741</v>
      </c>
    </row>
    <row r="7097" spans="1:3" hidden="1">
      <c r="A7097" s="65">
        <v>9009534</v>
      </c>
      <c r="B7097" s="65" t="s">
        <v>7649</v>
      </c>
      <c r="C7097" s="65" t="s">
        <v>850</v>
      </c>
    </row>
    <row r="7098" spans="1:3" hidden="1">
      <c r="A7098" s="65">
        <v>9009535</v>
      </c>
      <c r="B7098" s="65" t="s">
        <v>7650</v>
      </c>
      <c r="C7098" s="65" t="s">
        <v>1181</v>
      </c>
    </row>
    <row r="7099" spans="1:3" hidden="1">
      <c r="A7099" s="65">
        <v>9009536</v>
      </c>
      <c r="B7099" s="65" t="s">
        <v>7651</v>
      </c>
      <c r="C7099" s="65" t="s">
        <v>732</v>
      </c>
    </row>
    <row r="7100" spans="1:3" hidden="1">
      <c r="A7100" s="65">
        <v>9009537</v>
      </c>
      <c r="B7100" s="65" t="s">
        <v>7652</v>
      </c>
      <c r="C7100" s="65" t="s">
        <v>732</v>
      </c>
    </row>
    <row r="7101" spans="1:3" hidden="1">
      <c r="A7101" s="65">
        <v>9009538</v>
      </c>
      <c r="B7101" s="65" t="s">
        <v>7653</v>
      </c>
      <c r="C7101" s="65" t="s">
        <v>719</v>
      </c>
    </row>
    <row r="7102" spans="1:3" hidden="1">
      <c r="A7102" s="65">
        <v>9009539</v>
      </c>
      <c r="B7102" s="65" t="s">
        <v>7654</v>
      </c>
      <c r="C7102" s="65" t="s">
        <v>664</v>
      </c>
    </row>
    <row r="7103" spans="1:3" hidden="1">
      <c r="A7103" s="65">
        <v>9009540</v>
      </c>
      <c r="B7103" s="65" t="s">
        <v>812</v>
      </c>
      <c r="C7103" s="65" t="s">
        <v>813</v>
      </c>
    </row>
    <row r="7104" spans="1:3" hidden="1">
      <c r="A7104" s="65">
        <v>9009541</v>
      </c>
      <c r="B7104" s="65" t="s">
        <v>7655</v>
      </c>
      <c r="C7104" s="65" t="s">
        <v>721</v>
      </c>
    </row>
    <row r="7105" spans="1:3" hidden="1">
      <c r="A7105" s="65">
        <v>9009542</v>
      </c>
      <c r="B7105" s="65" t="s">
        <v>7655</v>
      </c>
      <c r="C7105" s="65" t="s">
        <v>721</v>
      </c>
    </row>
    <row r="7106" spans="1:3" hidden="1">
      <c r="A7106" s="65">
        <v>9009543</v>
      </c>
      <c r="B7106" s="65" t="s">
        <v>7656</v>
      </c>
      <c r="C7106" s="65" t="s">
        <v>864</v>
      </c>
    </row>
    <row r="7107" spans="1:3" hidden="1">
      <c r="A7107" s="65">
        <v>9009544</v>
      </c>
      <c r="B7107" s="65" t="s">
        <v>7657</v>
      </c>
      <c r="C7107" s="65" t="s">
        <v>942</v>
      </c>
    </row>
    <row r="7108" spans="1:3" hidden="1">
      <c r="A7108" s="65">
        <v>9009545</v>
      </c>
      <c r="B7108" s="65" t="s">
        <v>7658</v>
      </c>
      <c r="C7108" s="65" t="s">
        <v>840</v>
      </c>
    </row>
    <row r="7109" spans="1:3" hidden="1">
      <c r="A7109" s="65">
        <v>9009546</v>
      </c>
      <c r="B7109" s="65" t="s">
        <v>7659</v>
      </c>
      <c r="C7109" s="65" t="s">
        <v>942</v>
      </c>
    </row>
    <row r="7110" spans="1:3" hidden="1">
      <c r="A7110" s="65">
        <v>9009547</v>
      </c>
      <c r="B7110" s="65" t="s">
        <v>7660</v>
      </c>
      <c r="C7110" s="65" t="s">
        <v>738</v>
      </c>
    </row>
    <row r="7111" spans="1:3" hidden="1">
      <c r="A7111" s="65">
        <v>9009548</v>
      </c>
      <c r="B7111" s="65" t="s">
        <v>7661</v>
      </c>
      <c r="C7111" s="65" t="s">
        <v>738</v>
      </c>
    </row>
    <row r="7112" spans="1:3" hidden="1">
      <c r="A7112" s="65">
        <v>9009549</v>
      </c>
      <c r="B7112" s="65" t="s">
        <v>7662</v>
      </c>
      <c r="C7112" s="65" t="s">
        <v>942</v>
      </c>
    </row>
    <row r="7113" spans="1:3" hidden="1">
      <c r="A7113" s="65">
        <v>9009550</v>
      </c>
      <c r="B7113" s="65" t="s">
        <v>7663</v>
      </c>
      <c r="C7113" s="65" t="s">
        <v>942</v>
      </c>
    </row>
    <row r="7114" spans="1:3" hidden="1">
      <c r="A7114" s="65">
        <v>9009551</v>
      </c>
      <c r="B7114" s="65" t="s">
        <v>7664</v>
      </c>
      <c r="C7114" s="65" t="s">
        <v>942</v>
      </c>
    </row>
    <row r="7115" spans="1:3" hidden="1">
      <c r="A7115" s="65">
        <v>9009552</v>
      </c>
      <c r="B7115" s="65" t="s">
        <v>7665</v>
      </c>
      <c r="C7115" s="65" t="s">
        <v>942</v>
      </c>
    </row>
    <row r="7116" spans="1:3" hidden="1">
      <c r="A7116" s="65">
        <v>9009553</v>
      </c>
      <c r="B7116" s="65" t="s">
        <v>7666</v>
      </c>
      <c r="C7116" s="65" t="s">
        <v>942</v>
      </c>
    </row>
    <row r="7117" spans="1:3" hidden="1">
      <c r="A7117" s="65">
        <v>9009554</v>
      </c>
      <c r="B7117" s="65" t="s">
        <v>7667</v>
      </c>
      <c r="C7117" s="65" t="s">
        <v>942</v>
      </c>
    </row>
    <row r="7118" spans="1:3" hidden="1">
      <c r="A7118" s="65">
        <v>9009555</v>
      </c>
      <c r="B7118" s="65" t="s">
        <v>7668</v>
      </c>
      <c r="C7118" s="65" t="s">
        <v>732</v>
      </c>
    </row>
    <row r="7119" spans="1:3" hidden="1">
      <c r="A7119" s="65">
        <v>9009556</v>
      </c>
      <c r="B7119" s="65" t="s">
        <v>7669</v>
      </c>
      <c r="C7119" s="65" t="s">
        <v>942</v>
      </c>
    </row>
    <row r="7120" spans="1:3" hidden="1">
      <c r="A7120" s="65">
        <v>9009557</v>
      </c>
      <c r="B7120" s="65" t="s">
        <v>7670</v>
      </c>
      <c r="C7120" s="65" t="s">
        <v>942</v>
      </c>
    </row>
    <row r="7121" spans="1:3" hidden="1">
      <c r="A7121" s="65">
        <v>9009558</v>
      </c>
      <c r="B7121" s="65" t="s">
        <v>7671</v>
      </c>
      <c r="C7121" s="65" t="s">
        <v>1181</v>
      </c>
    </row>
    <row r="7122" spans="1:3" hidden="1">
      <c r="A7122" s="65">
        <v>9009559</v>
      </c>
      <c r="B7122" s="65" t="s">
        <v>7672</v>
      </c>
      <c r="C7122" s="65" t="s">
        <v>1181</v>
      </c>
    </row>
    <row r="7123" spans="1:3" hidden="1">
      <c r="A7123" s="65">
        <v>9009560</v>
      </c>
      <c r="B7123" s="65" t="s">
        <v>7673</v>
      </c>
      <c r="C7123" s="65" t="s">
        <v>850</v>
      </c>
    </row>
    <row r="7124" spans="1:3" hidden="1">
      <c r="A7124" s="65">
        <v>9009561</v>
      </c>
      <c r="B7124" s="65" t="s">
        <v>7674</v>
      </c>
      <c r="C7124" s="65" t="s">
        <v>743</v>
      </c>
    </row>
    <row r="7125" spans="1:3" hidden="1">
      <c r="A7125" s="65">
        <v>9009562</v>
      </c>
      <c r="B7125" s="65" t="s">
        <v>7675</v>
      </c>
      <c r="C7125" s="65" t="s">
        <v>793</v>
      </c>
    </row>
    <row r="7126" spans="1:3" hidden="1">
      <c r="A7126" s="65">
        <v>9009563</v>
      </c>
      <c r="B7126" s="65" t="s">
        <v>7676</v>
      </c>
      <c r="C7126" s="65" t="s">
        <v>793</v>
      </c>
    </row>
    <row r="7127" spans="1:3" hidden="1">
      <c r="A7127" s="65">
        <v>9009564</v>
      </c>
      <c r="B7127" s="65" t="s">
        <v>7677</v>
      </c>
      <c r="C7127" s="65" t="s">
        <v>793</v>
      </c>
    </row>
    <row r="7128" spans="1:3" hidden="1">
      <c r="A7128" s="65">
        <v>9009565</v>
      </c>
      <c r="B7128" s="65" t="s">
        <v>7678</v>
      </c>
      <c r="C7128" s="65" t="s">
        <v>793</v>
      </c>
    </row>
    <row r="7129" spans="1:3" hidden="1">
      <c r="A7129" s="65">
        <v>9009566</v>
      </c>
      <c r="B7129" s="65" t="s">
        <v>7679</v>
      </c>
      <c r="C7129" s="65" t="s">
        <v>793</v>
      </c>
    </row>
    <row r="7130" spans="1:3" hidden="1">
      <c r="A7130" s="65">
        <v>9009567</v>
      </c>
      <c r="B7130" s="65" t="s">
        <v>7680</v>
      </c>
      <c r="C7130" s="65" t="s">
        <v>677</v>
      </c>
    </row>
    <row r="7131" spans="1:3" hidden="1">
      <c r="A7131" s="65">
        <v>9009568</v>
      </c>
      <c r="B7131" s="65" t="s">
        <v>7681</v>
      </c>
      <c r="C7131" s="65" t="s">
        <v>677</v>
      </c>
    </row>
    <row r="7132" spans="1:3" hidden="1">
      <c r="A7132" s="65">
        <v>9009569</v>
      </c>
      <c r="B7132" s="65" t="s">
        <v>7682</v>
      </c>
      <c r="C7132" s="65" t="s">
        <v>1181</v>
      </c>
    </row>
    <row r="7133" spans="1:3" hidden="1">
      <c r="A7133" s="65">
        <v>9009579</v>
      </c>
      <c r="B7133" s="65" t="s">
        <v>7683</v>
      </c>
      <c r="C7133" s="65" t="s">
        <v>793</v>
      </c>
    </row>
    <row r="7134" spans="1:3" hidden="1">
      <c r="A7134" s="65">
        <v>9009580</v>
      </c>
      <c r="B7134" s="65" t="s">
        <v>7684</v>
      </c>
      <c r="C7134" s="65" t="s">
        <v>793</v>
      </c>
    </row>
    <row r="7135" spans="1:3" hidden="1">
      <c r="A7135" s="65">
        <v>9009581</v>
      </c>
      <c r="B7135" s="65" t="s">
        <v>7685</v>
      </c>
      <c r="C7135" s="65" t="s">
        <v>793</v>
      </c>
    </row>
    <row r="7136" spans="1:3" hidden="1">
      <c r="A7136" s="65">
        <v>9009582</v>
      </c>
      <c r="B7136" s="65" t="s">
        <v>7686</v>
      </c>
      <c r="C7136" s="65" t="s">
        <v>793</v>
      </c>
    </row>
    <row r="7137" spans="1:3" hidden="1">
      <c r="A7137" s="65">
        <v>9009583</v>
      </c>
      <c r="B7137" s="65" t="s">
        <v>7687</v>
      </c>
      <c r="C7137" s="65" t="s">
        <v>793</v>
      </c>
    </row>
    <row r="7138" spans="1:3" hidden="1">
      <c r="A7138" s="65">
        <v>9009584</v>
      </c>
      <c r="B7138" s="65" t="s">
        <v>7688</v>
      </c>
      <c r="C7138" s="65" t="s">
        <v>793</v>
      </c>
    </row>
    <row r="7139" spans="1:3" hidden="1">
      <c r="A7139" s="65">
        <v>9009585</v>
      </c>
      <c r="B7139" s="65" t="s">
        <v>7689</v>
      </c>
      <c r="C7139" s="65" t="s">
        <v>793</v>
      </c>
    </row>
    <row r="7140" spans="1:3" hidden="1">
      <c r="A7140" s="65">
        <v>9009586</v>
      </c>
      <c r="B7140" s="65" t="s">
        <v>7690</v>
      </c>
      <c r="C7140" s="65" t="s">
        <v>1181</v>
      </c>
    </row>
    <row r="7141" spans="1:3" hidden="1">
      <c r="A7141" s="65">
        <v>9009587</v>
      </c>
      <c r="B7141" s="65" t="s">
        <v>7691</v>
      </c>
      <c r="C7141" s="65" t="s">
        <v>738</v>
      </c>
    </row>
    <row r="7142" spans="1:3" hidden="1">
      <c r="A7142" s="65">
        <v>9009588</v>
      </c>
      <c r="B7142" s="65" t="s">
        <v>7692</v>
      </c>
      <c r="C7142" s="65" t="s">
        <v>1181</v>
      </c>
    </row>
    <row r="7143" spans="1:3" hidden="1">
      <c r="A7143" s="65">
        <v>9009589</v>
      </c>
      <c r="B7143" s="65" t="s">
        <v>7693</v>
      </c>
      <c r="C7143" s="65" t="s">
        <v>741</v>
      </c>
    </row>
    <row r="7144" spans="1:3" hidden="1">
      <c r="A7144" s="65">
        <v>9009590</v>
      </c>
      <c r="B7144" s="65" t="s">
        <v>7694</v>
      </c>
      <c r="C7144" s="65" t="s">
        <v>741</v>
      </c>
    </row>
    <row r="7145" spans="1:3" hidden="1">
      <c r="A7145" s="65">
        <v>9009591</v>
      </c>
      <c r="B7145" s="65" t="s">
        <v>7695</v>
      </c>
      <c r="C7145" s="65" t="s">
        <v>741</v>
      </c>
    </row>
    <row r="7146" spans="1:3" hidden="1">
      <c r="A7146" s="65">
        <v>9009592</v>
      </c>
      <c r="B7146" s="65" t="s">
        <v>7696</v>
      </c>
      <c r="C7146" s="65" t="s">
        <v>741</v>
      </c>
    </row>
    <row r="7147" spans="1:3" hidden="1">
      <c r="A7147" s="65">
        <v>9009599</v>
      </c>
      <c r="B7147" s="65" t="s">
        <v>7697</v>
      </c>
      <c r="C7147" s="65" t="s">
        <v>775</v>
      </c>
    </row>
    <row r="7148" spans="1:3" hidden="1">
      <c r="A7148" s="65">
        <v>9009600</v>
      </c>
      <c r="B7148" s="65" t="s">
        <v>7698</v>
      </c>
      <c r="C7148" s="65" t="s">
        <v>793</v>
      </c>
    </row>
    <row r="7149" spans="1:3" hidden="1">
      <c r="A7149" s="65">
        <v>9009609</v>
      </c>
      <c r="B7149" s="65" t="s">
        <v>7699</v>
      </c>
      <c r="C7149" s="65" t="s">
        <v>738</v>
      </c>
    </row>
    <row r="7150" spans="1:3" hidden="1">
      <c r="A7150" s="65">
        <v>9009619</v>
      </c>
      <c r="B7150" s="65" t="s">
        <v>7700</v>
      </c>
      <c r="C7150" s="65" t="s">
        <v>805</v>
      </c>
    </row>
    <row r="7151" spans="1:3" hidden="1">
      <c r="A7151" s="65">
        <v>9009620</v>
      </c>
      <c r="B7151" s="65" t="s">
        <v>7701</v>
      </c>
      <c r="C7151" s="65" t="s">
        <v>1181</v>
      </c>
    </row>
    <row r="7152" spans="1:3" hidden="1">
      <c r="A7152" s="65">
        <v>9009621</v>
      </c>
      <c r="B7152" s="65" t="s">
        <v>7702</v>
      </c>
      <c r="C7152" s="65" t="s">
        <v>738</v>
      </c>
    </row>
    <row r="7153" spans="1:3" hidden="1">
      <c r="A7153" s="65">
        <v>9009622</v>
      </c>
      <c r="B7153" s="65" t="s">
        <v>7703</v>
      </c>
      <c r="C7153" s="65" t="s">
        <v>738</v>
      </c>
    </row>
    <row r="7154" spans="1:3" hidden="1">
      <c r="A7154" s="65">
        <v>9009623</v>
      </c>
      <c r="B7154" s="65" t="s">
        <v>7704</v>
      </c>
      <c r="C7154" s="65" t="s">
        <v>738</v>
      </c>
    </row>
    <row r="7155" spans="1:3" hidden="1">
      <c r="A7155" s="65">
        <v>9009624</v>
      </c>
      <c r="B7155" s="65" t="s">
        <v>7705</v>
      </c>
      <c r="C7155" s="65" t="s">
        <v>738</v>
      </c>
    </row>
    <row r="7156" spans="1:3" hidden="1">
      <c r="A7156" s="65">
        <v>9009625</v>
      </c>
      <c r="B7156" s="65" t="s">
        <v>7706</v>
      </c>
      <c r="C7156" s="65" t="s">
        <v>738</v>
      </c>
    </row>
    <row r="7157" spans="1:3" hidden="1">
      <c r="A7157" s="65">
        <v>9009626</v>
      </c>
      <c r="B7157" s="65" t="s">
        <v>7707</v>
      </c>
      <c r="C7157" s="65" t="s">
        <v>738</v>
      </c>
    </row>
    <row r="7158" spans="1:3" hidden="1">
      <c r="A7158" s="65">
        <v>9009627</v>
      </c>
      <c r="B7158" s="65" t="s">
        <v>7708</v>
      </c>
      <c r="C7158" s="65" t="s">
        <v>738</v>
      </c>
    </row>
    <row r="7159" spans="1:3" hidden="1">
      <c r="A7159" s="65">
        <v>9009628</v>
      </c>
      <c r="B7159" s="65" t="s">
        <v>7709</v>
      </c>
      <c r="C7159" s="65" t="s">
        <v>738</v>
      </c>
    </row>
    <row r="7160" spans="1:3" hidden="1">
      <c r="A7160" s="65">
        <v>9009629</v>
      </c>
      <c r="B7160" s="65" t="s">
        <v>7710</v>
      </c>
      <c r="C7160" s="65" t="s">
        <v>805</v>
      </c>
    </row>
    <row r="7161" spans="1:3" hidden="1">
      <c r="A7161" s="65">
        <v>9009630</v>
      </c>
      <c r="B7161" s="65" t="s">
        <v>7711</v>
      </c>
      <c r="C7161" s="65" t="s">
        <v>805</v>
      </c>
    </row>
    <row r="7162" spans="1:3" hidden="1">
      <c r="A7162" s="65">
        <v>9009631</v>
      </c>
      <c r="B7162" s="65" t="s">
        <v>7712</v>
      </c>
      <c r="C7162" s="65" t="s">
        <v>805</v>
      </c>
    </row>
    <row r="7163" spans="1:3" hidden="1">
      <c r="A7163" s="65">
        <v>9009632</v>
      </c>
      <c r="B7163" s="65" t="s">
        <v>7713</v>
      </c>
      <c r="C7163" s="65" t="s">
        <v>805</v>
      </c>
    </row>
    <row r="7164" spans="1:3" hidden="1">
      <c r="A7164" s="65">
        <v>9009633</v>
      </c>
      <c r="B7164" s="65" t="s">
        <v>7714</v>
      </c>
      <c r="C7164" s="65" t="s">
        <v>805</v>
      </c>
    </row>
    <row r="7165" spans="1:3" hidden="1">
      <c r="A7165" s="65">
        <v>9009634</v>
      </c>
      <c r="B7165" s="65" t="s">
        <v>7715</v>
      </c>
      <c r="C7165" s="65" t="s">
        <v>805</v>
      </c>
    </row>
    <row r="7166" spans="1:3" hidden="1">
      <c r="A7166" s="65">
        <v>9009635</v>
      </c>
      <c r="B7166" s="65" t="s">
        <v>7716</v>
      </c>
      <c r="C7166" s="65" t="s">
        <v>805</v>
      </c>
    </row>
    <row r="7167" spans="1:3" hidden="1">
      <c r="A7167" s="65">
        <v>9009636</v>
      </c>
      <c r="B7167" s="65" t="s">
        <v>7717</v>
      </c>
      <c r="C7167" s="65" t="s">
        <v>805</v>
      </c>
    </row>
    <row r="7168" spans="1:3" hidden="1">
      <c r="A7168" s="65">
        <v>9009637</v>
      </c>
      <c r="B7168" s="65" t="s">
        <v>7718</v>
      </c>
      <c r="C7168" s="65" t="s">
        <v>5068</v>
      </c>
    </row>
    <row r="7169" spans="1:3" hidden="1">
      <c r="A7169" s="65">
        <v>9009638</v>
      </c>
      <c r="B7169" s="65" t="s">
        <v>7719</v>
      </c>
      <c r="C7169" s="65" t="s">
        <v>5068</v>
      </c>
    </row>
    <row r="7170" spans="1:3" hidden="1">
      <c r="A7170" s="65">
        <v>9009639</v>
      </c>
      <c r="B7170" s="65" t="s">
        <v>7720</v>
      </c>
      <c r="C7170" s="65" t="s">
        <v>5068</v>
      </c>
    </row>
    <row r="7171" spans="1:3" hidden="1">
      <c r="A7171" s="65">
        <v>9009640</v>
      </c>
      <c r="B7171" s="65" t="s">
        <v>7721</v>
      </c>
      <c r="C7171" s="65" t="s">
        <v>5068</v>
      </c>
    </row>
    <row r="7172" spans="1:3" hidden="1">
      <c r="A7172" s="65">
        <v>9009649</v>
      </c>
      <c r="B7172" s="65" t="s">
        <v>7722</v>
      </c>
      <c r="C7172" s="65" t="s">
        <v>793</v>
      </c>
    </row>
    <row r="7173" spans="1:3" hidden="1">
      <c r="A7173" s="65">
        <v>9009650</v>
      </c>
      <c r="B7173" s="65" t="s">
        <v>7723</v>
      </c>
      <c r="C7173" s="65" t="s">
        <v>793</v>
      </c>
    </row>
    <row r="7174" spans="1:3" hidden="1">
      <c r="A7174" s="65">
        <v>9009651</v>
      </c>
      <c r="B7174" s="65" t="s">
        <v>7724</v>
      </c>
      <c r="C7174" s="65" t="s">
        <v>793</v>
      </c>
    </row>
    <row r="7175" spans="1:3" hidden="1">
      <c r="A7175" s="65">
        <v>9009652</v>
      </c>
      <c r="B7175" s="65" t="s">
        <v>7725</v>
      </c>
      <c r="C7175" s="65" t="s">
        <v>793</v>
      </c>
    </row>
    <row r="7176" spans="1:3" hidden="1">
      <c r="A7176" s="65">
        <v>9009653</v>
      </c>
      <c r="B7176" s="65" t="s">
        <v>7726</v>
      </c>
      <c r="C7176" s="65" t="s">
        <v>793</v>
      </c>
    </row>
    <row r="7177" spans="1:3" hidden="1">
      <c r="A7177" s="65">
        <v>9009654</v>
      </c>
      <c r="B7177" s="65" t="s">
        <v>7727</v>
      </c>
      <c r="C7177" s="65" t="s">
        <v>793</v>
      </c>
    </row>
    <row r="7178" spans="1:3" hidden="1">
      <c r="A7178" s="65">
        <v>9009655</v>
      </c>
      <c r="B7178" s="65" t="s">
        <v>7728</v>
      </c>
      <c r="C7178" s="65" t="s">
        <v>793</v>
      </c>
    </row>
    <row r="7179" spans="1:3" hidden="1">
      <c r="A7179" s="65">
        <v>9009656</v>
      </c>
      <c r="B7179" s="65" t="s">
        <v>7729</v>
      </c>
      <c r="C7179" s="65" t="s">
        <v>793</v>
      </c>
    </row>
    <row r="7180" spans="1:3" hidden="1">
      <c r="A7180" s="65">
        <v>9009657</v>
      </c>
      <c r="B7180" s="65" t="s">
        <v>7730</v>
      </c>
      <c r="C7180" s="65" t="s">
        <v>747</v>
      </c>
    </row>
    <row r="7181" spans="1:3" hidden="1">
      <c r="A7181" s="65">
        <v>9009658</v>
      </c>
      <c r="B7181" s="65" t="s">
        <v>7731</v>
      </c>
      <c r="C7181" s="65" t="s">
        <v>793</v>
      </c>
    </row>
    <row r="7182" spans="1:3" hidden="1">
      <c r="A7182" s="65">
        <v>9009659</v>
      </c>
      <c r="B7182" s="65" t="s">
        <v>7732</v>
      </c>
      <c r="C7182" s="65" t="s">
        <v>677</v>
      </c>
    </row>
    <row r="7183" spans="1:3" hidden="1">
      <c r="A7183" s="65">
        <v>9009660</v>
      </c>
      <c r="B7183" s="65" t="s">
        <v>7733</v>
      </c>
      <c r="C7183" s="65" t="s">
        <v>793</v>
      </c>
    </row>
    <row r="7184" spans="1:3" hidden="1">
      <c r="A7184" s="65">
        <v>9009661</v>
      </c>
      <c r="B7184" s="65" t="s">
        <v>7734</v>
      </c>
      <c r="C7184" s="65" t="s">
        <v>732</v>
      </c>
    </row>
    <row r="7185" spans="1:3" hidden="1">
      <c r="A7185" s="65">
        <v>9009662</v>
      </c>
      <c r="B7185" s="65" t="s">
        <v>7735</v>
      </c>
      <c r="C7185" s="65" t="s">
        <v>1036</v>
      </c>
    </row>
    <row r="7186" spans="1:3" hidden="1">
      <c r="A7186" s="65">
        <v>9009669</v>
      </c>
      <c r="B7186" s="65" t="s">
        <v>7736</v>
      </c>
      <c r="C7186" s="65" t="s">
        <v>677</v>
      </c>
    </row>
    <row r="7187" spans="1:3" hidden="1">
      <c r="A7187" s="65">
        <v>9009670</v>
      </c>
      <c r="B7187" s="65" t="s">
        <v>7737</v>
      </c>
      <c r="C7187" s="65" t="s">
        <v>743</v>
      </c>
    </row>
    <row r="7188" spans="1:3" hidden="1">
      <c r="A7188" s="65">
        <v>9009671</v>
      </c>
      <c r="B7188" s="65" t="s">
        <v>7738</v>
      </c>
      <c r="C7188" s="65" t="s">
        <v>743</v>
      </c>
    </row>
    <row r="7189" spans="1:3" hidden="1">
      <c r="A7189" s="65">
        <v>9009672</v>
      </c>
      <c r="B7189" s="65" t="s">
        <v>7739</v>
      </c>
      <c r="C7189" s="65" t="s">
        <v>743</v>
      </c>
    </row>
    <row r="7190" spans="1:3" hidden="1">
      <c r="A7190" s="65">
        <v>9009673</v>
      </c>
      <c r="B7190" s="65" t="s">
        <v>7740</v>
      </c>
      <c r="C7190" s="65" t="s">
        <v>743</v>
      </c>
    </row>
    <row r="7191" spans="1:3" hidden="1">
      <c r="A7191" s="65">
        <v>9009674</v>
      </c>
      <c r="B7191" s="65" t="s">
        <v>7741</v>
      </c>
      <c r="C7191" s="65" t="s">
        <v>743</v>
      </c>
    </row>
    <row r="7192" spans="1:3" hidden="1">
      <c r="A7192" s="65">
        <v>9009675</v>
      </c>
      <c r="B7192" s="65" t="s">
        <v>7742</v>
      </c>
      <c r="C7192" s="65" t="s">
        <v>743</v>
      </c>
    </row>
    <row r="7193" spans="1:3" hidden="1">
      <c r="A7193" s="65">
        <v>9009676</v>
      </c>
      <c r="B7193" s="65" t="s">
        <v>7743</v>
      </c>
      <c r="C7193" s="65" t="s">
        <v>743</v>
      </c>
    </row>
    <row r="7194" spans="1:3" hidden="1">
      <c r="A7194" s="65">
        <v>9009677</v>
      </c>
      <c r="B7194" s="65" t="s">
        <v>7744</v>
      </c>
      <c r="C7194" s="65" t="s">
        <v>743</v>
      </c>
    </row>
    <row r="7195" spans="1:3" hidden="1">
      <c r="A7195" s="65">
        <v>9009678</v>
      </c>
      <c r="B7195" s="65" t="s">
        <v>7745</v>
      </c>
      <c r="C7195" s="65" t="s">
        <v>743</v>
      </c>
    </row>
    <row r="7196" spans="1:3" hidden="1">
      <c r="A7196" s="65">
        <v>9009679</v>
      </c>
      <c r="B7196" s="65" t="s">
        <v>7746</v>
      </c>
      <c r="C7196" s="65" t="s">
        <v>793</v>
      </c>
    </row>
    <row r="7197" spans="1:3" hidden="1">
      <c r="A7197" s="65">
        <v>9009680</v>
      </c>
      <c r="B7197" s="65" t="s">
        <v>7747</v>
      </c>
      <c r="C7197" s="65" t="s">
        <v>738</v>
      </c>
    </row>
    <row r="7198" spans="1:3" hidden="1">
      <c r="A7198" s="65">
        <v>9009681</v>
      </c>
      <c r="B7198" s="65" t="s">
        <v>7748</v>
      </c>
      <c r="C7198" s="65" t="s">
        <v>793</v>
      </c>
    </row>
    <row r="7199" spans="1:3" hidden="1">
      <c r="A7199" s="65">
        <v>9009682</v>
      </c>
      <c r="B7199" s="65" t="s">
        <v>7749</v>
      </c>
      <c r="C7199" s="65" t="s">
        <v>793</v>
      </c>
    </row>
    <row r="7200" spans="1:3" hidden="1">
      <c r="A7200" s="65">
        <v>9009683</v>
      </c>
      <c r="B7200" s="65" t="s">
        <v>7750</v>
      </c>
      <c r="C7200" s="65" t="s">
        <v>738</v>
      </c>
    </row>
    <row r="7201" spans="1:3" hidden="1">
      <c r="A7201" s="65">
        <v>9009684</v>
      </c>
      <c r="B7201" s="65" t="s">
        <v>7751</v>
      </c>
      <c r="C7201" s="65" t="s">
        <v>1181</v>
      </c>
    </row>
    <row r="7202" spans="1:3" hidden="1">
      <c r="A7202" s="65">
        <v>9009685</v>
      </c>
      <c r="B7202" s="65" t="s">
        <v>7752</v>
      </c>
      <c r="C7202" s="65" t="s">
        <v>5068</v>
      </c>
    </row>
    <row r="7203" spans="1:3" hidden="1">
      <c r="A7203" s="65">
        <v>9009686</v>
      </c>
      <c r="B7203" s="65" t="s">
        <v>7753</v>
      </c>
      <c r="C7203" s="65" t="s">
        <v>5068</v>
      </c>
    </row>
    <row r="7204" spans="1:3" hidden="1">
      <c r="A7204" s="65">
        <v>9009687</v>
      </c>
      <c r="B7204" s="65" t="s">
        <v>7754</v>
      </c>
      <c r="C7204" s="65" t="s">
        <v>942</v>
      </c>
    </row>
    <row r="7205" spans="1:3" hidden="1">
      <c r="A7205" s="65">
        <v>9009688</v>
      </c>
      <c r="B7205" s="65" t="s">
        <v>7755</v>
      </c>
      <c r="C7205" s="65" t="s">
        <v>942</v>
      </c>
    </row>
    <row r="7206" spans="1:3" hidden="1">
      <c r="A7206" s="65">
        <v>9009689</v>
      </c>
      <c r="B7206" s="65" t="s">
        <v>7756</v>
      </c>
      <c r="C7206" s="65" t="s">
        <v>793</v>
      </c>
    </row>
    <row r="7207" spans="1:3" hidden="1">
      <c r="A7207" s="65">
        <v>9009690</v>
      </c>
      <c r="B7207" s="65" t="s">
        <v>7757</v>
      </c>
      <c r="C7207" s="65" t="s">
        <v>1181</v>
      </c>
    </row>
    <row r="7208" spans="1:3" hidden="1">
      <c r="A7208" s="65">
        <v>9009691</v>
      </c>
      <c r="B7208" s="65" t="s">
        <v>7758</v>
      </c>
      <c r="C7208" s="65" t="s">
        <v>5068</v>
      </c>
    </row>
    <row r="7209" spans="1:3" hidden="1">
      <c r="A7209" s="65">
        <v>9009692</v>
      </c>
      <c r="B7209" s="65" t="s">
        <v>7759</v>
      </c>
      <c r="C7209" s="65" t="s">
        <v>3170</v>
      </c>
    </row>
    <row r="7210" spans="1:3" hidden="1">
      <c r="A7210" s="65">
        <v>9009693</v>
      </c>
      <c r="B7210" s="65" t="s">
        <v>7760</v>
      </c>
      <c r="C7210" s="65" t="s">
        <v>3170</v>
      </c>
    </row>
    <row r="7211" spans="1:3" hidden="1">
      <c r="A7211" s="65">
        <v>9009694</v>
      </c>
      <c r="B7211" s="65" t="s">
        <v>7761</v>
      </c>
      <c r="C7211" s="65" t="s">
        <v>3170</v>
      </c>
    </row>
    <row r="7212" spans="1:3" hidden="1">
      <c r="A7212" s="65">
        <v>9009695</v>
      </c>
      <c r="B7212" s="65" t="s">
        <v>7762</v>
      </c>
      <c r="C7212" s="65" t="s">
        <v>3170</v>
      </c>
    </row>
    <row r="7213" spans="1:3" hidden="1">
      <c r="A7213" s="65">
        <v>9009696</v>
      </c>
      <c r="B7213" s="65" t="s">
        <v>7763</v>
      </c>
      <c r="C7213" s="65" t="s">
        <v>3170</v>
      </c>
    </row>
    <row r="7214" spans="1:3" hidden="1">
      <c r="A7214" s="65">
        <v>9009697</v>
      </c>
      <c r="B7214" s="65" t="s">
        <v>7764</v>
      </c>
      <c r="C7214" s="65" t="s">
        <v>3170</v>
      </c>
    </row>
    <row r="7215" spans="1:3" hidden="1">
      <c r="A7215" s="65">
        <v>9009698</v>
      </c>
      <c r="B7215" s="65" t="s">
        <v>7765</v>
      </c>
      <c r="C7215" s="65" t="s">
        <v>3170</v>
      </c>
    </row>
    <row r="7216" spans="1:3" hidden="1">
      <c r="A7216" s="65">
        <v>9009699</v>
      </c>
      <c r="B7216" s="65" t="s">
        <v>7766</v>
      </c>
      <c r="C7216" s="65" t="s">
        <v>793</v>
      </c>
    </row>
    <row r="7217" spans="1:3" hidden="1">
      <c r="A7217" s="65">
        <v>9009700</v>
      </c>
      <c r="B7217" s="65" t="s">
        <v>7767</v>
      </c>
      <c r="C7217" s="65" t="s">
        <v>793</v>
      </c>
    </row>
    <row r="7218" spans="1:3" hidden="1">
      <c r="A7218" s="65">
        <v>9009701</v>
      </c>
      <c r="B7218" s="65" t="s">
        <v>7768</v>
      </c>
      <c r="C7218" s="65" t="s">
        <v>793</v>
      </c>
    </row>
    <row r="7219" spans="1:3" hidden="1">
      <c r="A7219" s="65">
        <v>9009702</v>
      </c>
      <c r="B7219" s="65" t="s">
        <v>7769</v>
      </c>
      <c r="C7219" s="65" t="s">
        <v>793</v>
      </c>
    </row>
    <row r="7220" spans="1:3" hidden="1">
      <c r="A7220" s="65">
        <v>9009703</v>
      </c>
      <c r="B7220" s="65" t="s">
        <v>7770</v>
      </c>
      <c r="C7220" s="65" t="s">
        <v>677</v>
      </c>
    </row>
    <row r="7221" spans="1:3" hidden="1">
      <c r="A7221" s="65">
        <v>9009704</v>
      </c>
      <c r="B7221" s="65" t="s">
        <v>7771</v>
      </c>
      <c r="C7221" s="65" t="s">
        <v>827</v>
      </c>
    </row>
    <row r="7222" spans="1:3" hidden="1">
      <c r="A7222" s="65">
        <v>9009705</v>
      </c>
      <c r="B7222" s="65" t="s">
        <v>7772</v>
      </c>
      <c r="C7222" s="65" t="s">
        <v>942</v>
      </c>
    </row>
    <row r="7223" spans="1:3" hidden="1">
      <c r="A7223" s="65">
        <v>9009706</v>
      </c>
      <c r="B7223" s="65" t="s">
        <v>7773</v>
      </c>
      <c r="C7223" s="65" t="s">
        <v>942</v>
      </c>
    </row>
    <row r="7224" spans="1:3" hidden="1">
      <c r="A7224" s="65">
        <v>9009707</v>
      </c>
      <c r="B7224" s="65" t="s">
        <v>7774</v>
      </c>
      <c r="C7224" s="65" t="s">
        <v>942</v>
      </c>
    </row>
    <row r="7225" spans="1:3" hidden="1">
      <c r="A7225" s="65">
        <v>9009708</v>
      </c>
      <c r="B7225" s="65" t="s">
        <v>7775</v>
      </c>
      <c r="C7225" s="65" t="s">
        <v>942</v>
      </c>
    </row>
    <row r="7226" spans="1:3" hidden="1">
      <c r="A7226" s="65">
        <v>9009709</v>
      </c>
      <c r="B7226" s="65" t="s">
        <v>7776</v>
      </c>
      <c r="C7226" s="65" t="s">
        <v>942</v>
      </c>
    </row>
    <row r="7227" spans="1:3" hidden="1">
      <c r="A7227" s="65">
        <v>9009710</v>
      </c>
      <c r="B7227" s="65" t="s">
        <v>7777</v>
      </c>
      <c r="C7227" s="65" t="s">
        <v>942</v>
      </c>
    </row>
    <row r="7228" spans="1:3" hidden="1">
      <c r="A7228" s="65">
        <v>9009711</v>
      </c>
      <c r="B7228" s="65" t="s">
        <v>7778</v>
      </c>
      <c r="C7228" s="65" t="s">
        <v>942</v>
      </c>
    </row>
    <row r="7229" spans="1:3" hidden="1">
      <c r="A7229" s="65">
        <v>9009712</v>
      </c>
      <c r="B7229" s="65" t="s">
        <v>7779</v>
      </c>
      <c r="C7229" s="65" t="s">
        <v>942</v>
      </c>
    </row>
    <row r="7230" spans="1:3" hidden="1">
      <c r="A7230" s="65">
        <v>9009713</v>
      </c>
      <c r="B7230" s="65" t="s">
        <v>7780</v>
      </c>
      <c r="C7230" s="65" t="s">
        <v>942</v>
      </c>
    </row>
    <row r="7231" spans="1:3" hidden="1">
      <c r="A7231" s="65">
        <v>9009714</v>
      </c>
      <c r="B7231" s="65" t="s">
        <v>7781</v>
      </c>
      <c r="C7231" s="65" t="s">
        <v>942</v>
      </c>
    </row>
    <row r="7232" spans="1:3" hidden="1">
      <c r="A7232" s="65">
        <v>9009715</v>
      </c>
      <c r="B7232" s="65" t="s">
        <v>7782</v>
      </c>
      <c r="C7232" s="65" t="s">
        <v>942</v>
      </c>
    </row>
    <row r="7233" spans="1:3" hidden="1">
      <c r="A7233" s="65">
        <v>9009716</v>
      </c>
      <c r="B7233" s="65" t="s">
        <v>7783</v>
      </c>
      <c r="C7233" s="65" t="s">
        <v>942</v>
      </c>
    </row>
    <row r="7234" spans="1:3" hidden="1">
      <c r="A7234" s="65">
        <v>9009717</v>
      </c>
      <c r="B7234" s="65" t="s">
        <v>7784</v>
      </c>
      <c r="C7234" s="65" t="s">
        <v>942</v>
      </c>
    </row>
    <row r="7235" spans="1:3" hidden="1">
      <c r="A7235" s="65">
        <v>9009718</v>
      </c>
      <c r="B7235" s="65" t="s">
        <v>7785</v>
      </c>
      <c r="C7235" s="65" t="s">
        <v>942</v>
      </c>
    </row>
    <row r="7236" spans="1:3" hidden="1">
      <c r="A7236" s="65">
        <v>9009719</v>
      </c>
      <c r="B7236" s="65" t="s">
        <v>7786</v>
      </c>
      <c r="C7236" s="65" t="s">
        <v>942</v>
      </c>
    </row>
    <row r="7237" spans="1:3" hidden="1">
      <c r="A7237" s="65">
        <v>9009720</v>
      </c>
      <c r="B7237" s="65" t="s">
        <v>7787</v>
      </c>
      <c r="C7237" s="65" t="s">
        <v>942</v>
      </c>
    </row>
    <row r="7238" spans="1:3" hidden="1">
      <c r="A7238" s="65">
        <v>9009721</v>
      </c>
      <c r="B7238" s="65" t="s">
        <v>7788</v>
      </c>
      <c r="C7238" s="65" t="s">
        <v>5068</v>
      </c>
    </row>
    <row r="7239" spans="1:3" hidden="1">
      <c r="A7239" s="65">
        <v>9009722</v>
      </c>
      <c r="B7239" s="65" t="s">
        <v>7789</v>
      </c>
      <c r="C7239" s="65" t="s">
        <v>5068</v>
      </c>
    </row>
    <row r="7240" spans="1:3" hidden="1">
      <c r="A7240" s="65">
        <v>9009723</v>
      </c>
      <c r="B7240" s="65" t="s">
        <v>7790</v>
      </c>
      <c r="C7240" s="65" t="s">
        <v>793</v>
      </c>
    </row>
    <row r="7241" spans="1:3" hidden="1">
      <c r="A7241" s="65">
        <v>9009724</v>
      </c>
      <c r="B7241" s="65" t="s">
        <v>7791</v>
      </c>
      <c r="C7241" s="65" t="s">
        <v>942</v>
      </c>
    </row>
    <row r="7242" spans="1:3" hidden="1">
      <c r="A7242" s="65">
        <v>9009725</v>
      </c>
      <c r="B7242" s="65" t="s">
        <v>7792</v>
      </c>
      <c r="C7242" s="65" t="s">
        <v>793</v>
      </c>
    </row>
    <row r="7243" spans="1:3" hidden="1">
      <c r="A7243" s="65">
        <v>9009729</v>
      </c>
      <c r="B7243" s="65" t="s">
        <v>7793</v>
      </c>
      <c r="C7243" s="65" t="s">
        <v>793</v>
      </c>
    </row>
    <row r="7244" spans="1:3" hidden="1">
      <c r="A7244" s="65">
        <v>9009730</v>
      </c>
      <c r="B7244" s="65" t="s">
        <v>7794</v>
      </c>
      <c r="C7244" s="65" t="s">
        <v>793</v>
      </c>
    </row>
    <row r="7245" spans="1:3" hidden="1">
      <c r="A7245" s="65">
        <v>9009731</v>
      </c>
      <c r="B7245" s="65" t="s">
        <v>7795</v>
      </c>
      <c r="C7245" s="65" t="s">
        <v>793</v>
      </c>
    </row>
    <row r="7246" spans="1:3" hidden="1">
      <c r="A7246" s="65">
        <v>9009732</v>
      </c>
      <c r="B7246" s="65" t="s">
        <v>7796</v>
      </c>
      <c r="C7246" s="65" t="s">
        <v>793</v>
      </c>
    </row>
    <row r="7247" spans="1:3" hidden="1">
      <c r="A7247" s="65">
        <v>9009733</v>
      </c>
      <c r="B7247" s="65" t="s">
        <v>7797</v>
      </c>
      <c r="C7247" s="65" t="s">
        <v>793</v>
      </c>
    </row>
    <row r="7248" spans="1:3" hidden="1">
      <c r="A7248" s="65">
        <v>9009734</v>
      </c>
      <c r="B7248" s="65" t="s">
        <v>7798</v>
      </c>
      <c r="C7248" s="65" t="s">
        <v>5068</v>
      </c>
    </row>
    <row r="7249" spans="1:3" hidden="1">
      <c r="A7249" s="65">
        <v>9009735</v>
      </c>
      <c r="B7249" s="65" t="s">
        <v>7799</v>
      </c>
      <c r="C7249" s="65" t="s">
        <v>5068</v>
      </c>
    </row>
    <row r="7250" spans="1:3" hidden="1">
      <c r="A7250" s="65">
        <v>9009736</v>
      </c>
      <c r="B7250" s="65" t="s">
        <v>7800</v>
      </c>
      <c r="C7250" s="65" t="s">
        <v>3170</v>
      </c>
    </row>
    <row r="7251" spans="1:3" hidden="1">
      <c r="A7251" s="65">
        <v>9009737</v>
      </c>
      <c r="B7251" s="65" t="s">
        <v>7801</v>
      </c>
      <c r="C7251" s="65" t="s">
        <v>3170</v>
      </c>
    </row>
    <row r="7252" spans="1:3" hidden="1">
      <c r="A7252" s="65">
        <v>9009738</v>
      </c>
      <c r="B7252" s="65" t="s">
        <v>7802</v>
      </c>
      <c r="C7252" s="65" t="s">
        <v>3170</v>
      </c>
    </row>
    <row r="7253" spans="1:3" hidden="1">
      <c r="A7253" s="65">
        <v>9009739</v>
      </c>
      <c r="B7253" s="65" t="s">
        <v>7803</v>
      </c>
      <c r="C7253" s="65" t="s">
        <v>3170</v>
      </c>
    </row>
    <row r="7254" spans="1:3" hidden="1">
      <c r="A7254" s="65">
        <v>9009740</v>
      </c>
      <c r="B7254" s="65" t="s">
        <v>7804</v>
      </c>
      <c r="C7254" s="65" t="s">
        <v>3170</v>
      </c>
    </row>
    <row r="7255" spans="1:3" hidden="1">
      <c r="A7255" s="65">
        <v>9009741</v>
      </c>
      <c r="B7255" s="65" t="s">
        <v>7805</v>
      </c>
      <c r="C7255" s="65" t="s">
        <v>3170</v>
      </c>
    </row>
    <row r="7256" spans="1:3" hidden="1">
      <c r="A7256" s="65">
        <v>9009742</v>
      </c>
      <c r="B7256" s="65" t="s">
        <v>7806</v>
      </c>
      <c r="C7256" s="65" t="s">
        <v>3170</v>
      </c>
    </row>
    <row r="7257" spans="1:3" hidden="1">
      <c r="A7257" s="65">
        <v>9009743</v>
      </c>
      <c r="B7257" s="65" t="s">
        <v>7807</v>
      </c>
      <c r="C7257" s="65" t="s">
        <v>3170</v>
      </c>
    </row>
    <row r="7258" spans="1:3" hidden="1">
      <c r="A7258" s="65">
        <v>9009744</v>
      </c>
      <c r="B7258" s="65" t="s">
        <v>7808</v>
      </c>
      <c r="C7258" s="65" t="s">
        <v>3170</v>
      </c>
    </row>
    <row r="7259" spans="1:3" hidden="1">
      <c r="A7259" s="65">
        <v>9009745</v>
      </c>
      <c r="B7259" s="65" t="s">
        <v>7809</v>
      </c>
      <c r="C7259" s="65" t="s">
        <v>3170</v>
      </c>
    </row>
    <row r="7260" spans="1:3" hidden="1">
      <c r="A7260" s="65">
        <v>9009746</v>
      </c>
      <c r="B7260" s="65" t="s">
        <v>7810</v>
      </c>
      <c r="C7260" s="65" t="s">
        <v>3170</v>
      </c>
    </row>
    <row r="7261" spans="1:3" hidden="1">
      <c r="A7261" s="65">
        <v>9009747</v>
      </c>
      <c r="B7261" s="65" t="s">
        <v>7811</v>
      </c>
      <c r="C7261" s="65" t="s">
        <v>3170</v>
      </c>
    </row>
    <row r="7262" spans="1:3" hidden="1">
      <c r="A7262" s="65">
        <v>9009748</v>
      </c>
      <c r="B7262" s="65" t="s">
        <v>7812</v>
      </c>
      <c r="C7262" s="65" t="s">
        <v>5068</v>
      </c>
    </row>
    <row r="7263" spans="1:3" hidden="1">
      <c r="A7263" s="65">
        <v>9009749</v>
      </c>
      <c r="B7263" s="65" t="s">
        <v>7813</v>
      </c>
      <c r="C7263" s="65" t="s">
        <v>5068</v>
      </c>
    </row>
    <row r="7264" spans="1:3" hidden="1">
      <c r="A7264" s="65">
        <v>9009750</v>
      </c>
      <c r="B7264" s="65" t="s">
        <v>7814</v>
      </c>
      <c r="C7264" s="65" t="s">
        <v>5068</v>
      </c>
    </row>
    <row r="7265" spans="1:3" hidden="1">
      <c r="A7265" s="65">
        <v>9009759</v>
      </c>
      <c r="B7265" s="65" t="s">
        <v>7815</v>
      </c>
      <c r="C7265" s="65" t="s">
        <v>743</v>
      </c>
    </row>
    <row r="7266" spans="1:3" hidden="1">
      <c r="A7266" s="65">
        <v>9009760</v>
      </c>
      <c r="B7266" s="65" t="s">
        <v>7816</v>
      </c>
      <c r="C7266" s="65" t="s">
        <v>942</v>
      </c>
    </row>
    <row r="7267" spans="1:3" hidden="1">
      <c r="A7267" s="65">
        <v>9009761</v>
      </c>
      <c r="B7267" s="65" t="s">
        <v>7817</v>
      </c>
      <c r="C7267" s="65" t="s">
        <v>942</v>
      </c>
    </row>
    <row r="7268" spans="1:3" hidden="1">
      <c r="A7268" s="65">
        <v>9009762</v>
      </c>
      <c r="B7268" s="65" t="s">
        <v>7818</v>
      </c>
      <c r="C7268" s="65" t="s">
        <v>942</v>
      </c>
    </row>
    <row r="7269" spans="1:3" hidden="1">
      <c r="A7269" s="65">
        <v>9009763</v>
      </c>
      <c r="B7269" s="65" t="s">
        <v>7819</v>
      </c>
      <c r="C7269" s="65" t="s">
        <v>942</v>
      </c>
    </row>
    <row r="7270" spans="1:3" hidden="1">
      <c r="A7270" s="65">
        <v>9009764</v>
      </c>
      <c r="B7270" s="65" t="s">
        <v>7820</v>
      </c>
      <c r="C7270" s="65" t="s">
        <v>942</v>
      </c>
    </row>
    <row r="7271" spans="1:3" hidden="1">
      <c r="A7271" s="65">
        <v>9009765</v>
      </c>
      <c r="B7271" s="65" t="s">
        <v>7821</v>
      </c>
      <c r="C7271" s="65" t="s">
        <v>942</v>
      </c>
    </row>
    <row r="7272" spans="1:3" hidden="1">
      <c r="A7272" s="65">
        <v>9009766</v>
      </c>
      <c r="B7272" s="65" t="s">
        <v>7822</v>
      </c>
      <c r="C7272" s="65" t="s">
        <v>942</v>
      </c>
    </row>
    <row r="7273" spans="1:3" hidden="1">
      <c r="A7273" s="65">
        <v>9009767</v>
      </c>
      <c r="B7273" s="65" t="s">
        <v>7823</v>
      </c>
      <c r="C7273" s="65" t="s">
        <v>942</v>
      </c>
    </row>
    <row r="7274" spans="1:3" hidden="1">
      <c r="A7274" s="65">
        <v>9009768</v>
      </c>
      <c r="B7274" s="65" t="s">
        <v>7824</v>
      </c>
      <c r="C7274" s="65" t="s">
        <v>942</v>
      </c>
    </row>
    <row r="7275" spans="1:3" hidden="1">
      <c r="A7275" s="65">
        <v>9009769</v>
      </c>
      <c r="B7275" s="65" t="s">
        <v>7825</v>
      </c>
      <c r="C7275" s="65" t="s">
        <v>942</v>
      </c>
    </row>
    <row r="7276" spans="1:3" hidden="1">
      <c r="A7276" s="65">
        <v>9009770</v>
      </c>
      <c r="B7276" s="65" t="s">
        <v>7826</v>
      </c>
      <c r="C7276" s="65" t="s">
        <v>942</v>
      </c>
    </row>
    <row r="7277" spans="1:3" hidden="1">
      <c r="A7277" s="65">
        <v>9009771</v>
      </c>
      <c r="B7277" s="65" t="s">
        <v>7827</v>
      </c>
      <c r="C7277" s="65" t="s">
        <v>942</v>
      </c>
    </row>
    <row r="7278" spans="1:3" hidden="1">
      <c r="A7278" s="65">
        <v>9009779</v>
      </c>
      <c r="B7278" s="65" t="s">
        <v>7828</v>
      </c>
      <c r="C7278" s="65" t="s">
        <v>942</v>
      </c>
    </row>
    <row r="7279" spans="1:3" hidden="1">
      <c r="A7279" s="65">
        <v>9009780</v>
      </c>
      <c r="B7279" s="65" t="s">
        <v>7829</v>
      </c>
      <c r="C7279" s="65" t="s">
        <v>942</v>
      </c>
    </row>
    <row r="7280" spans="1:3" hidden="1">
      <c r="A7280" s="65">
        <v>9009781</v>
      </c>
      <c r="B7280" s="65" t="s">
        <v>7830</v>
      </c>
      <c r="C7280" s="65" t="s">
        <v>942</v>
      </c>
    </row>
    <row r="7281" spans="1:3" hidden="1">
      <c r="A7281" s="65">
        <v>9009782</v>
      </c>
      <c r="B7281" s="65" t="s">
        <v>7831</v>
      </c>
      <c r="C7281" s="65" t="s">
        <v>942</v>
      </c>
    </row>
    <row r="7282" spans="1:3" hidden="1">
      <c r="A7282" s="65">
        <v>9009783</v>
      </c>
      <c r="B7282" s="65" t="s">
        <v>7832</v>
      </c>
      <c r="C7282" s="65" t="s">
        <v>942</v>
      </c>
    </row>
    <row r="7283" spans="1:3" hidden="1">
      <c r="A7283" s="65">
        <v>9009784</v>
      </c>
      <c r="B7283" s="65" t="s">
        <v>7833</v>
      </c>
      <c r="C7283" s="65" t="s">
        <v>942</v>
      </c>
    </row>
    <row r="7284" spans="1:3" hidden="1">
      <c r="A7284" s="65">
        <v>9009785</v>
      </c>
      <c r="B7284" s="65" t="s">
        <v>7834</v>
      </c>
      <c r="C7284" s="65" t="s">
        <v>942</v>
      </c>
    </row>
    <row r="7285" spans="1:3" hidden="1">
      <c r="A7285" s="65">
        <v>9009786</v>
      </c>
      <c r="B7285" s="65" t="s">
        <v>7835</v>
      </c>
      <c r="C7285" s="65" t="s">
        <v>942</v>
      </c>
    </row>
    <row r="7286" spans="1:3" hidden="1">
      <c r="A7286" s="65">
        <v>9009787</v>
      </c>
      <c r="B7286" s="65" t="s">
        <v>7836</v>
      </c>
      <c r="C7286" s="65" t="s">
        <v>942</v>
      </c>
    </row>
    <row r="7287" spans="1:3" hidden="1">
      <c r="A7287" s="65">
        <v>9009788</v>
      </c>
      <c r="B7287" s="65" t="s">
        <v>7837</v>
      </c>
      <c r="C7287" s="65" t="s">
        <v>942</v>
      </c>
    </row>
    <row r="7288" spans="1:3" hidden="1">
      <c r="A7288" s="65">
        <v>9009789</v>
      </c>
      <c r="B7288" s="65" t="s">
        <v>7838</v>
      </c>
      <c r="C7288" s="65" t="s">
        <v>5068</v>
      </c>
    </row>
    <row r="7289" spans="1:3" hidden="1">
      <c r="A7289" s="65">
        <v>9009799</v>
      </c>
      <c r="B7289" s="65" t="s">
        <v>7839</v>
      </c>
      <c r="C7289" s="65" t="s">
        <v>743</v>
      </c>
    </row>
    <row r="7290" spans="1:3" hidden="1">
      <c r="A7290" s="65">
        <v>9009800</v>
      </c>
      <c r="B7290" s="65" t="s">
        <v>7840</v>
      </c>
      <c r="C7290" s="65" t="s">
        <v>743</v>
      </c>
    </row>
    <row r="7291" spans="1:3" hidden="1">
      <c r="A7291" s="65">
        <v>9009809</v>
      </c>
      <c r="B7291" s="65" t="s">
        <v>7841</v>
      </c>
      <c r="C7291" s="65" t="s">
        <v>3170</v>
      </c>
    </row>
    <row r="7292" spans="1:3" hidden="1">
      <c r="A7292" s="65">
        <v>9009810</v>
      </c>
      <c r="B7292" s="65" t="s">
        <v>7842</v>
      </c>
      <c r="C7292" s="65" t="s">
        <v>3170</v>
      </c>
    </row>
    <row r="7293" spans="1:3" hidden="1">
      <c r="A7293" s="65">
        <v>9009811</v>
      </c>
      <c r="B7293" s="65" t="s">
        <v>7843</v>
      </c>
      <c r="C7293" s="65" t="s">
        <v>3170</v>
      </c>
    </row>
    <row r="7294" spans="1:3" hidden="1">
      <c r="A7294" s="65">
        <v>9009812</v>
      </c>
      <c r="B7294" s="65" t="s">
        <v>7844</v>
      </c>
      <c r="C7294" s="65" t="s">
        <v>3170</v>
      </c>
    </row>
    <row r="7295" spans="1:3" hidden="1">
      <c r="A7295" s="65">
        <v>9009813</v>
      </c>
      <c r="B7295" s="65" t="s">
        <v>7845</v>
      </c>
      <c r="C7295" s="65" t="s">
        <v>3170</v>
      </c>
    </row>
    <row r="7296" spans="1:3" hidden="1">
      <c r="A7296" s="65">
        <v>9009814</v>
      </c>
      <c r="B7296" s="65" t="s">
        <v>7846</v>
      </c>
      <c r="C7296" s="65" t="s">
        <v>3170</v>
      </c>
    </row>
    <row r="7297" spans="1:3" hidden="1">
      <c r="A7297" s="65">
        <v>9009815</v>
      </c>
      <c r="B7297" s="65" t="s">
        <v>7847</v>
      </c>
      <c r="C7297" s="65" t="s">
        <v>3170</v>
      </c>
    </row>
    <row r="7298" spans="1:3" hidden="1">
      <c r="A7298" s="65">
        <v>9009816</v>
      </c>
      <c r="B7298" s="65" t="s">
        <v>7848</v>
      </c>
      <c r="C7298" s="65" t="s">
        <v>3170</v>
      </c>
    </row>
    <row r="7299" spans="1:3" hidden="1">
      <c r="A7299" s="65">
        <v>9009817</v>
      </c>
      <c r="B7299" s="65" t="s">
        <v>7849</v>
      </c>
      <c r="C7299" s="65" t="s">
        <v>3170</v>
      </c>
    </row>
    <row r="7300" spans="1:3" hidden="1">
      <c r="A7300" s="65">
        <v>9009818</v>
      </c>
      <c r="B7300" s="65" t="s">
        <v>7849</v>
      </c>
      <c r="C7300" s="65" t="s">
        <v>3170</v>
      </c>
    </row>
    <row r="7301" spans="1:3" hidden="1">
      <c r="A7301" s="65">
        <v>9009819</v>
      </c>
      <c r="B7301" s="65" t="s">
        <v>7850</v>
      </c>
      <c r="C7301" s="65" t="s">
        <v>827</v>
      </c>
    </row>
    <row r="7302" spans="1:3" hidden="1">
      <c r="A7302" s="65">
        <v>9009820</v>
      </c>
      <c r="B7302" s="65" t="s">
        <v>7851</v>
      </c>
      <c r="C7302" s="65" t="s">
        <v>827</v>
      </c>
    </row>
    <row r="7303" spans="1:3" hidden="1">
      <c r="A7303" s="65">
        <v>9009821</v>
      </c>
      <c r="B7303" s="65" t="s">
        <v>7852</v>
      </c>
      <c r="C7303" s="65" t="s">
        <v>1181</v>
      </c>
    </row>
    <row r="7304" spans="1:3" hidden="1">
      <c r="A7304" s="65">
        <v>9009822</v>
      </c>
      <c r="B7304" s="65" t="s">
        <v>7853</v>
      </c>
      <c r="C7304" s="65" t="s">
        <v>1181</v>
      </c>
    </row>
    <row r="7305" spans="1:3" hidden="1">
      <c r="A7305" s="65">
        <v>9009829</v>
      </c>
      <c r="B7305" s="65" t="s">
        <v>1193</v>
      </c>
      <c r="C7305" s="65" t="s">
        <v>683</v>
      </c>
    </row>
    <row r="7306" spans="1:3" hidden="1">
      <c r="A7306" s="65">
        <v>9009830</v>
      </c>
      <c r="B7306" s="65" t="s">
        <v>7854</v>
      </c>
      <c r="C7306" s="65" t="s">
        <v>840</v>
      </c>
    </row>
    <row r="7307" spans="1:3" hidden="1">
      <c r="A7307" s="65">
        <v>9009831</v>
      </c>
      <c r="B7307" s="65" t="s">
        <v>7854</v>
      </c>
      <c r="C7307" s="65" t="s">
        <v>827</v>
      </c>
    </row>
    <row r="7308" spans="1:3" hidden="1">
      <c r="A7308" s="65">
        <v>9009832</v>
      </c>
      <c r="B7308" s="65" t="s">
        <v>7854</v>
      </c>
      <c r="C7308" s="65" t="s">
        <v>809</v>
      </c>
    </row>
    <row r="7309" spans="1:3" hidden="1">
      <c r="A7309" s="65">
        <v>9009833</v>
      </c>
      <c r="B7309" s="65" t="s">
        <v>7854</v>
      </c>
      <c r="C7309" s="65" t="s">
        <v>775</v>
      </c>
    </row>
    <row r="7310" spans="1:3" hidden="1">
      <c r="A7310" s="65">
        <v>9009834</v>
      </c>
      <c r="B7310" s="65" t="s">
        <v>7854</v>
      </c>
      <c r="C7310" s="65" t="s">
        <v>893</v>
      </c>
    </row>
    <row r="7311" spans="1:3" hidden="1">
      <c r="A7311" s="65">
        <v>9009835</v>
      </c>
      <c r="B7311" s="65" t="s">
        <v>7854</v>
      </c>
      <c r="C7311" s="65" t="s">
        <v>5068</v>
      </c>
    </row>
    <row r="7312" spans="1:3" hidden="1">
      <c r="A7312" s="65">
        <v>9009836</v>
      </c>
      <c r="B7312" s="65" t="s">
        <v>7855</v>
      </c>
      <c r="C7312" s="65" t="s">
        <v>5068</v>
      </c>
    </row>
    <row r="7313" spans="1:3" hidden="1">
      <c r="A7313" s="65">
        <v>9009837</v>
      </c>
      <c r="B7313" s="65" t="s">
        <v>7856</v>
      </c>
      <c r="C7313" s="65" t="s">
        <v>5068</v>
      </c>
    </row>
    <row r="7314" spans="1:3" hidden="1">
      <c r="A7314" s="65">
        <v>9009838</v>
      </c>
      <c r="B7314" s="65" t="s">
        <v>7857</v>
      </c>
      <c r="C7314" s="65" t="s">
        <v>5068</v>
      </c>
    </row>
    <row r="7315" spans="1:3" hidden="1">
      <c r="A7315" s="65">
        <v>9009839</v>
      </c>
      <c r="B7315" s="65" t="s">
        <v>7858</v>
      </c>
      <c r="C7315" s="65" t="s">
        <v>1181</v>
      </c>
    </row>
    <row r="7316" spans="1:3" hidden="1">
      <c r="A7316" s="65">
        <v>9009840</v>
      </c>
      <c r="B7316" s="65" t="s">
        <v>7859</v>
      </c>
      <c r="C7316" s="65" t="s">
        <v>751</v>
      </c>
    </row>
    <row r="7317" spans="1:3" hidden="1">
      <c r="A7317" s="65">
        <v>9009841</v>
      </c>
      <c r="B7317" s="65" t="s">
        <v>7860</v>
      </c>
      <c r="C7317" s="65" t="s">
        <v>7308</v>
      </c>
    </row>
    <row r="7318" spans="1:3" hidden="1">
      <c r="A7318" s="65">
        <v>9009842</v>
      </c>
      <c r="B7318" s="65" t="s">
        <v>7861</v>
      </c>
      <c r="C7318" s="65" t="s">
        <v>732</v>
      </c>
    </row>
    <row r="7319" spans="1:3" hidden="1">
      <c r="A7319" s="65">
        <v>9009843</v>
      </c>
      <c r="B7319" s="65" t="s">
        <v>7862</v>
      </c>
      <c r="C7319" s="65" t="s">
        <v>5741</v>
      </c>
    </row>
    <row r="7320" spans="1:3" hidden="1">
      <c r="A7320" s="65">
        <v>9009844</v>
      </c>
      <c r="B7320" s="65" t="s">
        <v>7863</v>
      </c>
      <c r="C7320" s="65" t="s">
        <v>795</v>
      </c>
    </row>
    <row r="7321" spans="1:3" hidden="1">
      <c r="A7321" s="65">
        <v>9009845</v>
      </c>
      <c r="B7321" s="65" t="s">
        <v>7864</v>
      </c>
      <c r="C7321" s="65" t="s">
        <v>1036</v>
      </c>
    </row>
    <row r="7322" spans="1:3" hidden="1">
      <c r="A7322" s="65">
        <v>9009846</v>
      </c>
      <c r="B7322" s="65" t="s">
        <v>7865</v>
      </c>
      <c r="C7322" s="65" t="s">
        <v>5629</v>
      </c>
    </row>
    <row r="7323" spans="1:3" hidden="1">
      <c r="A7323" s="65">
        <v>9009847</v>
      </c>
      <c r="B7323" s="65" t="s">
        <v>7866</v>
      </c>
      <c r="C7323" s="65" t="s">
        <v>5629</v>
      </c>
    </row>
    <row r="7324" spans="1:3" hidden="1">
      <c r="A7324" s="65">
        <v>9009848</v>
      </c>
      <c r="B7324" s="65" t="s">
        <v>7867</v>
      </c>
      <c r="C7324" s="65" t="s">
        <v>793</v>
      </c>
    </row>
    <row r="7325" spans="1:3" hidden="1">
      <c r="A7325" s="65">
        <v>9009849</v>
      </c>
      <c r="B7325" s="65" t="s">
        <v>7868</v>
      </c>
      <c r="C7325" s="65" t="s">
        <v>1036</v>
      </c>
    </row>
    <row r="7326" spans="1:3" hidden="1">
      <c r="A7326" s="65">
        <v>9009850</v>
      </c>
      <c r="B7326" s="65" t="s">
        <v>7869</v>
      </c>
      <c r="C7326" s="65" t="s">
        <v>1036</v>
      </c>
    </row>
    <row r="7327" spans="1:3" hidden="1">
      <c r="A7327" s="65">
        <v>9009851</v>
      </c>
      <c r="B7327" s="65" t="s">
        <v>7870</v>
      </c>
      <c r="C7327" s="65" t="s">
        <v>1036</v>
      </c>
    </row>
    <row r="7328" spans="1:3" hidden="1">
      <c r="A7328" s="65">
        <v>9009852</v>
      </c>
      <c r="B7328" s="65" t="s">
        <v>7871</v>
      </c>
      <c r="C7328" s="65" t="s">
        <v>1036</v>
      </c>
    </row>
    <row r="7329" spans="1:3" hidden="1">
      <c r="A7329" s="65">
        <v>9009853</v>
      </c>
      <c r="B7329" s="65" t="s">
        <v>7872</v>
      </c>
      <c r="C7329" s="65" t="s">
        <v>1036</v>
      </c>
    </row>
    <row r="7330" spans="1:3" hidden="1">
      <c r="A7330" s="65">
        <v>9009854</v>
      </c>
      <c r="B7330" s="65" t="s">
        <v>7873</v>
      </c>
      <c r="C7330" s="65" t="s">
        <v>1036</v>
      </c>
    </row>
    <row r="7331" spans="1:3" hidden="1">
      <c r="A7331" s="65">
        <v>9009855</v>
      </c>
      <c r="B7331" s="65" t="s">
        <v>7874</v>
      </c>
      <c r="C7331" s="65" t="s">
        <v>1181</v>
      </c>
    </row>
    <row r="7332" spans="1:3" hidden="1">
      <c r="A7332" s="65">
        <v>9009856</v>
      </c>
      <c r="B7332" s="65" t="s">
        <v>7875</v>
      </c>
      <c r="C7332" s="65" t="s">
        <v>1553</v>
      </c>
    </row>
    <row r="7333" spans="1:3" hidden="1">
      <c r="A7333" s="65">
        <v>9009859</v>
      </c>
      <c r="B7333" s="65" t="s">
        <v>7876</v>
      </c>
      <c r="C7333" s="65" t="s">
        <v>5068</v>
      </c>
    </row>
    <row r="7334" spans="1:3" hidden="1">
      <c r="A7334" s="65">
        <v>9009860</v>
      </c>
      <c r="B7334" s="65" t="s">
        <v>7877</v>
      </c>
      <c r="C7334" s="65" t="s">
        <v>5068</v>
      </c>
    </row>
    <row r="7335" spans="1:3" hidden="1">
      <c r="A7335" s="65">
        <v>9009861</v>
      </c>
      <c r="B7335" s="65" t="s">
        <v>7878</v>
      </c>
      <c r="C7335" s="65" t="s">
        <v>942</v>
      </c>
    </row>
    <row r="7336" spans="1:3" hidden="1">
      <c r="A7336" s="65">
        <v>9009862</v>
      </c>
      <c r="B7336" s="65" t="s">
        <v>7879</v>
      </c>
      <c r="C7336" s="65" t="s">
        <v>942</v>
      </c>
    </row>
    <row r="7337" spans="1:3" hidden="1">
      <c r="A7337" s="65">
        <v>9009863</v>
      </c>
      <c r="B7337" s="65" t="s">
        <v>7880</v>
      </c>
      <c r="C7337" s="65" t="s">
        <v>777</v>
      </c>
    </row>
    <row r="7338" spans="1:3" hidden="1">
      <c r="A7338" s="65">
        <v>9009864</v>
      </c>
      <c r="B7338" s="65" t="s">
        <v>701</v>
      </c>
      <c r="C7338" s="65" t="s">
        <v>702</v>
      </c>
    </row>
    <row r="7339" spans="1:3" hidden="1">
      <c r="A7339" s="65">
        <v>9009865</v>
      </c>
      <c r="B7339" s="65" t="s">
        <v>7881</v>
      </c>
      <c r="C7339" s="65" t="s">
        <v>942</v>
      </c>
    </row>
    <row r="7340" spans="1:3" hidden="1">
      <c r="A7340" s="65">
        <v>9009866</v>
      </c>
      <c r="B7340" s="65" t="s">
        <v>7882</v>
      </c>
      <c r="C7340" s="65" t="s">
        <v>942</v>
      </c>
    </row>
    <row r="7341" spans="1:3" hidden="1">
      <c r="A7341" s="65">
        <v>9009867</v>
      </c>
      <c r="B7341" s="65" t="s">
        <v>7883</v>
      </c>
      <c r="C7341" s="65" t="s">
        <v>850</v>
      </c>
    </row>
    <row r="7342" spans="1:3" hidden="1">
      <c r="A7342" s="65">
        <v>9009868</v>
      </c>
      <c r="B7342" s="65" t="s">
        <v>7884</v>
      </c>
      <c r="C7342" s="65" t="s">
        <v>807</v>
      </c>
    </row>
    <row r="7343" spans="1:3" hidden="1">
      <c r="A7343" s="65">
        <v>9009869</v>
      </c>
      <c r="B7343" s="65" t="s">
        <v>7885</v>
      </c>
      <c r="C7343" s="65" t="s">
        <v>793</v>
      </c>
    </row>
    <row r="7344" spans="1:3" hidden="1">
      <c r="A7344" s="65">
        <v>9009870</v>
      </c>
      <c r="B7344" s="65" t="s">
        <v>7886</v>
      </c>
      <c r="C7344" s="65" t="s">
        <v>793</v>
      </c>
    </row>
    <row r="7345" spans="1:3" hidden="1">
      <c r="A7345" s="65">
        <v>9009871</v>
      </c>
      <c r="B7345" s="65" t="s">
        <v>7887</v>
      </c>
      <c r="C7345" s="65" t="s">
        <v>827</v>
      </c>
    </row>
    <row r="7346" spans="1:3" hidden="1">
      <c r="A7346" s="65">
        <v>9009872</v>
      </c>
      <c r="B7346" s="65" t="s">
        <v>7888</v>
      </c>
      <c r="C7346" s="65" t="s">
        <v>942</v>
      </c>
    </row>
    <row r="7347" spans="1:3" hidden="1">
      <c r="A7347" s="65">
        <v>9009873</v>
      </c>
      <c r="B7347" s="65" t="s">
        <v>7889</v>
      </c>
      <c r="C7347" s="65" t="s">
        <v>942</v>
      </c>
    </row>
    <row r="7348" spans="1:3" hidden="1">
      <c r="A7348" s="65">
        <v>9009874</v>
      </c>
      <c r="B7348" s="65" t="s">
        <v>7890</v>
      </c>
      <c r="C7348" s="65" t="s">
        <v>942</v>
      </c>
    </row>
    <row r="7349" spans="1:3" hidden="1">
      <c r="A7349" s="65">
        <v>9009875</v>
      </c>
      <c r="B7349" s="65" t="s">
        <v>7891</v>
      </c>
      <c r="C7349" s="65" t="s">
        <v>942</v>
      </c>
    </row>
    <row r="7350" spans="1:3" hidden="1">
      <c r="A7350" s="65">
        <v>9009876</v>
      </c>
      <c r="B7350" s="65" t="s">
        <v>7892</v>
      </c>
      <c r="C7350" s="65" t="s">
        <v>5068</v>
      </c>
    </row>
    <row r="7351" spans="1:3" hidden="1">
      <c r="A7351" s="65">
        <v>9009877</v>
      </c>
      <c r="B7351" s="65" t="s">
        <v>7893</v>
      </c>
      <c r="C7351" s="65" t="s">
        <v>942</v>
      </c>
    </row>
    <row r="7352" spans="1:3" hidden="1">
      <c r="A7352" s="65">
        <v>9009879</v>
      </c>
      <c r="B7352" s="65" t="s">
        <v>7894</v>
      </c>
      <c r="C7352" s="65" t="s">
        <v>793</v>
      </c>
    </row>
    <row r="7353" spans="1:3" hidden="1">
      <c r="A7353" s="65">
        <v>9009880</v>
      </c>
      <c r="B7353" s="65" t="s">
        <v>7895</v>
      </c>
      <c r="C7353" s="65" t="s">
        <v>793</v>
      </c>
    </row>
    <row r="7354" spans="1:3" hidden="1">
      <c r="A7354" s="65">
        <v>9009881</v>
      </c>
      <c r="B7354" s="65" t="s">
        <v>7896</v>
      </c>
      <c r="C7354" s="65" t="s">
        <v>5615</v>
      </c>
    </row>
    <row r="7355" spans="1:3" hidden="1">
      <c r="A7355" s="65">
        <v>9009882</v>
      </c>
      <c r="B7355" s="65" t="s">
        <v>7897</v>
      </c>
      <c r="C7355" s="65" t="s">
        <v>942</v>
      </c>
    </row>
    <row r="7356" spans="1:3" hidden="1">
      <c r="A7356" s="65">
        <v>9009889</v>
      </c>
      <c r="B7356" s="65" t="s">
        <v>7898</v>
      </c>
      <c r="C7356" s="65" t="s">
        <v>942</v>
      </c>
    </row>
    <row r="7357" spans="1:3" hidden="1">
      <c r="A7357" s="65">
        <v>9009890</v>
      </c>
      <c r="B7357" s="65" t="s">
        <v>7899</v>
      </c>
      <c r="C7357" s="65" t="s">
        <v>942</v>
      </c>
    </row>
    <row r="7358" spans="1:3" hidden="1">
      <c r="A7358" s="65">
        <v>9009891</v>
      </c>
      <c r="B7358" s="65" t="s">
        <v>7900</v>
      </c>
      <c r="C7358" s="65" t="s">
        <v>942</v>
      </c>
    </row>
    <row r="7359" spans="1:3" hidden="1">
      <c r="A7359" s="65">
        <v>9009892</v>
      </c>
      <c r="B7359" s="65" t="s">
        <v>7901</v>
      </c>
      <c r="C7359" s="65" t="s">
        <v>942</v>
      </c>
    </row>
    <row r="7360" spans="1:3" hidden="1">
      <c r="A7360" s="65">
        <v>9009893</v>
      </c>
      <c r="B7360" s="65" t="s">
        <v>7902</v>
      </c>
      <c r="C7360" s="65" t="s">
        <v>5068</v>
      </c>
    </row>
    <row r="7361" spans="1:3" hidden="1">
      <c r="A7361" s="65">
        <v>9009894</v>
      </c>
      <c r="B7361" s="65" t="s">
        <v>7903</v>
      </c>
      <c r="C7361" s="65" t="s">
        <v>942</v>
      </c>
    </row>
    <row r="7362" spans="1:3" hidden="1">
      <c r="A7362" s="65">
        <v>9009895</v>
      </c>
      <c r="B7362" s="65" t="s">
        <v>7904</v>
      </c>
      <c r="C7362" s="65" t="s">
        <v>942</v>
      </c>
    </row>
    <row r="7363" spans="1:3" hidden="1">
      <c r="A7363" s="65">
        <v>9009896</v>
      </c>
      <c r="B7363" s="65" t="s">
        <v>7905</v>
      </c>
      <c r="C7363" s="65" t="s">
        <v>942</v>
      </c>
    </row>
    <row r="7364" spans="1:3" hidden="1">
      <c r="A7364" s="65">
        <v>9009897</v>
      </c>
      <c r="B7364" s="65" t="s">
        <v>7906</v>
      </c>
      <c r="C7364" s="65" t="s">
        <v>942</v>
      </c>
    </row>
    <row r="7365" spans="1:3" hidden="1">
      <c r="A7365" s="65">
        <v>9009898</v>
      </c>
      <c r="B7365" s="65" t="s">
        <v>7907</v>
      </c>
      <c r="C7365" s="65" t="s">
        <v>942</v>
      </c>
    </row>
    <row r="7366" spans="1:3" hidden="1">
      <c r="A7366" s="65">
        <v>9009899</v>
      </c>
      <c r="B7366" s="65" t="s">
        <v>7908</v>
      </c>
      <c r="C7366" s="65" t="s">
        <v>5068</v>
      </c>
    </row>
    <row r="7367" spans="1:3" hidden="1">
      <c r="A7367" s="65">
        <v>9009900</v>
      </c>
      <c r="B7367" s="65" t="s">
        <v>7909</v>
      </c>
      <c r="C7367" s="65" t="s">
        <v>5068</v>
      </c>
    </row>
    <row r="7368" spans="1:3" hidden="1">
      <c r="A7368" s="65">
        <v>9009901</v>
      </c>
      <c r="B7368" s="65" t="s">
        <v>7910</v>
      </c>
      <c r="C7368" s="65" t="s">
        <v>743</v>
      </c>
    </row>
    <row r="7369" spans="1:3" hidden="1">
      <c r="A7369" s="65">
        <v>9009902</v>
      </c>
      <c r="B7369" s="65" t="s">
        <v>7911</v>
      </c>
      <c r="C7369" s="65" t="s">
        <v>807</v>
      </c>
    </row>
    <row r="7370" spans="1:3" hidden="1">
      <c r="A7370" s="65">
        <v>9009903</v>
      </c>
      <c r="B7370" s="65" t="s">
        <v>7912</v>
      </c>
      <c r="C7370" s="65" t="s">
        <v>809</v>
      </c>
    </row>
    <row r="7371" spans="1:3" hidden="1">
      <c r="A7371" s="65">
        <v>9009904</v>
      </c>
      <c r="B7371" s="65" t="s">
        <v>7913</v>
      </c>
      <c r="C7371" s="65" t="s">
        <v>809</v>
      </c>
    </row>
    <row r="7372" spans="1:3" hidden="1">
      <c r="A7372" s="65">
        <v>9009905</v>
      </c>
      <c r="B7372" s="65" t="s">
        <v>7914</v>
      </c>
      <c r="C7372" s="65" t="s">
        <v>793</v>
      </c>
    </row>
    <row r="7373" spans="1:3" hidden="1">
      <c r="A7373" s="65">
        <v>9009906</v>
      </c>
      <c r="B7373" s="65" t="s">
        <v>7915</v>
      </c>
      <c r="C7373" s="65" t="s">
        <v>677</v>
      </c>
    </row>
    <row r="7374" spans="1:3" hidden="1">
      <c r="A7374" s="65">
        <v>9009907</v>
      </c>
      <c r="B7374" s="65" t="s">
        <v>7916</v>
      </c>
      <c r="C7374" s="65" t="s">
        <v>850</v>
      </c>
    </row>
    <row r="7375" spans="1:3" hidden="1">
      <c r="A7375" s="65">
        <v>9009908</v>
      </c>
      <c r="B7375" s="65" t="s">
        <v>7917</v>
      </c>
      <c r="C7375" s="65" t="s">
        <v>807</v>
      </c>
    </row>
    <row r="7376" spans="1:3" hidden="1">
      <c r="A7376" s="65">
        <v>9009909</v>
      </c>
      <c r="B7376" s="65" t="s">
        <v>7918</v>
      </c>
      <c r="C7376" s="65" t="s">
        <v>775</v>
      </c>
    </row>
    <row r="7377" spans="1:3" hidden="1">
      <c r="A7377" s="65">
        <v>9009910</v>
      </c>
      <c r="B7377" s="65" t="s">
        <v>7919</v>
      </c>
      <c r="C7377" s="65" t="s">
        <v>775</v>
      </c>
    </row>
    <row r="7378" spans="1:3" hidden="1">
      <c r="A7378" s="65">
        <v>9009911</v>
      </c>
      <c r="B7378" s="65" t="s">
        <v>7920</v>
      </c>
      <c r="C7378" s="65" t="s">
        <v>677</v>
      </c>
    </row>
    <row r="7379" spans="1:3" hidden="1">
      <c r="A7379" s="65">
        <v>9009912</v>
      </c>
      <c r="B7379" s="65" t="s">
        <v>7921</v>
      </c>
      <c r="C7379" s="65" t="s">
        <v>677</v>
      </c>
    </row>
    <row r="7380" spans="1:3" hidden="1">
      <c r="A7380" s="65">
        <v>9009913</v>
      </c>
      <c r="B7380" s="65" t="s">
        <v>7922</v>
      </c>
      <c r="C7380" s="65" t="s">
        <v>677</v>
      </c>
    </row>
    <row r="7381" spans="1:3" hidden="1">
      <c r="A7381" s="65">
        <v>9009914</v>
      </c>
      <c r="B7381" s="65" t="s">
        <v>7923</v>
      </c>
      <c r="C7381" s="65" t="s">
        <v>1036</v>
      </c>
    </row>
    <row r="7382" spans="1:3" hidden="1">
      <c r="A7382" s="65">
        <v>9009915</v>
      </c>
      <c r="B7382" s="65" t="s">
        <v>7924</v>
      </c>
      <c r="C7382" s="65" t="s">
        <v>664</v>
      </c>
    </row>
    <row r="7383" spans="1:3" hidden="1">
      <c r="A7383" s="65">
        <v>9009916</v>
      </c>
      <c r="B7383" s="65" t="s">
        <v>7925</v>
      </c>
      <c r="C7383" s="65" t="s">
        <v>664</v>
      </c>
    </row>
    <row r="7384" spans="1:3" hidden="1">
      <c r="A7384" s="65">
        <v>9009917</v>
      </c>
      <c r="B7384" s="65" t="s">
        <v>7926</v>
      </c>
      <c r="C7384" s="65" t="s">
        <v>942</v>
      </c>
    </row>
    <row r="7385" spans="1:3" hidden="1">
      <c r="A7385" s="65">
        <v>9009918</v>
      </c>
      <c r="B7385" s="65" t="s">
        <v>5982</v>
      </c>
      <c r="C7385" s="65" t="s">
        <v>664</v>
      </c>
    </row>
    <row r="7386" spans="1:3" hidden="1">
      <c r="A7386" s="65">
        <v>9009919</v>
      </c>
      <c r="B7386" s="65" t="s">
        <v>7927</v>
      </c>
      <c r="C7386" s="65" t="s">
        <v>942</v>
      </c>
    </row>
    <row r="7387" spans="1:3" hidden="1">
      <c r="A7387" s="65">
        <v>9009920</v>
      </c>
      <c r="B7387" s="65" t="s">
        <v>7928</v>
      </c>
      <c r="C7387" s="65" t="s">
        <v>666</v>
      </c>
    </row>
    <row r="7388" spans="1:3" hidden="1">
      <c r="A7388" s="65">
        <v>9009929</v>
      </c>
      <c r="B7388" s="65" t="s">
        <v>7929</v>
      </c>
      <c r="C7388" s="65" t="s">
        <v>7930</v>
      </c>
    </row>
    <row r="7389" spans="1:3" hidden="1">
      <c r="A7389" s="65">
        <v>9009930</v>
      </c>
      <c r="B7389" s="65" t="s">
        <v>7931</v>
      </c>
      <c r="C7389" s="65" t="s">
        <v>775</v>
      </c>
    </row>
    <row r="7390" spans="1:3" hidden="1">
      <c r="A7390" s="65">
        <v>9009931</v>
      </c>
      <c r="B7390" s="65" t="s">
        <v>7932</v>
      </c>
      <c r="C7390" s="65" t="s">
        <v>5741</v>
      </c>
    </row>
    <row r="7391" spans="1:3" hidden="1">
      <c r="A7391" s="65">
        <v>9009932</v>
      </c>
      <c r="B7391" s="65" t="s">
        <v>7933</v>
      </c>
      <c r="C7391" s="65" t="s">
        <v>942</v>
      </c>
    </row>
    <row r="7392" spans="1:3" hidden="1">
      <c r="A7392" s="65">
        <v>9009933</v>
      </c>
      <c r="B7392" s="65" t="s">
        <v>7934</v>
      </c>
      <c r="C7392" s="65" t="s">
        <v>840</v>
      </c>
    </row>
    <row r="7393" spans="1:3" hidden="1">
      <c r="A7393" s="65">
        <v>9009939</v>
      </c>
      <c r="B7393" s="65" t="s">
        <v>7935</v>
      </c>
      <c r="C7393" s="65" t="s">
        <v>807</v>
      </c>
    </row>
    <row r="7394" spans="1:3" hidden="1">
      <c r="A7394" s="65">
        <v>9009940</v>
      </c>
      <c r="B7394" s="65" t="s">
        <v>7936</v>
      </c>
      <c r="C7394" s="65" t="s">
        <v>1553</v>
      </c>
    </row>
    <row r="7395" spans="1:3" hidden="1">
      <c r="A7395" s="65">
        <v>9009941</v>
      </c>
      <c r="B7395" s="65" t="s">
        <v>7937</v>
      </c>
      <c r="C7395" s="65" t="s">
        <v>683</v>
      </c>
    </row>
    <row r="7396" spans="1:3" hidden="1">
      <c r="A7396" s="65">
        <v>9009942</v>
      </c>
      <c r="B7396" s="65" t="s">
        <v>7938</v>
      </c>
      <c r="C7396" s="65" t="s">
        <v>727</v>
      </c>
    </row>
    <row r="7397" spans="1:3" hidden="1">
      <c r="A7397" s="65">
        <v>9009943</v>
      </c>
      <c r="B7397" s="65" t="s">
        <v>7939</v>
      </c>
      <c r="C7397" s="65" t="s">
        <v>942</v>
      </c>
    </row>
    <row r="7398" spans="1:3" hidden="1">
      <c r="A7398" s="65">
        <v>9009944</v>
      </c>
      <c r="B7398" s="65" t="s">
        <v>7940</v>
      </c>
      <c r="C7398" s="65" t="s">
        <v>942</v>
      </c>
    </row>
    <row r="7399" spans="1:3" hidden="1">
      <c r="A7399" s="65">
        <v>9009945</v>
      </c>
      <c r="B7399" s="65" t="s">
        <v>7941</v>
      </c>
      <c r="C7399" s="65" t="s">
        <v>942</v>
      </c>
    </row>
    <row r="7400" spans="1:3" hidden="1">
      <c r="A7400" s="65">
        <v>9009946</v>
      </c>
      <c r="B7400" s="65" t="s">
        <v>7942</v>
      </c>
      <c r="C7400" s="65" t="s">
        <v>942</v>
      </c>
    </row>
    <row r="7401" spans="1:3" hidden="1">
      <c r="A7401" s="65">
        <v>9009947</v>
      </c>
      <c r="B7401" s="65" t="s">
        <v>7943</v>
      </c>
      <c r="C7401" s="65" t="s">
        <v>942</v>
      </c>
    </row>
    <row r="7402" spans="1:3" hidden="1">
      <c r="A7402" s="65">
        <v>9009948</v>
      </c>
      <c r="B7402" s="65" t="s">
        <v>7944</v>
      </c>
      <c r="C7402" s="65" t="s">
        <v>942</v>
      </c>
    </row>
    <row r="7403" spans="1:3" hidden="1">
      <c r="A7403" s="65">
        <v>9009949</v>
      </c>
      <c r="B7403" s="65" t="s">
        <v>7945</v>
      </c>
      <c r="C7403" s="65" t="s">
        <v>850</v>
      </c>
    </row>
    <row r="7404" spans="1:3" hidden="1">
      <c r="A7404" s="65">
        <v>9009950</v>
      </c>
      <c r="B7404" s="65" t="s">
        <v>7946</v>
      </c>
      <c r="C7404" s="65" t="s">
        <v>745</v>
      </c>
    </row>
    <row r="7405" spans="1:3" hidden="1">
      <c r="A7405" s="65">
        <v>9009951</v>
      </c>
      <c r="B7405" s="65" t="s">
        <v>7947</v>
      </c>
      <c r="C7405" s="65" t="s">
        <v>683</v>
      </c>
    </row>
    <row r="7406" spans="1:3" hidden="1">
      <c r="A7406" s="65">
        <v>9009952</v>
      </c>
      <c r="B7406" s="65" t="s">
        <v>7948</v>
      </c>
      <c r="C7406" s="65" t="s">
        <v>807</v>
      </c>
    </row>
    <row r="7407" spans="1:3" hidden="1">
      <c r="A7407" s="65">
        <v>9009953</v>
      </c>
      <c r="B7407" s="65" t="s">
        <v>7949</v>
      </c>
      <c r="C7407" s="65" t="s">
        <v>807</v>
      </c>
    </row>
    <row r="7408" spans="1:3" hidden="1">
      <c r="A7408" s="65">
        <v>9009954</v>
      </c>
      <c r="B7408" s="65" t="s">
        <v>7950</v>
      </c>
      <c r="C7408" s="65" t="s">
        <v>3170</v>
      </c>
    </row>
    <row r="7409" spans="1:3" hidden="1">
      <c r="A7409" s="65">
        <v>9009955</v>
      </c>
      <c r="B7409" s="65" t="s">
        <v>7951</v>
      </c>
      <c r="C7409" s="65" t="s">
        <v>3170</v>
      </c>
    </row>
    <row r="7410" spans="1:3" hidden="1">
      <c r="A7410" s="65">
        <v>9009956</v>
      </c>
      <c r="B7410" s="65" t="s">
        <v>7952</v>
      </c>
      <c r="C7410" s="65" t="s">
        <v>741</v>
      </c>
    </row>
    <row r="7411" spans="1:3" hidden="1">
      <c r="A7411" s="65">
        <v>9009957</v>
      </c>
      <c r="B7411" s="65" t="s">
        <v>7953</v>
      </c>
      <c r="C7411" s="65" t="s">
        <v>677</v>
      </c>
    </row>
    <row r="7412" spans="1:3" hidden="1">
      <c r="A7412" s="65">
        <v>9009958</v>
      </c>
      <c r="B7412" s="65" t="s">
        <v>7954</v>
      </c>
      <c r="C7412" s="65" t="s">
        <v>677</v>
      </c>
    </row>
    <row r="7413" spans="1:3" hidden="1">
      <c r="A7413" s="65">
        <v>9009959</v>
      </c>
      <c r="B7413" s="65" t="s">
        <v>7955</v>
      </c>
      <c r="C7413" s="65" t="s">
        <v>1036</v>
      </c>
    </row>
    <row r="7414" spans="1:3" hidden="1">
      <c r="A7414" s="65">
        <v>9009960</v>
      </c>
      <c r="B7414" s="65" t="s">
        <v>7956</v>
      </c>
      <c r="C7414" s="65" t="s">
        <v>745</v>
      </c>
    </row>
    <row r="7415" spans="1:3" hidden="1">
      <c r="A7415" s="65">
        <v>9009961</v>
      </c>
      <c r="B7415" s="65" t="s">
        <v>7957</v>
      </c>
      <c r="C7415" s="65" t="s">
        <v>1594</v>
      </c>
    </row>
    <row r="7416" spans="1:3" hidden="1">
      <c r="A7416" s="65">
        <v>9009969</v>
      </c>
      <c r="B7416" s="65" t="s">
        <v>7958</v>
      </c>
      <c r="C7416" s="65" t="s">
        <v>793</v>
      </c>
    </row>
    <row r="7417" spans="1:3" hidden="1">
      <c r="A7417" s="65">
        <v>9009970</v>
      </c>
      <c r="B7417" s="65" t="s">
        <v>7959</v>
      </c>
      <c r="C7417" s="65" t="s">
        <v>793</v>
      </c>
    </row>
    <row r="7418" spans="1:3" hidden="1">
      <c r="A7418" s="65">
        <v>9009971</v>
      </c>
      <c r="B7418" s="65" t="s">
        <v>7960</v>
      </c>
      <c r="C7418" s="65" t="s">
        <v>793</v>
      </c>
    </row>
    <row r="7419" spans="1:3" hidden="1">
      <c r="A7419" s="65">
        <v>9009972</v>
      </c>
      <c r="B7419" s="65" t="s">
        <v>7961</v>
      </c>
      <c r="C7419" s="65" t="s">
        <v>793</v>
      </c>
    </row>
    <row r="7420" spans="1:3" hidden="1">
      <c r="A7420" s="65">
        <v>9009973</v>
      </c>
      <c r="B7420" s="65" t="s">
        <v>7962</v>
      </c>
      <c r="C7420" s="65" t="s">
        <v>793</v>
      </c>
    </row>
    <row r="7421" spans="1:3" hidden="1">
      <c r="A7421" s="65">
        <v>9009974</v>
      </c>
      <c r="B7421" s="65" t="s">
        <v>7963</v>
      </c>
      <c r="C7421" s="65" t="s">
        <v>793</v>
      </c>
    </row>
    <row r="7422" spans="1:3" hidden="1">
      <c r="A7422" s="65">
        <v>9009975</v>
      </c>
      <c r="B7422" s="65" t="s">
        <v>7964</v>
      </c>
      <c r="C7422" s="65" t="s">
        <v>793</v>
      </c>
    </row>
    <row r="7423" spans="1:3" hidden="1">
      <c r="A7423" s="65">
        <v>9009976</v>
      </c>
      <c r="B7423" s="65" t="s">
        <v>7965</v>
      </c>
      <c r="C7423" s="65" t="s">
        <v>793</v>
      </c>
    </row>
    <row r="7424" spans="1:3" hidden="1">
      <c r="A7424" s="65">
        <v>9009977</v>
      </c>
      <c r="B7424" s="65" t="s">
        <v>7966</v>
      </c>
      <c r="C7424" s="65" t="s">
        <v>793</v>
      </c>
    </row>
    <row r="7425" spans="1:3" hidden="1">
      <c r="A7425" s="65">
        <v>9009978</v>
      </c>
      <c r="B7425" s="65" t="s">
        <v>7967</v>
      </c>
      <c r="C7425" s="65" t="s">
        <v>793</v>
      </c>
    </row>
    <row r="7426" spans="1:3" hidden="1">
      <c r="A7426" s="65">
        <v>9009979</v>
      </c>
      <c r="B7426" s="65" t="s">
        <v>7968</v>
      </c>
      <c r="C7426" s="65" t="s">
        <v>793</v>
      </c>
    </row>
    <row r="7427" spans="1:3" hidden="1">
      <c r="A7427" s="65">
        <v>9009980</v>
      </c>
      <c r="B7427" s="65" t="s">
        <v>7969</v>
      </c>
      <c r="C7427" s="65" t="s">
        <v>793</v>
      </c>
    </row>
    <row r="7428" spans="1:3" hidden="1">
      <c r="A7428" s="65">
        <v>9009981</v>
      </c>
      <c r="B7428" s="65" t="s">
        <v>7970</v>
      </c>
      <c r="C7428" s="65" t="s">
        <v>793</v>
      </c>
    </row>
    <row r="7429" spans="1:3" hidden="1">
      <c r="A7429" s="65">
        <v>9009982</v>
      </c>
      <c r="B7429" s="65" t="s">
        <v>7971</v>
      </c>
      <c r="C7429" s="65" t="s">
        <v>793</v>
      </c>
    </row>
    <row r="7430" spans="1:3" hidden="1">
      <c r="A7430" s="65">
        <v>9009983</v>
      </c>
      <c r="B7430" s="65" t="s">
        <v>7972</v>
      </c>
      <c r="C7430" s="65" t="s">
        <v>793</v>
      </c>
    </row>
    <row r="7431" spans="1:3" hidden="1">
      <c r="A7431" s="65">
        <v>9009984</v>
      </c>
      <c r="B7431" s="65" t="s">
        <v>7973</v>
      </c>
      <c r="C7431" s="65" t="s">
        <v>793</v>
      </c>
    </row>
    <row r="7432" spans="1:3" hidden="1">
      <c r="A7432" s="65">
        <v>9009985</v>
      </c>
      <c r="B7432" s="65" t="s">
        <v>7974</v>
      </c>
      <c r="C7432" s="65" t="s">
        <v>738</v>
      </c>
    </row>
    <row r="7433" spans="1:3" hidden="1">
      <c r="A7433" s="65">
        <v>9009986</v>
      </c>
      <c r="B7433" s="65" t="s">
        <v>7975</v>
      </c>
      <c r="C7433" s="65" t="s">
        <v>852</v>
      </c>
    </row>
    <row r="7434" spans="1:3" hidden="1">
      <c r="A7434" s="65">
        <v>9009987</v>
      </c>
      <c r="B7434" s="65" t="s">
        <v>7976</v>
      </c>
      <c r="C7434" s="65" t="s">
        <v>852</v>
      </c>
    </row>
    <row r="7435" spans="1:3" hidden="1">
      <c r="A7435" s="65">
        <v>9009988</v>
      </c>
      <c r="B7435" s="65" t="s">
        <v>7977</v>
      </c>
      <c r="C7435" s="65" t="s">
        <v>852</v>
      </c>
    </row>
    <row r="7436" spans="1:3" hidden="1">
      <c r="A7436" s="65">
        <v>9009989</v>
      </c>
      <c r="B7436" s="65" t="s">
        <v>7978</v>
      </c>
      <c r="C7436" s="65" t="s">
        <v>942</v>
      </c>
    </row>
    <row r="7437" spans="1:3" hidden="1">
      <c r="A7437" s="65">
        <v>9009990</v>
      </c>
      <c r="B7437" s="65" t="s">
        <v>7979</v>
      </c>
      <c r="C7437" s="65" t="s">
        <v>683</v>
      </c>
    </row>
    <row r="7438" spans="1:3" hidden="1">
      <c r="A7438" s="65">
        <v>9009991</v>
      </c>
      <c r="B7438" s="65" t="s">
        <v>7980</v>
      </c>
      <c r="C7438" s="65" t="s">
        <v>852</v>
      </c>
    </row>
    <row r="7439" spans="1:3" hidden="1">
      <c r="A7439" s="65">
        <v>9009992</v>
      </c>
      <c r="B7439" s="65" t="s">
        <v>7981</v>
      </c>
      <c r="C7439" s="65" t="s">
        <v>852</v>
      </c>
    </row>
    <row r="7440" spans="1:3" hidden="1">
      <c r="A7440" s="65">
        <v>9009993</v>
      </c>
      <c r="B7440" s="65" t="s">
        <v>7982</v>
      </c>
      <c r="C7440" s="65" t="s">
        <v>942</v>
      </c>
    </row>
    <row r="7441" spans="1:3" hidden="1">
      <c r="A7441" s="65">
        <v>9009999</v>
      </c>
      <c r="B7441" s="65" t="s">
        <v>7983</v>
      </c>
      <c r="C7441" s="65" t="s">
        <v>827</v>
      </c>
    </row>
    <row r="7442" spans="1:3" hidden="1">
      <c r="A7442" s="65">
        <v>9010009</v>
      </c>
      <c r="B7442" s="65" t="s">
        <v>7984</v>
      </c>
      <c r="C7442" s="65" t="s">
        <v>793</v>
      </c>
    </row>
    <row r="7443" spans="1:3" hidden="1">
      <c r="A7443" s="65">
        <v>9010010</v>
      </c>
      <c r="B7443" s="65" t="s">
        <v>7985</v>
      </c>
      <c r="C7443" s="65" t="s">
        <v>743</v>
      </c>
    </row>
    <row r="7444" spans="1:3" hidden="1">
      <c r="A7444" s="65">
        <v>9010019</v>
      </c>
      <c r="B7444" s="65" t="s">
        <v>7986</v>
      </c>
      <c r="C7444" s="65" t="s">
        <v>942</v>
      </c>
    </row>
    <row r="7445" spans="1:3" hidden="1">
      <c r="A7445" s="65">
        <v>9010020</v>
      </c>
      <c r="B7445" s="65" t="s">
        <v>7987</v>
      </c>
      <c r="C7445" s="65" t="s">
        <v>942</v>
      </c>
    </row>
    <row r="7446" spans="1:3" hidden="1">
      <c r="A7446" s="65">
        <v>9010021</v>
      </c>
      <c r="B7446" s="65" t="s">
        <v>7988</v>
      </c>
      <c r="C7446" s="65" t="s">
        <v>942</v>
      </c>
    </row>
    <row r="7447" spans="1:3" hidden="1">
      <c r="A7447" s="65">
        <v>9010022</v>
      </c>
      <c r="B7447" s="65" t="s">
        <v>7989</v>
      </c>
      <c r="C7447" s="65" t="s">
        <v>942</v>
      </c>
    </row>
    <row r="7448" spans="1:3" hidden="1">
      <c r="A7448" s="65">
        <v>9010023</v>
      </c>
      <c r="B7448" s="65" t="s">
        <v>7990</v>
      </c>
      <c r="C7448" s="65" t="s">
        <v>942</v>
      </c>
    </row>
    <row r="7449" spans="1:3" hidden="1">
      <c r="A7449" s="65">
        <v>9010024</v>
      </c>
      <c r="B7449" s="65" t="s">
        <v>7991</v>
      </c>
      <c r="C7449" s="65" t="s">
        <v>942</v>
      </c>
    </row>
    <row r="7450" spans="1:3" hidden="1">
      <c r="A7450" s="65">
        <v>9010025</v>
      </c>
      <c r="B7450" s="65" t="s">
        <v>7992</v>
      </c>
      <c r="C7450" s="65" t="s">
        <v>942</v>
      </c>
    </row>
    <row r="7451" spans="1:3" hidden="1">
      <c r="A7451" s="65">
        <v>9010026</v>
      </c>
      <c r="B7451" s="65" t="s">
        <v>7993</v>
      </c>
      <c r="C7451" s="65" t="s">
        <v>942</v>
      </c>
    </row>
    <row r="7452" spans="1:3" hidden="1">
      <c r="A7452" s="65">
        <v>9010027</v>
      </c>
      <c r="B7452" s="65" t="s">
        <v>7994</v>
      </c>
      <c r="C7452" s="65" t="s">
        <v>827</v>
      </c>
    </row>
    <row r="7453" spans="1:3" hidden="1">
      <c r="A7453" s="65">
        <v>9010028</v>
      </c>
      <c r="B7453" s="65" t="s">
        <v>7995</v>
      </c>
      <c r="C7453" s="65" t="s">
        <v>827</v>
      </c>
    </row>
    <row r="7454" spans="1:3" hidden="1">
      <c r="A7454" s="65">
        <v>9010029</v>
      </c>
      <c r="B7454" s="65" t="s">
        <v>7996</v>
      </c>
      <c r="C7454" s="65" t="s">
        <v>840</v>
      </c>
    </row>
    <row r="7455" spans="1:3" hidden="1">
      <c r="A7455" s="65">
        <v>9010030</v>
      </c>
      <c r="B7455" s="65" t="s">
        <v>7997</v>
      </c>
      <c r="C7455" s="65" t="s">
        <v>827</v>
      </c>
    </row>
    <row r="7456" spans="1:3" hidden="1">
      <c r="A7456" s="65">
        <v>9010031</v>
      </c>
      <c r="B7456" s="65" t="s">
        <v>7998</v>
      </c>
      <c r="C7456" s="65" t="s">
        <v>738</v>
      </c>
    </row>
    <row r="7457" spans="1:3" hidden="1">
      <c r="A7457" s="65">
        <v>9010032</v>
      </c>
      <c r="B7457" s="65" t="s">
        <v>7999</v>
      </c>
      <c r="C7457" s="65" t="s">
        <v>738</v>
      </c>
    </row>
    <row r="7458" spans="1:3" hidden="1">
      <c r="A7458" s="65">
        <v>9010033</v>
      </c>
      <c r="B7458" s="65" t="s">
        <v>8000</v>
      </c>
      <c r="C7458" s="65" t="s">
        <v>738</v>
      </c>
    </row>
    <row r="7459" spans="1:3" hidden="1">
      <c r="A7459" s="65">
        <v>9010034</v>
      </c>
      <c r="B7459" s="65" t="s">
        <v>8001</v>
      </c>
      <c r="C7459" s="65" t="s">
        <v>738</v>
      </c>
    </row>
    <row r="7460" spans="1:3" hidden="1">
      <c r="A7460" s="65">
        <v>9010035</v>
      </c>
      <c r="B7460" s="65" t="s">
        <v>8002</v>
      </c>
      <c r="C7460" s="65" t="s">
        <v>738</v>
      </c>
    </row>
    <row r="7461" spans="1:3" hidden="1">
      <c r="A7461" s="65">
        <v>9010036</v>
      </c>
      <c r="B7461" s="65" t="s">
        <v>8003</v>
      </c>
      <c r="C7461" s="65" t="s">
        <v>738</v>
      </c>
    </row>
    <row r="7462" spans="1:3" hidden="1">
      <c r="A7462" s="65">
        <v>9010037</v>
      </c>
      <c r="B7462" s="65" t="s">
        <v>8004</v>
      </c>
      <c r="C7462" s="65" t="s">
        <v>738</v>
      </c>
    </row>
    <row r="7463" spans="1:3" hidden="1">
      <c r="A7463" s="65">
        <v>9010038</v>
      </c>
      <c r="B7463" s="65" t="s">
        <v>8005</v>
      </c>
      <c r="C7463" s="65" t="s">
        <v>738</v>
      </c>
    </row>
    <row r="7464" spans="1:3" hidden="1">
      <c r="A7464" s="65">
        <v>9010039</v>
      </c>
      <c r="B7464" s="65" t="s">
        <v>8006</v>
      </c>
      <c r="C7464" s="65" t="s">
        <v>1111</v>
      </c>
    </row>
    <row r="7465" spans="1:3" hidden="1">
      <c r="A7465" s="65">
        <v>9010040</v>
      </c>
      <c r="B7465" s="65" t="s">
        <v>8007</v>
      </c>
      <c r="C7465" s="65" t="s">
        <v>1111</v>
      </c>
    </row>
    <row r="7466" spans="1:3" hidden="1">
      <c r="A7466" s="65">
        <v>9010041</v>
      </c>
      <c r="B7466" s="65" t="s">
        <v>8008</v>
      </c>
      <c r="C7466" s="65" t="s">
        <v>1111</v>
      </c>
    </row>
    <row r="7467" spans="1:3" hidden="1">
      <c r="A7467" s="65">
        <v>9010042</v>
      </c>
      <c r="B7467" s="65" t="s">
        <v>8009</v>
      </c>
      <c r="C7467" s="65" t="s">
        <v>1111</v>
      </c>
    </row>
    <row r="7468" spans="1:3" hidden="1">
      <c r="A7468" s="65">
        <v>9010043</v>
      </c>
      <c r="B7468" s="65" t="s">
        <v>8010</v>
      </c>
      <c r="C7468" s="65" t="s">
        <v>1036</v>
      </c>
    </row>
    <row r="7469" spans="1:3" hidden="1">
      <c r="A7469" s="65">
        <v>9010044</v>
      </c>
      <c r="B7469" s="65" t="s">
        <v>8011</v>
      </c>
      <c r="C7469" s="65" t="s">
        <v>1036</v>
      </c>
    </row>
    <row r="7470" spans="1:3" hidden="1">
      <c r="A7470" s="65">
        <v>9010045</v>
      </c>
      <c r="B7470" s="65" t="s">
        <v>8012</v>
      </c>
      <c r="C7470" s="65" t="s">
        <v>1036</v>
      </c>
    </row>
    <row r="7471" spans="1:3" hidden="1">
      <c r="A7471" s="65">
        <v>9010046</v>
      </c>
      <c r="B7471" s="65" t="s">
        <v>8013</v>
      </c>
      <c r="C7471" s="65" t="s">
        <v>1036</v>
      </c>
    </row>
    <row r="7472" spans="1:3" hidden="1">
      <c r="A7472" s="65">
        <v>9010047</v>
      </c>
      <c r="B7472" s="65" t="s">
        <v>8014</v>
      </c>
      <c r="C7472" s="65" t="s">
        <v>1036</v>
      </c>
    </row>
    <row r="7473" spans="1:3" hidden="1">
      <c r="A7473" s="65">
        <v>9010048</v>
      </c>
      <c r="B7473" s="65" t="s">
        <v>8015</v>
      </c>
      <c r="C7473" s="65" t="s">
        <v>1036</v>
      </c>
    </row>
    <row r="7474" spans="1:3" hidden="1">
      <c r="A7474" s="65">
        <v>9010049</v>
      </c>
      <c r="B7474" s="65" t="s">
        <v>8016</v>
      </c>
      <c r="C7474" s="65" t="s">
        <v>1036</v>
      </c>
    </row>
    <row r="7475" spans="1:3" hidden="1">
      <c r="A7475" s="65">
        <v>9010050</v>
      </c>
      <c r="B7475" s="65" t="s">
        <v>8017</v>
      </c>
      <c r="C7475" s="65" t="s">
        <v>1036</v>
      </c>
    </row>
    <row r="7476" spans="1:3" hidden="1">
      <c r="A7476" s="65">
        <v>9010051</v>
      </c>
      <c r="B7476" s="65" t="s">
        <v>8018</v>
      </c>
      <c r="C7476" s="65" t="s">
        <v>1036</v>
      </c>
    </row>
    <row r="7477" spans="1:3" hidden="1">
      <c r="A7477" s="65">
        <v>9010052</v>
      </c>
      <c r="B7477" s="65" t="s">
        <v>8019</v>
      </c>
      <c r="C7477" s="65" t="s">
        <v>1036</v>
      </c>
    </row>
    <row r="7478" spans="1:3" hidden="1">
      <c r="A7478" s="65">
        <v>9010053</v>
      </c>
      <c r="B7478" s="65" t="s">
        <v>8020</v>
      </c>
      <c r="C7478" s="65" t="s">
        <v>1425</v>
      </c>
    </row>
    <row r="7479" spans="1:3" hidden="1">
      <c r="A7479" s="65">
        <v>9010054</v>
      </c>
      <c r="B7479" s="65" t="s">
        <v>8021</v>
      </c>
      <c r="C7479" s="65" t="s">
        <v>1425</v>
      </c>
    </row>
    <row r="7480" spans="1:3" hidden="1">
      <c r="A7480" s="65">
        <v>9010055</v>
      </c>
      <c r="B7480" s="65" t="s">
        <v>8022</v>
      </c>
      <c r="C7480" s="65" t="s">
        <v>1425</v>
      </c>
    </row>
    <row r="7481" spans="1:3" hidden="1">
      <c r="A7481" s="65">
        <v>9010056</v>
      </c>
      <c r="B7481" s="65" t="s">
        <v>8023</v>
      </c>
      <c r="C7481" s="65" t="s">
        <v>1425</v>
      </c>
    </row>
    <row r="7482" spans="1:3" hidden="1">
      <c r="A7482" s="65">
        <v>9010057</v>
      </c>
      <c r="B7482" s="65" t="s">
        <v>8024</v>
      </c>
      <c r="C7482" s="65" t="s">
        <v>1425</v>
      </c>
    </row>
    <row r="7483" spans="1:3" hidden="1">
      <c r="A7483" s="65">
        <v>9010058</v>
      </c>
      <c r="B7483" s="65" t="s">
        <v>8025</v>
      </c>
      <c r="C7483" s="65" t="s">
        <v>1425</v>
      </c>
    </row>
    <row r="7484" spans="1:3" hidden="1">
      <c r="A7484" s="65">
        <v>9010059</v>
      </c>
      <c r="B7484" s="65" t="s">
        <v>8026</v>
      </c>
      <c r="C7484" s="65" t="s">
        <v>1425</v>
      </c>
    </row>
    <row r="7485" spans="1:3" hidden="1">
      <c r="A7485" s="65">
        <v>9010060</v>
      </c>
      <c r="B7485" s="65" t="s">
        <v>8027</v>
      </c>
      <c r="C7485" s="65" t="s">
        <v>1425</v>
      </c>
    </row>
    <row r="7486" spans="1:3" hidden="1">
      <c r="A7486" s="65">
        <v>9010061</v>
      </c>
      <c r="B7486" s="65" t="s">
        <v>8028</v>
      </c>
      <c r="C7486" s="65" t="s">
        <v>738</v>
      </c>
    </row>
    <row r="7487" spans="1:3" hidden="1">
      <c r="A7487" s="65">
        <v>9010069</v>
      </c>
      <c r="B7487" s="65" t="s">
        <v>8029</v>
      </c>
      <c r="C7487" s="65" t="s">
        <v>738</v>
      </c>
    </row>
    <row r="7488" spans="1:3" hidden="1">
      <c r="A7488" s="65">
        <v>9010079</v>
      </c>
      <c r="B7488" s="65" t="s">
        <v>8030</v>
      </c>
      <c r="C7488" s="65" t="s">
        <v>738</v>
      </c>
    </row>
    <row r="7489" spans="1:3" hidden="1">
      <c r="A7489" s="65">
        <v>9010080</v>
      </c>
      <c r="B7489" s="65" t="s">
        <v>8031</v>
      </c>
      <c r="C7489" s="65" t="s">
        <v>738</v>
      </c>
    </row>
    <row r="7490" spans="1:3" hidden="1">
      <c r="A7490" s="65">
        <v>9010081</v>
      </c>
      <c r="B7490" s="65" t="s">
        <v>8032</v>
      </c>
      <c r="C7490" s="65" t="s">
        <v>738</v>
      </c>
    </row>
    <row r="7491" spans="1:3" hidden="1">
      <c r="A7491" s="65">
        <v>9010082</v>
      </c>
      <c r="B7491" s="65" t="s">
        <v>8033</v>
      </c>
      <c r="C7491" s="65" t="s">
        <v>738</v>
      </c>
    </row>
    <row r="7492" spans="1:3" hidden="1">
      <c r="A7492" s="65">
        <v>9010083</v>
      </c>
      <c r="B7492" s="65" t="s">
        <v>8034</v>
      </c>
      <c r="C7492" s="65" t="s">
        <v>738</v>
      </c>
    </row>
    <row r="7493" spans="1:3" hidden="1">
      <c r="A7493" s="65">
        <v>9010084</v>
      </c>
      <c r="B7493" s="65" t="s">
        <v>8035</v>
      </c>
      <c r="C7493" s="65" t="s">
        <v>738</v>
      </c>
    </row>
    <row r="7494" spans="1:3" hidden="1">
      <c r="A7494" s="65">
        <v>9010085</v>
      </c>
      <c r="B7494" s="65" t="s">
        <v>8036</v>
      </c>
      <c r="C7494" s="65" t="s">
        <v>738</v>
      </c>
    </row>
    <row r="7495" spans="1:3" hidden="1">
      <c r="A7495" s="65">
        <v>9010086</v>
      </c>
      <c r="B7495" s="65" t="s">
        <v>8037</v>
      </c>
      <c r="C7495" s="65" t="s">
        <v>738</v>
      </c>
    </row>
    <row r="7496" spans="1:3" hidden="1">
      <c r="A7496" s="65">
        <v>9010087</v>
      </c>
      <c r="B7496" s="65" t="s">
        <v>8038</v>
      </c>
      <c r="C7496" s="65" t="s">
        <v>738</v>
      </c>
    </row>
    <row r="7497" spans="1:3" hidden="1">
      <c r="A7497" s="65">
        <v>9010088</v>
      </c>
      <c r="B7497" s="65" t="s">
        <v>8039</v>
      </c>
      <c r="C7497" s="65" t="s">
        <v>738</v>
      </c>
    </row>
    <row r="7498" spans="1:3" hidden="1">
      <c r="A7498" s="65">
        <v>9010089</v>
      </c>
      <c r="B7498" s="65" t="s">
        <v>8040</v>
      </c>
      <c r="C7498" s="65" t="s">
        <v>738</v>
      </c>
    </row>
    <row r="7499" spans="1:3" hidden="1">
      <c r="A7499" s="65">
        <v>9010090</v>
      </c>
      <c r="B7499" s="65" t="s">
        <v>8041</v>
      </c>
      <c r="C7499" s="65" t="s">
        <v>738</v>
      </c>
    </row>
    <row r="7500" spans="1:3" hidden="1">
      <c r="A7500" s="65">
        <v>9010091</v>
      </c>
      <c r="B7500" s="65" t="s">
        <v>8042</v>
      </c>
      <c r="C7500" s="65" t="s">
        <v>738</v>
      </c>
    </row>
    <row r="7501" spans="1:3" hidden="1">
      <c r="A7501" s="65">
        <v>9010092</v>
      </c>
      <c r="B7501" s="65" t="s">
        <v>8043</v>
      </c>
      <c r="C7501" s="65" t="s">
        <v>738</v>
      </c>
    </row>
    <row r="7502" spans="1:3" hidden="1">
      <c r="A7502" s="65">
        <v>9010093</v>
      </c>
      <c r="B7502" s="65" t="s">
        <v>8044</v>
      </c>
      <c r="C7502" s="65" t="s">
        <v>738</v>
      </c>
    </row>
    <row r="7503" spans="1:3" hidden="1">
      <c r="A7503" s="65">
        <v>9010094</v>
      </c>
      <c r="B7503" s="65" t="s">
        <v>8045</v>
      </c>
      <c r="C7503" s="65" t="s">
        <v>738</v>
      </c>
    </row>
    <row r="7504" spans="1:3" hidden="1">
      <c r="A7504" s="65">
        <v>9010095</v>
      </c>
      <c r="B7504" s="65" t="s">
        <v>8046</v>
      </c>
      <c r="C7504" s="65" t="s">
        <v>738</v>
      </c>
    </row>
    <row r="7505" spans="1:3" hidden="1">
      <c r="A7505" s="65">
        <v>9010096</v>
      </c>
      <c r="B7505" s="65" t="s">
        <v>8047</v>
      </c>
      <c r="C7505" s="65" t="s">
        <v>738</v>
      </c>
    </row>
    <row r="7506" spans="1:3" hidden="1">
      <c r="A7506" s="65">
        <v>9010097</v>
      </c>
      <c r="B7506" s="65" t="s">
        <v>8048</v>
      </c>
      <c r="C7506" s="65" t="s">
        <v>738</v>
      </c>
    </row>
    <row r="7507" spans="1:3" hidden="1">
      <c r="A7507" s="65">
        <v>9010098</v>
      </c>
      <c r="B7507" s="65" t="s">
        <v>8049</v>
      </c>
      <c r="C7507" s="65" t="s">
        <v>738</v>
      </c>
    </row>
    <row r="7508" spans="1:3" hidden="1">
      <c r="A7508" s="65">
        <v>9010099</v>
      </c>
      <c r="B7508" s="65" t="s">
        <v>8050</v>
      </c>
      <c r="C7508" s="65" t="s">
        <v>738</v>
      </c>
    </row>
    <row r="7509" spans="1:3" hidden="1">
      <c r="A7509" s="65">
        <v>9010100</v>
      </c>
      <c r="B7509" s="65" t="s">
        <v>8051</v>
      </c>
      <c r="C7509" s="65" t="s">
        <v>738</v>
      </c>
    </row>
    <row r="7510" spans="1:3" hidden="1">
      <c r="A7510" s="65">
        <v>9010101</v>
      </c>
      <c r="B7510" s="65" t="s">
        <v>8052</v>
      </c>
      <c r="C7510" s="65" t="s">
        <v>738</v>
      </c>
    </row>
    <row r="7511" spans="1:3" hidden="1">
      <c r="A7511" s="65">
        <v>9010102</v>
      </c>
      <c r="B7511" s="65" t="s">
        <v>8053</v>
      </c>
      <c r="C7511" s="65" t="s">
        <v>738</v>
      </c>
    </row>
    <row r="7512" spans="1:3" hidden="1">
      <c r="A7512" s="65">
        <v>9010103</v>
      </c>
      <c r="B7512" s="65" t="s">
        <v>8054</v>
      </c>
      <c r="C7512" s="65" t="s">
        <v>738</v>
      </c>
    </row>
    <row r="7513" spans="1:3" hidden="1">
      <c r="A7513" s="65">
        <v>9010104</v>
      </c>
      <c r="B7513" s="65" t="s">
        <v>8055</v>
      </c>
      <c r="C7513" s="65" t="s">
        <v>738</v>
      </c>
    </row>
    <row r="7514" spans="1:3" hidden="1">
      <c r="A7514" s="65">
        <v>9010105</v>
      </c>
      <c r="B7514" s="65" t="s">
        <v>8056</v>
      </c>
      <c r="C7514" s="65" t="s">
        <v>738</v>
      </c>
    </row>
    <row r="7515" spans="1:3" hidden="1">
      <c r="A7515" s="65">
        <v>9010106</v>
      </c>
      <c r="B7515" s="65" t="s">
        <v>8057</v>
      </c>
      <c r="C7515" s="65" t="s">
        <v>738</v>
      </c>
    </row>
    <row r="7516" spans="1:3" hidden="1">
      <c r="A7516" s="65">
        <v>9010107</v>
      </c>
      <c r="B7516" s="65" t="s">
        <v>8058</v>
      </c>
      <c r="C7516" s="65" t="s">
        <v>738</v>
      </c>
    </row>
    <row r="7517" spans="1:3" hidden="1">
      <c r="A7517" s="65">
        <v>9010108</v>
      </c>
      <c r="B7517" s="65" t="s">
        <v>8059</v>
      </c>
      <c r="C7517" s="65" t="s">
        <v>738</v>
      </c>
    </row>
    <row r="7518" spans="1:3" hidden="1">
      <c r="A7518" s="65">
        <v>9010109</v>
      </c>
      <c r="B7518" s="65" t="s">
        <v>8060</v>
      </c>
      <c r="C7518" s="65" t="s">
        <v>738</v>
      </c>
    </row>
    <row r="7519" spans="1:3" hidden="1">
      <c r="A7519" s="65">
        <v>9010110</v>
      </c>
      <c r="B7519" s="65" t="s">
        <v>8061</v>
      </c>
      <c r="C7519" s="65" t="s">
        <v>738</v>
      </c>
    </row>
    <row r="7520" spans="1:3" hidden="1">
      <c r="A7520" s="65">
        <v>9010111</v>
      </c>
      <c r="B7520" s="65" t="s">
        <v>8062</v>
      </c>
      <c r="C7520" s="65" t="s">
        <v>738</v>
      </c>
    </row>
    <row r="7521" spans="1:3" hidden="1">
      <c r="A7521" s="65">
        <v>9010112</v>
      </c>
      <c r="B7521" s="65" t="s">
        <v>8063</v>
      </c>
      <c r="C7521" s="65" t="s">
        <v>738</v>
      </c>
    </row>
    <row r="7522" spans="1:3" hidden="1">
      <c r="A7522" s="65">
        <v>9010113</v>
      </c>
      <c r="B7522" s="65" t="s">
        <v>8064</v>
      </c>
      <c r="C7522" s="65" t="s">
        <v>738</v>
      </c>
    </row>
    <row r="7523" spans="1:3" hidden="1">
      <c r="A7523" s="65">
        <v>9010114</v>
      </c>
      <c r="B7523" s="65" t="s">
        <v>8065</v>
      </c>
      <c r="C7523" s="65" t="s">
        <v>738</v>
      </c>
    </row>
    <row r="7524" spans="1:3" hidden="1">
      <c r="A7524" s="65">
        <v>9010115</v>
      </c>
      <c r="B7524" s="65" t="s">
        <v>8066</v>
      </c>
      <c r="C7524" s="65" t="s">
        <v>738</v>
      </c>
    </row>
    <row r="7525" spans="1:3" hidden="1">
      <c r="A7525" s="65">
        <v>9010116</v>
      </c>
      <c r="B7525" s="65" t="s">
        <v>8067</v>
      </c>
      <c r="C7525" s="65" t="s">
        <v>738</v>
      </c>
    </row>
    <row r="7526" spans="1:3" hidden="1">
      <c r="A7526" s="65">
        <v>9010117</v>
      </c>
      <c r="B7526" s="65" t="s">
        <v>8068</v>
      </c>
      <c r="C7526" s="65" t="s">
        <v>738</v>
      </c>
    </row>
    <row r="7527" spans="1:3" hidden="1">
      <c r="A7527" s="65">
        <v>9010118</v>
      </c>
      <c r="B7527" s="65" t="s">
        <v>8069</v>
      </c>
      <c r="C7527" s="65" t="s">
        <v>738</v>
      </c>
    </row>
    <row r="7528" spans="1:3" hidden="1">
      <c r="A7528" s="65">
        <v>9010119</v>
      </c>
      <c r="B7528" s="65" t="s">
        <v>8070</v>
      </c>
      <c r="C7528" s="65" t="s">
        <v>738</v>
      </c>
    </row>
    <row r="7529" spans="1:3" hidden="1">
      <c r="A7529" s="65">
        <v>9010120</v>
      </c>
      <c r="B7529" s="65" t="s">
        <v>8071</v>
      </c>
      <c r="C7529" s="65" t="s">
        <v>738</v>
      </c>
    </row>
    <row r="7530" spans="1:3" hidden="1">
      <c r="A7530" s="65">
        <v>9010121</v>
      </c>
      <c r="B7530" s="65" t="s">
        <v>8072</v>
      </c>
      <c r="C7530" s="65" t="s">
        <v>738</v>
      </c>
    </row>
    <row r="7531" spans="1:3" hidden="1">
      <c r="A7531" s="65">
        <v>9010122</v>
      </c>
      <c r="B7531" s="65" t="s">
        <v>8073</v>
      </c>
      <c r="C7531" s="65" t="s">
        <v>738</v>
      </c>
    </row>
    <row r="7532" spans="1:3" hidden="1">
      <c r="A7532" s="65">
        <v>9010123</v>
      </c>
      <c r="B7532" s="65" t="s">
        <v>8074</v>
      </c>
      <c r="C7532" s="65" t="s">
        <v>738</v>
      </c>
    </row>
    <row r="7533" spans="1:3" hidden="1">
      <c r="A7533" s="65">
        <v>9010124</v>
      </c>
      <c r="B7533" s="65" t="s">
        <v>8075</v>
      </c>
      <c r="C7533" s="65" t="s">
        <v>738</v>
      </c>
    </row>
    <row r="7534" spans="1:3" hidden="1">
      <c r="A7534" s="65">
        <v>9010125</v>
      </c>
      <c r="B7534" s="65" t="s">
        <v>8076</v>
      </c>
      <c r="C7534" s="65" t="s">
        <v>738</v>
      </c>
    </row>
    <row r="7535" spans="1:3" hidden="1">
      <c r="A7535" s="65">
        <v>9010126</v>
      </c>
      <c r="B7535" s="65" t="s">
        <v>8077</v>
      </c>
      <c r="C7535" s="65" t="s">
        <v>738</v>
      </c>
    </row>
    <row r="7536" spans="1:3" hidden="1">
      <c r="A7536" s="65">
        <v>9010127</v>
      </c>
      <c r="B7536" s="65" t="s">
        <v>8078</v>
      </c>
      <c r="C7536" s="65" t="s">
        <v>738</v>
      </c>
    </row>
    <row r="7537" spans="1:3" hidden="1">
      <c r="A7537" s="65">
        <v>9010128</v>
      </c>
      <c r="B7537" s="65" t="s">
        <v>8079</v>
      </c>
      <c r="C7537" s="65" t="s">
        <v>738</v>
      </c>
    </row>
    <row r="7538" spans="1:3" hidden="1">
      <c r="A7538" s="65">
        <v>9010129</v>
      </c>
      <c r="B7538" s="65" t="s">
        <v>8080</v>
      </c>
      <c r="C7538" s="65" t="s">
        <v>738</v>
      </c>
    </row>
    <row r="7539" spans="1:3" hidden="1">
      <c r="A7539" s="65">
        <v>9010130</v>
      </c>
      <c r="B7539" s="65" t="s">
        <v>8081</v>
      </c>
      <c r="C7539" s="65" t="s">
        <v>738</v>
      </c>
    </row>
    <row r="7540" spans="1:3" hidden="1">
      <c r="A7540" s="65">
        <v>9010131</v>
      </c>
      <c r="B7540" s="65" t="s">
        <v>8082</v>
      </c>
      <c r="C7540" s="65" t="s">
        <v>738</v>
      </c>
    </row>
    <row r="7541" spans="1:3" hidden="1">
      <c r="A7541" s="65">
        <v>9010132</v>
      </c>
      <c r="B7541" s="65" t="s">
        <v>8083</v>
      </c>
      <c r="C7541" s="65" t="s">
        <v>738</v>
      </c>
    </row>
    <row r="7542" spans="1:3" hidden="1">
      <c r="A7542" s="65">
        <v>9010133</v>
      </c>
      <c r="B7542" s="65" t="s">
        <v>8084</v>
      </c>
      <c r="C7542" s="65" t="s">
        <v>738</v>
      </c>
    </row>
    <row r="7543" spans="1:3" hidden="1">
      <c r="A7543" s="65">
        <v>9010134</v>
      </c>
      <c r="B7543" s="65" t="s">
        <v>8085</v>
      </c>
      <c r="C7543" s="65" t="s">
        <v>738</v>
      </c>
    </row>
    <row r="7544" spans="1:3" hidden="1">
      <c r="A7544" s="65">
        <v>9010135</v>
      </c>
      <c r="B7544" s="65" t="s">
        <v>8086</v>
      </c>
      <c r="C7544" s="65" t="s">
        <v>738</v>
      </c>
    </row>
    <row r="7545" spans="1:3" hidden="1">
      <c r="A7545" s="65">
        <v>9010136</v>
      </c>
      <c r="B7545" s="65" t="s">
        <v>8087</v>
      </c>
      <c r="C7545" s="65" t="s">
        <v>738</v>
      </c>
    </row>
    <row r="7546" spans="1:3" hidden="1">
      <c r="A7546" s="65">
        <v>9010137</v>
      </c>
      <c r="B7546" s="65" t="s">
        <v>8088</v>
      </c>
      <c r="C7546" s="65" t="s">
        <v>738</v>
      </c>
    </row>
    <row r="7547" spans="1:3" hidden="1">
      <c r="A7547" s="65">
        <v>9010138</v>
      </c>
      <c r="B7547" s="65" t="s">
        <v>8089</v>
      </c>
      <c r="C7547" s="65" t="s">
        <v>738</v>
      </c>
    </row>
    <row r="7548" spans="1:3" hidden="1">
      <c r="A7548" s="65">
        <v>9010139</v>
      </c>
      <c r="B7548" s="65" t="s">
        <v>8090</v>
      </c>
      <c r="C7548" s="65" t="s">
        <v>738</v>
      </c>
    </row>
    <row r="7549" spans="1:3" hidden="1">
      <c r="A7549" s="65">
        <v>9010140</v>
      </c>
      <c r="B7549" s="65" t="s">
        <v>8091</v>
      </c>
      <c r="C7549" s="65" t="s">
        <v>738</v>
      </c>
    </row>
    <row r="7550" spans="1:3" hidden="1">
      <c r="A7550" s="65">
        <v>9010141</v>
      </c>
      <c r="B7550" s="65" t="s">
        <v>8092</v>
      </c>
      <c r="C7550" s="65" t="s">
        <v>738</v>
      </c>
    </row>
    <row r="7551" spans="1:3" hidden="1">
      <c r="A7551" s="65">
        <v>9010142</v>
      </c>
      <c r="B7551" s="65" t="s">
        <v>8093</v>
      </c>
      <c r="C7551" s="65" t="s">
        <v>738</v>
      </c>
    </row>
    <row r="7552" spans="1:3" hidden="1">
      <c r="A7552" s="65">
        <v>9010143</v>
      </c>
      <c r="B7552" s="65" t="s">
        <v>8094</v>
      </c>
      <c r="C7552" s="65" t="s">
        <v>738</v>
      </c>
    </row>
    <row r="7553" spans="1:3" hidden="1">
      <c r="A7553" s="65">
        <v>9010144</v>
      </c>
      <c r="B7553" s="65" t="s">
        <v>8095</v>
      </c>
      <c r="C7553" s="65" t="s">
        <v>738</v>
      </c>
    </row>
    <row r="7554" spans="1:3" hidden="1">
      <c r="A7554" s="65">
        <v>9010145</v>
      </c>
      <c r="B7554" s="65" t="s">
        <v>8096</v>
      </c>
      <c r="C7554" s="65" t="s">
        <v>738</v>
      </c>
    </row>
    <row r="7555" spans="1:3" hidden="1">
      <c r="A7555" s="65">
        <v>9010146</v>
      </c>
      <c r="B7555" s="65" t="s">
        <v>8097</v>
      </c>
      <c r="C7555" s="65" t="s">
        <v>738</v>
      </c>
    </row>
    <row r="7556" spans="1:3" hidden="1">
      <c r="A7556" s="65">
        <v>9010147</v>
      </c>
      <c r="B7556" s="65" t="s">
        <v>8098</v>
      </c>
      <c r="C7556" s="65" t="s">
        <v>738</v>
      </c>
    </row>
    <row r="7557" spans="1:3" hidden="1">
      <c r="A7557" s="65">
        <v>9010149</v>
      </c>
      <c r="B7557" s="65" t="s">
        <v>8099</v>
      </c>
      <c r="C7557" s="65" t="s">
        <v>738</v>
      </c>
    </row>
    <row r="7558" spans="1:3" hidden="1">
      <c r="A7558" s="65">
        <v>9010150</v>
      </c>
      <c r="B7558" s="65" t="s">
        <v>8100</v>
      </c>
      <c r="C7558" s="65" t="s">
        <v>738</v>
      </c>
    </row>
    <row r="7559" spans="1:3" hidden="1">
      <c r="A7559" s="65">
        <v>9010151</v>
      </c>
      <c r="B7559" s="65" t="s">
        <v>8101</v>
      </c>
      <c r="C7559" s="65" t="s">
        <v>738</v>
      </c>
    </row>
    <row r="7560" spans="1:3" hidden="1">
      <c r="A7560" s="65">
        <v>9010152</v>
      </c>
      <c r="B7560" s="65" t="s">
        <v>8102</v>
      </c>
      <c r="C7560" s="65" t="s">
        <v>738</v>
      </c>
    </row>
    <row r="7561" spans="1:3" hidden="1">
      <c r="A7561" s="65">
        <v>9010153</v>
      </c>
      <c r="B7561" s="65" t="s">
        <v>8103</v>
      </c>
      <c r="C7561" s="65" t="s">
        <v>738</v>
      </c>
    </row>
    <row r="7562" spans="1:3" hidden="1">
      <c r="A7562" s="65">
        <v>9010154</v>
      </c>
      <c r="B7562" s="65" t="s">
        <v>8104</v>
      </c>
      <c r="C7562" s="65" t="s">
        <v>738</v>
      </c>
    </row>
    <row r="7563" spans="1:3" hidden="1">
      <c r="A7563" s="65">
        <v>9010155</v>
      </c>
      <c r="B7563" s="65" t="s">
        <v>8105</v>
      </c>
      <c r="C7563" s="65" t="s">
        <v>738</v>
      </c>
    </row>
    <row r="7564" spans="1:3" hidden="1">
      <c r="A7564" s="65">
        <v>9010156</v>
      </c>
      <c r="B7564" s="65" t="s">
        <v>8106</v>
      </c>
      <c r="C7564" s="65" t="s">
        <v>738</v>
      </c>
    </row>
    <row r="7565" spans="1:3" hidden="1">
      <c r="A7565" s="65">
        <v>9010157</v>
      </c>
      <c r="B7565" s="65" t="s">
        <v>8107</v>
      </c>
      <c r="C7565" s="65" t="s">
        <v>738</v>
      </c>
    </row>
    <row r="7566" spans="1:3" hidden="1">
      <c r="A7566" s="65">
        <v>9010158</v>
      </c>
      <c r="B7566" s="65" t="s">
        <v>8108</v>
      </c>
      <c r="C7566" s="65" t="s">
        <v>738</v>
      </c>
    </row>
    <row r="7567" spans="1:3" hidden="1">
      <c r="A7567" s="65">
        <v>9010159</v>
      </c>
      <c r="B7567" s="65" t="s">
        <v>8109</v>
      </c>
      <c r="C7567" s="65" t="s">
        <v>738</v>
      </c>
    </row>
    <row r="7568" spans="1:3" hidden="1">
      <c r="A7568" s="65">
        <v>9010160</v>
      </c>
      <c r="B7568" s="65" t="s">
        <v>8110</v>
      </c>
      <c r="C7568" s="65" t="s">
        <v>738</v>
      </c>
    </row>
    <row r="7569" spans="1:3" hidden="1">
      <c r="A7569" s="65">
        <v>9010161</v>
      </c>
      <c r="B7569" s="65" t="s">
        <v>8111</v>
      </c>
      <c r="C7569" s="65" t="s">
        <v>738</v>
      </c>
    </row>
    <row r="7570" spans="1:3" hidden="1">
      <c r="A7570" s="65">
        <v>9010162</v>
      </c>
      <c r="B7570" s="65" t="s">
        <v>8112</v>
      </c>
      <c r="C7570" s="65" t="s">
        <v>942</v>
      </c>
    </row>
    <row r="7571" spans="1:3" hidden="1">
      <c r="A7571" s="65">
        <v>9010163</v>
      </c>
      <c r="B7571" s="65" t="s">
        <v>8113</v>
      </c>
      <c r="C7571" s="65" t="s">
        <v>942</v>
      </c>
    </row>
    <row r="7572" spans="1:3" hidden="1">
      <c r="A7572" s="65">
        <v>9010164</v>
      </c>
      <c r="B7572" s="65" t="s">
        <v>8114</v>
      </c>
      <c r="C7572" s="65" t="s">
        <v>850</v>
      </c>
    </row>
    <row r="7573" spans="1:3" hidden="1">
      <c r="A7573" s="65">
        <v>9010169</v>
      </c>
      <c r="B7573" s="65" t="s">
        <v>8115</v>
      </c>
      <c r="C7573" s="65" t="s">
        <v>942</v>
      </c>
    </row>
    <row r="7574" spans="1:3" hidden="1">
      <c r="A7574" s="65">
        <v>9010170</v>
      </c>
      <c r="B7574" s="65" t="s">
        <v>8116</v>
      </c>
      <c r="C7574" s="65" t="s">
        <v>942</v>
      </c>
    </row>
    <row r="7575" spans="1:3" hidden="1">
      <c r="A7575" s="65">
        <v>9010171</v>
      </c>
      <c r="B7575" s="65" t="s">
        <v>8117</v>
      </c>
      <c r="C7575" s="65" t="s">
        <v>732</v>
      </c>
    </row>
    <row r="7576" spans="1:3" hidden="1">
      <c r="A7576" s="65">
        <v>9010172</v>
      </c>
      <c r="B7576" s="65" t="s">
        <v>8118</v>
      </c>
      <c r="C7576" s="65" t="s">
        <v>942</v>
      </c>
    </row>
    <row r="7577" spans="1:3" hidden="1">
      <c r="A7577" s="65">
        <v>9010173</v>
      </c>
      <c r="B7577" s="65" t="s">
        <v>8119</v>
      </c>
      <c r="C7577" s="65" t="s">
        <v>1181</v>
      </c>
    </row>
    <row r="7578" spans="1:3" hidden="1">
      <c r="A7578" s="65">
        <v>9010174</v>
      </c>
      <c r="B7578" s="65" t="s">
        <v>8120</v>
      </c>
      <c r="C7578" s="65" t="s">
        <v>827</v>
      </c>
    </row>
    <row r="7579" spans="1:3" hidden="1">
      <c r="A7579" s="65">
        <v>9010179</v>
      </c>
      <c r="B7579" s="65" t="s">
        <v>8121</v>
      </c>
      <c r="C7579" s="65" t="s">
        <v>1594</v>
      </c>
    </row>
    <row r="7580" spans="1:3" hidden="1">
      <c r="A7580" s="65">
        <v>9010189</v>
      </c>
      <c r="B7580" s="65" t="s">
        <v>8122</v>
      </c>
      <c r="C7580" s="65" t="s">
        <v>942</v>
      </c>
    </row>
    <row r="7581" spans="1:3" hidden="1">
      <c r="A7581" s="65">
        <v>9010190</v>
      </c>
      <c r="B7581" s="65" t="s">
        <v>8123</v>
      </c>
      <c r="C7581" s="65" t="s">
        <v>942</v>
      </c>
    </row>
    <row r="7582" spans="1:3" hidden="1">
      <c r="A7582" s="65">
        <v>9010191</v>
      </c>
      <c r="B7582" s="65" t="s">
        <v>8124</v>
      </c>
      <c r="C7582" s="65" t="s">
        <v>942</v>
      </c>
    </row>
    <row r="7583" spans="1:3" hidden="1">
      <c r="A7583" s="65">
        <v>9010199</v>
      </c>
      <c r="B7583" s="65" t="s">
        <v>8125</v>
      </c>
      <c r="C7583" s="65" t="s">
        <v>942</v>
      </c>
    </row>
    <row r="7584" spans="1:3" hidden="1">
      <c r="A7584" s="65">
        <v>9010200</v>
      </c>
      <c r="B7584" s="65" t="s">
        <v>8126</v>
      </c>
      <c r="C7584" s="65" t="s">
        <v>942</v>
      </c>
    </row>
    <row r="7585" spans="1:3" hidden="1">
      <c r="A7585" s="65">
        <v>9010201</v>
      </c>
      <c r="B7585" s="65" t="s">
        <v>8127</v>
      </c>
      <c r="C7585" s="65" t="s">
        <v>942</v>
      </c>
    </row>
    <row r="7586" spans="1:3" hidden="1">
      <c r="A7586" s="65">
        <v>9010202</v>
      </c>
      <c r="B7586" s="65" t="s">
        <v>8128</v>
      </c>
      <c r="C7586" s="65" t="s">
        <v>942</v>
      </c>
    </row>
    <row r="7587" spans="1:3" hidden="1">
      <c r="A7587" s="65">
        <v>9010203</v>
      </c>
      <c r="B7587" s="65" t="s">
        <v>8129</v>
      </c>
      <c r="C7587" s="65" t="s">
        <v>942</v>
      </c>
    </row>
    <row r="7588" spans="1:3" hidden="1">
      <c r="A7588" s="65">
        <v>9010204</v>
      </c>
      <c r="B7588" s="65" t="s">
        <v>8130</v>
      </c>
      <c r="C7588" s="65" t="s">
        <v>942</v>
      </c>
    </row>
    <row r="7589" spans="1:3" hidden="1">
      <c r="A7589" s="65">
        <v>9010205</v>
      </c>
      <c r="B7589" s="65" t="s">
        <v>8131</v>
      </c>
      <c r="C7589" s="65" t="s">
        <v>779</v>
      </c>
    </row>
    <row r="7590" spans="1:3" hidden="1">
      <c r="A7590" s="65">
        <v>9010209</v>
      </c>
      <c r="B7590" s="65" t="s">
        <v>8132</v>
      </c>
      <c r="C7590" s="65" t="s">
        <v>677</v>
      </c>
    </row>
    <row r="7591" spans="1:3" hidden="1">
      <c r="A7591" s="65">
        <v>9010192</v>
      </c>
      <c r="B7591" s="65" t="s">
        <v>8133</v>
      </c>
      <c r="C7591" s="65" t="s">
        <v>738</v>
      </c>
    </row>
    <row r="7592" spans="1:3" hidden="1">
      <c r="A7592" s="65">
        <v>9010193</v>
      </c>
      <c r="B7592" s="65" t="s">
        <v>8134</v>
      </c>
      <c r="C7592" s="65" t="s">
        <v>738</v>
      </c>
    </row>
    <row r="7593" spans="1:3" hidden="1">
      <c r="A7593" s="65">
        <v>9010194</v>
      </c>
      <c r="B7593" s="65" t="s">
        <v>8135</v>
      </c>
      <c r="C7593" s="65" t="s">
        <v>738</v>
      </c>
    </row>
    <row r="7594" spans="1:3" hidden="1">
      <c r="A7594" s="65">
        <v>9010195</v>
      </c>
      <c r="B7594" s="65" t="s">
        <v>8136</v>
      </c>
      <c r="C7594" s="65" t="s">
        <v>738</v>
      </c>
    </row>
    <row r="7595" spans="1:3" hidden="1">
      <c r="A7595" s="65">
        <v>9010196</v>
      </c>
      <c r="B7595" s="65" t="s">
        <v>8137</v>
      </c>
      <c r="C7595" s="65" t="s">
        <v>805</v>
      </c>
    </row>
    <row r="7596" spans="1:3" hidden="1">
      <c r="A7596" s="65">
        <v>9010197</v>
      </c>
      <c r="B7596" s="65" t="s">
        <v>8138</v>
      </c>
      <c r="C7596" s="65" t="s">
        <v>1101</v>
      </c>
    </row>
    <row r="7597" spans="1:3" hidden="1">
      <c r="A7597" s="65">
        <v>9010198</v>
      </c>
      <c r="B7597" s="65" t="s">
        <v>8139</v>
      </c>
      <c r="C7597" s="65" t="s">
        <v>664</v>
      </c>
    </row>
    <row r="7598" spans="1:3" hidden="1">
      <c r="A7598" s="65">
        <v>9010206</v>
      </c>
      <c r="B7598" s="65" t="s">
        <v>8140</v>
      </c>
      <c r="C7598" s="65" t="s">
        <v>1181</v>
      </c>
    </row>
    <row r="7599" spans="1:3" hidden="1">
      <c r="A7599" s="65">
        <v>9010207</v>
      </c>
      <c r="B7599" s="65" t="s">
        <v>8141</v>
      </c>
      <c r="C7599" s="65" t="s">
        <v>1181</v>
      </c>
    </row>
    <row r="7600" spans="1:3" hidden="1">
      <c r="A7600" s="65">
        <v>9010208</v>
      </c>
      <c r="B7600" s="65" t="s">
        <v>8142</v>
      </c>
      <c r="C7600" s="65" t="s">
        <v>942</v>
      </c>
    </row>
    <row r="7601" spans="1:3" hidden="1">
      <c r="A7601" s="65">
        <v>9010219</v>
      </c>
      <c r="B7601" s="65" t="s">
        <v>8143</v>
      </c>
      <c r="C7601" s="65" t="s">
        <v>738</v>
      </c>
    </row>
    <row r="7602" spans="1:3" hidden="1">
      <c r="A7602" s="65">
        <v>9010220</v>
      </c>
      <c r="B7602" s="65" t="s">
        <v>8144</v>
      </c>
      <c r="C7602" s="65" t="s">
        <v>738</v>
      </c>
    </row>
    <row r="7603" spans="1:3" hidden="1">
      <c r="A7603" s="65">
        <v>9010221</v>
      </c>
      <c r="B7603" s="65" t="s">
        <v>8145</v>
      </c>
      <c r="C7603" s="65" t="s">
        <v>738</v>
      </c>
    </row>
    <row r="7604" spans="1:3" hidden="1">
      <c r="A7604" s="65">
        <v>9010222</v>
      </c>
      <c r="B7604" s="65" t="s">
        <v>8146</v>
      </c>
      <c r="C7604" s="65" t="s">
        <v>738</v>
      </c>
    </row>
    <row r="7605" spans="1:3" hidden="1">
      <c r="A7605" s="65">
        <v>9010223</v>
      </c>
      <c r="B7605" s="65" t="s">
        <v>8147</v>
      </c>
      <c r="C7605" s="65" t="s">
        <v>738</v>
      </c>
    </row>
    <row r="7606" spans="1:3" hidden="1">
      <c r="A7606" s="65">
        <v>9010224</v>
      </c>
      <c r="B7606" s="65" t="s">
        <v>8148</v>
      </c>
      <c r="C7606" s="65" t="s">
        <v>738</v>
      </c>
    </row>
    <row r="7607" spans="1:3" hidden="1">
      <c r="A7607" s="65">
        <v>9010225</v>
      </c>
      <c r="B7607" s="65" t="s">
        <v>8149</v>
      </c>
      <c r="C7607" s="65" t="s">
        <v>738</v>
      </c>
    </row>
    <row r="7608" spans="1:3" hidden="1">
      <c r="A7608" s="65">
        <v>9010226</v>
      </c>
      <c r="B7608" s="65" t="s">
        <v>8150</v>
      </c>
      <c r="C7608" s="65" t="s">
        <v>738</v>
      </c>
    </row>
    <row r="7609" spans="1:3" hidden="1">
      <c r="A7609" s="65">
        <v>9010227</v>
      </c>
      <c r="B7609" s="65" t="s">
        <v>8151</v>
      </c>
      <c r="C7609" s="65" t="s">
        <v>738</v>
      </c>
    </row>
    <row r="7610" spans="1:3" hidden="1">
      <c r="A7610" s="65">
        <v>9010228</v>
      </c>
      <c r="B7610" s="65" t="s">
        <v>8152</v>
      </c>
      <c r="C7610" s="65" t="s">
        <v>738</v>
      </c>
    </row>
    <row r="7611" spans="1:3" hidden="1">
      <c r="A7611" s="65">
        <v>9010229</v>
      </c>
      <c r="B7611" s="65" t="s">
        <v>8153</v>
      </c>
      <c r="C7611" s="65" t="s">
        <v>738</v>
      </c>
    </row>
    <row r="7612" spans="1:3" hidden="1">
      <c r="A7612" s="65">
        <v>9010230</v>
      </c>
      <c r="B7612" s="65" t="s">
        <v>8154</v>
      </c>
      <c r="C7612" s="65" t="s">
        <v>738</v>
      </c>
    </row>
    <row r="7613" spans="1:3" hidden="1">
      <c r="A7613" s="65">
        <v>9010231</v>
      </c>
      <c r="B7613" s="65" t="s">
        <v>8155</v>
      </c>
      <c r="C7613" s="65" t="s">
        <v>738</v>
      </c>
    </row>
    <row r="7614" spans="1:3" hidden="1">
      <c r="A7614" s="65">
        <v>9010232</v>
      </c>
      <c r="B7614" s="65" t="s">
        <v>8156</v>
      </c>
      <c r="C7614" s="65" t="s">
        <v>738</v>
      </c>
    </row>
    <row r="7615" spans="1:3" hidden="1">
      <c r="A7615" s="65">
        <v>9010233</v>
      </c>
      <c r="B7615" s="65" t="s">
        <v>8157</v>
      </c>
      <c r="C7615" s="65" t="s">
        <v>738</v>
      </c>
    </row>
    <row r="7616" spans="1:3" hidden="1">
      <c r="A7616" s="65">
        <v>9010234</v>
      </c>
      <c r="B7616" s="65" t="s">
        <v>8158</v>
      </c>
      <c r="C7616" s="65" t="s">
        <v>738</v>
      </c>
    </row>
    <row r="7617" spans="1:3" hidden="1">
      <c r="A7617" s="65">
        <v>9010235</v>
      </c>
      <c r="B7617" s="65" t="s">
        <v>8159</v>
      </c>
      <c r="C7617" s="65" t="s">
        <v>738</v>
      </c>
    </row>
    <row r="7618" spans="1:3" hidden="1">
      <c r="A7618" s="65">
        <v>9010236</v>
      </c>
      <c r="B7618" s="65" t="s">
        <v>8160</v>
      </c>
      <c r="C7618" s="65" t="s">
        <v>738</v>
      </c>
    </row>
    <row r="7619" spans="1:3" hidden="1">
      <c r="A7619" s="65">
        <v>9010237</v>
      </c>
      <c r="B7619" s="65" t="s">
        <v>8161</v>
      </c>
      <c r="C7619" s="65" t="s">
        <v>738</v>
      </c>
    </row>
    <row r="7620" spans="1:3" hidden="1">
      <c r="A7620" s="65">
        <v>9010238</v>
      </c>
      <c r="B7620" s="65" t="s">
        <v>8162</v>
      </c>
      <c r="C7620" s="65" t="s">
        <v>738</v>
      </c>
    </row>
    <row r="7621" spans="1:3" hidden="1">
      <c r="A7621" s="65">
        <v>9010239</v>
      </c>
      <c r="B7621" s="65" t="s">
        <v>8163</v>
      </c>
      <c r="C7621" s="65" t="s">
        <v>738</v>
      </c>
    </row>
    <row r="7622" spans="1:3" hidden="1">
      <c r="A7622" s="65">
        <v>9010240</v>
      </c>
      <c r="B7622" s="65" t="s">
        <v>8164</v>
      </c>
      <c r="C7622" s="65" t="s">
        <v>738</v>
      </c>
    </row>
    <row r="7623" spans="1:3" hidden="1">
      <c r="A7623" s="65">
        <v>9010241</v>
      </c>
      <c r="B7623" s="65" t="s">
        <v>8165</v>
      </c>
      <c r="C7623" s="65" t="s">
        <v>738</v>
      </c>
    </row>
    <row r="7624" spans="1:3" hidden="1">
      <c r="A7624" s="65">
        <v>9010242</v>
      </c>
      <c r="B7624" s="65" t="s">
        <v>8166</v>
      </c>
      <c r="C7624" s="65" t="s">
        <v>738</v>
      </c>
    </row>
    <row r="7625" spans="1:3" hidden="1">
      <c r="A7625" s="65">
        <v>9010243</v>
      </c>
      <c r="B7625" s="65" t="s">
        <v>8167</v>
      </c>
      <c r="C7625" s="65" t="s">
        <v>805</v>
      </c>
    </row>
    <row r="7626" spans="1:3" hidden="1">
      <c r="A7626" s="65">
        <v>9010244</v>
      </c>
      <c r="B7626" s="65" t="s">
        <v>8168</v>
      </c>
      <c r="C7626" s="65" t="s">
        <v>805</v>
      </c>
    </row>
    <row r="7627" spans="1:3" hidden="1">
      <c r="A7627" s="65">
        <v>9010245</v>
      </c>
      <c r="B7627" s="65" t="s">
        <v>8169</v>
      </c>
      <c r="C7627" s="65" t="s">
        <v>805</v>
      </c>
    </row>
    <row r="7628" spans="1:3" hidden="1">
      <c r="A7628" s="65">
        <v>9010246</v>
      </c>
      <c r="B7628" s="65" t="s">
        <v>8170</v>
      </c>
      <c r="C7628" s="65" t="s">
        <v>805</v>
      </c>
    </row>
    <row r="7629" spans="1:3" hidden="1">
      <c r="A7629" s="65">
        <v>9010247</v>
      </c>
      <c r="B7629" s="65" t="s">
        <v>8171</v>
      </c>
      <c r="C7629" s="65" t="s">
        <v>805</v>
      </c>
    </row>
    <row r="7630" spans="1:3" hidden="1">
      <c r="A7630" s="65">
        <v>9010248</v>
      </c>
      <c r="B7630" s="65" t="s">
        <v>8172</v>
      </c>
      <c r="C7630" s="65" t="s">
        <v>805</v>
      </c>
    </row>
    <row r="7631" spans="1:3" hidden="1">
      <c r="A7631" s="65">
        <v>9010249</v>
      </c>
      <c r="B7631" s="65" t="s">
        <v>8173</v>
      </c>
      <c r="C7631" s="65" t="s">
        <v>805</v>
      </c>
    </row>
    <row r="7632" spans="1:3" hidden="1">
      <c r="A7632" s="65">
        <v>9010250</v>
      </c>
      <c r="B7632" s="65" t="s">
        <v>8174</v>
      </c>
      <c r="C7632" s="65" t="s">
        <v>805</v>
      </c>
    </row>
    <row r="7633" spans="1:3" hidden="1">
      <c r="A7633" s="65">
        <v>9010251</v>
      </c>
      <c r="B7633" s="65" t="s">
        <v>8175</v>
      </c>
      <c r="C7633" s="65" t="s">
        <v>805</v>
      </c>
    </row>
    <row r="7634" spans="1:3" hidden="1">
      <c r="A7634" s="65">
        <v>9010252</v>
      </c>
      <c r="B7634" s="65" t="s">
        <v>8176</v>
      </c>
      <c r="C7634" s="65" t="s">
        <v>805</v>
      </c>
    </row>
    <row r="7635" spans="1:3" hidden="1">
      <c r="A7635" s="65">
        <v>9010253</v>
      </c>
      <c r="B7635" s="65" t="s">
        <v>8177</v>
      </c>
      <c r="C7635" s="65" t="s">
        <v>805</v>
      </c>
    </row>
    <row r="7636" spans="1:3" hidden="1">
      <c r="A7636" s="65">
        <v>9010254</v>
      </c>
      <c r="B7636" s="65" t="s">
        <v>8178</v>
      </c>
      <c r="C7636" s="65" t="s">
        <v>805</v>
      </c>
    </row>
    <row r="7637" spans="1:3" hidden="1">
      <c r="A7637" s="65">
        <v>9010255</v>
      </c>
      <c r="B7637" s="65" t="s">
        <v>8179</v>
      </c>
      <c r="C7637" s="65" t="s">
        <v>805</v>
      </c>
    </row>
    <row r="7638" spans="1:3" hidden="1">
      <c r="A7638" s="65">
        <v>9010256</v>
      </c>
      <c r="B7638" s="65" t="s">
        <v>8180</v>
      </c>
      <c r="C7638" s="65" t="s">
        <v>805</v>
      </c>
    </row>
    <row r="7639" spans="1:3" hidden="1">
      <c r="A7639" s="65">
        <v>9010257</v>
      </c>
      <c r="B7639" s="65" t="s">
        <v>8181</v>
      </c>
      <c r="C7639" s="65" t="s">
        <v>805</v>
      </c>
    </row>
    <row r="7640" spans="1:3" hidden="1">
      <c r="A7640" s="65">
        <v>9010258</v>
      </c>
      <c r="B7640" s="65" t="s">
        <v>8182</v>
      </c>
      <c r="C7640" s="65" t="s">
        <v>805</v>
      </c>
    </row>
    <row r="7641" spans="1:3" hidden="1">
      <c r="A7641" s="65">
        <v>9010259</v>
      </c>
      <c r="B7641" s="65" t="s">
        <v>8183</v>
      </c>
      <c r="C7641" s="65" t="s">
        <v>805</v>
      </c>
    </row>
    <row r="7642" spans="1:3" hidden="1">
      <c r="A7642" s="65">
        <v>9010260</v>
      </c>
      <c r="B7642" s="65" t="s">
        <v>8184</v>
      </c>
      <c r="C7642" s="65" t="s">
        <v>805</v>
      </c>
    </row>
    <row r="7643" spans="1:3" hidden="1">
      <c r="A7643" s="65">
        <v>9010261</v>
      </c>
      <c r="B7643" s="65" t="s">
        <v>8185</v>
      </c>
      <c r="C7643" s="65" t="s">
        <v>805</v>
      </c>
    </row>
    <row r="7644" spans="1:3" hidden="1">
      <c r="A7644" s="65">
        <v>9010262</v>
      </c>
      <c r="B7644" s="65" t="s">
        <v>8186</v>
      </c>
      <c r="C7644" s="65" t="s">
        <v>805</v>
      </c>
    </row>
    <row r="7645" spans="1:3" hidden="1">
      <c r="A7645" s="65">
        <v>9010263</v>
      </c>
      <c r="B7645" s="65" t="s">
        <v>8187</v>
      </c>
      <c r="C7645" s="65" t="s">
        <v>805</v>
      </c>
    </row>
    <row r="7646" spans="1:3" hidden="1">
      <c r="A7646" s="65">
        <v>9010264</v>
      </c>
      <c r="B7646" s="65" t="s">
        <v>8188</v>
      </c>
      <c r="C7646" s="65" t="s">
        <v>805</v>
      </c>
    </row>
    <row r="7647" spans="1:3" hidden="1">
      <c r="A7647" s="65">
        <v>9010265</v>
      </c>
      <c r="B7647" s="65" t="s">
        <v>8189</v>
      </c>
      <c r="C7647" s="65" t="s">
        <v>805</v>
      </c>
    </row>
    <row r="7648" spans="1:3" hidden="1">
      <c r="A7648" s="65">
        <v>9010266</v>
      </c>
      <c r="B7648" s="65" t="s">
        <v>8190</v>
      </c>
      <c r="C7648" s="65" t="s">
        <v>805</v>
      </c>
    </row>
    <row r="7649" spans="1:3" hidden="1">
      <c r="A7649" s="65">
        <v>9010267</v>
      </c>
      <c r="B7649" s="65" t="s">
        <v>8191</v>
      </c>
      <c r="C7649" s="65" t="s">
        <v>805</v>
      </c>
    </row>
    <row r="7650" spans="1:3" hidden="1">
      <c r="A7650" s="65">
        <v>9010268</v>
      </c>
      <c r="B7650" s="65" t="s">
        <v>8192</v>
      </c>
      <c r="C7650" s="65" t="s">
        <v>805</v>
      </c>
    </row>
    <row r="7651" spans="1:3" hidden="1">
      <c r="A7651" s="65">
        <v>9010269</v>
      </c>
      <c r="B7651" s="65" t="s">
        <v>8193</v>
      </c>
      <c r="C7651" s="65" t="s">
        <v>805</v>
      </c>
    </row>
    <row r="7652" spans="1:3" hidden="1">
      <c r="A7652" s="65">
        <v>9010270</v>
      </c>
      <c r="B7652" s="65" t="s">
        <v>8194</v>
      </c>
      <c r="C7652" s="65" t="s">
        <v>805</v>
      </c>
    </row>
    <row r="7653" spans="1:3" hidden="1">
      <c r="A7653" s="65">
        <v>9010271</v>
      </c>
      <c r="B7653" s="65" t="s">
        <v>8195</v>
      </c>
      <c r="C7653" s="65" t="s">
        <v>805</v>
      </c>
    </row>
    <row r="7654" spans="1:3" hidden="1">
      <c r="A7654" s="65">
        <v>9010272</v>
      </c>
      <c r="B7654" s="65" t="s">
        <v>8196</v>
      </c>
      <c r="C7654" s="65" t="s">
        <v>805</v>
      </c>
    </row>
    <row r="7655" spans="1:3" hidden="1">
      <c r="A7655" s="65">
        <v>9010273</v>
      </c>
      <c r="B7655" s="65" t="s">
        <v>8197</v>
      </c>
      <c r="C7655" s="65" t="s">
        <v>805</v>
      </c>
    </row>
    <row r="7656" spans="1:3" hidden="1">
      <c r="A7656" s="65">
        <v>9010274</v>
      </c>
      <c r="B7656" s="65" t="s">
        <v>8198</v>
      </c>
      <c r="C7656" s="65" t="s">
        <v>805</v>
      </c>
    </row>
    <row r="7657" spans="1:3" hidden="1">
      <c r="A7657" s="65">
        <v>9010275</v>
      </c>
      <c r="B7657" s="65" t="s">
        <v>8199</v>
      </c>
      <c r="C7657" s="65" t="s">
        <v>805</v>
      </c>
    </row>
    <row r="7658" spans="1:3" hidden="1">
      <c r="A7658" s="65">
        <v>9010276</v>
      </c>
      <c r="B7658" s="65" t="s">
        <v>8200</v>
      </c>
      <c r="C7658" s="65" t="s">
        <v>805</v>
      </c>
    </row>
    <row r="7659" spans="1:3" hidden="1">
      <c r="A7659" s="65">
        <v>9010277</v>
      </c>
      <c r="B7659" s="65" t="s">
        <v>8201</v>
      </c>
      <c r="C7659" s="65" t="s">
        <v>805</v>
      </c>
    </row>
    <row r="7660" spans="1:3" hidden="1">
      <c r="A7660" s="65">
        <v>9010278</v>
      </c>
      <c r="B7660" s="65" t="s">
        <v>8202</v>
      </c>
      <c r="C7660" s="65" t="s">
        <v>805</v>
      </c>
    </row>
    <row r="7661" spans="1:3" hidden="1">
      <c r="A7661" s="65">
        <v>9010279</v>
      </c>
      <c r="B7661" s="65" t="s">
        <v>8203</v>
      </c>
      <c r="C7661" s="65" t="s">
        <v>793</v>
      </c>
    </row>
    <row r="7662" spans="1:3" hidden="1">
      <c r="A7662" s="65">
        <v>9010280</v>
      </c>
      <c r="B7662" s="65" t="s">
        <v>8204</v>
      </c>
      <c r="C7662" s="65" t="s">
        <v>942</v>
      </c>
    </row>
    <row r="7663" spans="1:3" hidden="1">
      <c r="A7663" s="65">
        <v>9010281</v>
      </c>
      <c r="B7663" s="65" t="s">
        <v>8205</v>
      </c>
      <c r="C7663" s="65" t="s">
        <v>732</v>
      </c>
    </row>
    <row r="7664" spans="1:3" hidden="1">
      <c r="A7664" s="65">
        <v>9010289</v>
      </c>
      <c r="B7664" s="65" t="s">
        <v>8206</v>
      </c>
      <c r="C7664" s="65" t="s">
        <v>664</v>
      </c>
    </row>
    <row r="7665" spans="1:3" hidden="1">
      <c r="A7665" s="65">
        <v>9010290</v>
      </c>
      <c r="B7665" s="65" t="s">
        <v>8207</v>
      </c>
      <c r="C7665" s="65" t="s">
        <v>664</v>
      </c>
    </row>
    <row r="7666" spans="1:3" hidden="1">
      <c r="A7666" s="65">
        <v>9010291</v>
      </c>
      <c r="B7666" s="65" t="s">
        <v>8208</v>
      </c>
      <c r="C7666" s="65" t="s">
        <v>664</v>
      </c>
    </row>
    <row r="7667" spans="1:3" hidden="1">
      <c r="A7667" s="65">
        <v>9010292</v>
      </c>
      <c r="B7667" s="65" t="s">
        <v>8209</v>
      </c>
      <c r="C7667" s="65" t="s">
        <v>664</v>
      </c>
    </row>
    <row r="7668" spans="1:3" hidden="1">
      <c r="A7668" s="65">
        <v>9010293</v>
      </c>
      <c r="B7668" s="65" t="s">
        <v>8210</v>
      </c>
      <c r="C7668" s="65" t="s">
        <v>664</v>
      </c>
    </row>
    <row r="7669" spans="1:3" hidden="1">
      <c r="A7669" s="65">
        <v>9010294</v>
      </c>
      <c r="B7669" s="65" t="s">
        <v>8211</v>
      </c>
      <c r="C7669" s="65" t="s">
        <v>664</v>
      </c>
    </row>
    <row r="7670" spans="1:3" hidden="1">
      <c r="A7670" s="65">
        <v>9010295</v>
      </c>
      <c r="B7670" s="65" t="s">
        <v>8212</v>
      </c>
      <c r="C7670" s="65" t="s">
        <v>664</v>
      </c>
    </row>
    <row r="7671" spans="1:3" hidden="1">
      <c r="A7671" s="65">
        <v>9010296</v>
      </c>
      <c r="B7671" s="65" t="s">
        <v>8213</v>
      </c>
      <c r="C7671" s="65" t="s">
        <v>664</v>
      </c>
    </row>
    <row r="7672" spans="1:3" hidden="1">
      <c r="A7672" s="65">
        <v>9010297</v>
      </c>
      <c r="B7672" s="65" t="s">
        <v>8214</v>
      </c>
      <c r="C7672" s="65" t="s">
        <v>664</v>
      </c>
    </row>
    <row r="7673" spans="1:3" hidden="1">
      <c r="A7673" s="65">
        <v>9010298</v>
      </c>
      <c r="B7673" s="65" t="s">
        <v>8215</v>
      </c>
      <c r="C7673" s="65" t="s">
        <v>664</v>
      </c>
    </row>
    <row r="7674" spans="1:3" hidden="1">
      <c r="A7674" s="65">
        <v>9010299</v>
      </c>
      <c r="B7674" s="65" t="s">
        <v>8216</v>
      </c>
      <c r="C7674" s="65" t="s">
        <v>788</v>
      </c>
    </row>
    <row r="7675" spans="1:3" hidden="1">
      <c r="A7675" s="65">
        <v>9010300</v>
      </c>
      <c r="B7675" s="65" t="s">
        <v>8217</v>
      </c>
      <c r="C7675" s="65" t="s">
        <v>788</v>
      </c>
    </row>
    <row r="7676" spans="1:3" hidden="1">
      <c r="A7676" s="65">
        <v>9010301</v>
      </c>
      <c r="B7676" s="65" t="s">
        <v>8218</v>
      </c>
      <c r="C7676" s="65" t="s">
        <v>788</v>
      </c>
    </row>
    <row r="7677" spans="1:3" hidden="1">
      <c r="A7677" s="65">
        <v>9010302</v>
      </c>
      <c r="B7677" s="65" t="s">
        <v>8219</v>
      </c>
      <c r="C7677" s="65" t="s">
        <v>788</v>
      </c>
    </row>
    <row r="7678" spans="1:3" hidden="1">
      <c r="A7678" s="65">
        <v>9010303</v>
      </c>
      <c r="B7678" s="65" t="s">
        <v>8220</v>
      </c>
      <c r="C7678" s="65" t="s">
        <v>788</v>
      </c>
    </row>
    <row r="7679" spans="1:3" hidden="1">
      <c r="A7679" s="65">
        <v>9010304</v>
      </c>
      <c r="B7679" s="65" t="s">
        <v>8221</v>
      </c>
      <c r="C7679" s="65" t="s">
        <v>788</v>
      </c>
    </row>
    <row r="7680" spans="1:3" hidden="1">
      <c r="A7680" s="65">
        <v>9010305</v>
      </c>
      <c r="B7680" s="65" t="s">
        <v>8222</v>
      </c>
      <c r="C7680" s="65" t="s">
        <v>788</v>
      </c>
    </row>
    <row r="7681" spans="1:3" hidden="1">
      <c r="A7681" s="65">
        <v>9010306</v>
      </c>
      <c r="B7681" s="65" t="s">
        <v>8223</v>
      </c>
      <c r="C7681" s="65" t="s">
        <v>788</v>
      </c>
    </row>
    <row r="7682" spans="1:3" hidden="1">
      <c r="A7682" s="65">
        <v>9010307</v>
      </c>
      <c r="B7682" s="65" t="s">
        <v>8224</v>
      </c>
      <c r="C7682" s="65" t="s">
        <v>788</v>
      </c>
    </row>
    <row r="7683" spans="1:3" hidden="1">
      <c r="A7683" s="65">
        <v>9010308</v>
      </c>
      <c r="B7683" s="65" t="s">
        <v>8225</v>
      </c>
      <c r="C7683" s="65" t="s">
        <v>788</v>
      </c>
    </row>
    <row r="7684" spans="1:3" hidden="1">
      <c r="A7684" s="65">
        <v>9010309</v>
      </c>
      <c r="B7684" s="65" t="s">
        <v>8226</v>
      </c>
      <c r="C7684" s="65" t="s">
        <v>788</v>
      </c>
    </row>
    <row r="7685" spans="1:3" hidden="1">
      <c r="A7685" s="65">
        <v>9010310</v>
      </c>
      <c r="B7685" s="65" t="s">
        <v>8227</v>
      </c>
      <c r="C7685" s="65" t="s">
        <v>788</v>
      </c>
    </row>
    <row r="7686" spans="1:3" hidden="1">
      <c r="A7686" s="65">
        <v>9010311</v>
      </c>
      <c r="B7686" s="65" t="s">
        <v>8228</v>
      </c>
      <c r="C7686" s="65" t="s">
        <v>788</v>
      </c>
    </row>
    <row r="7687" spans="1:3" hidden="1">
      <c r="A7687" s="65">
        <v>9010312</v>
      </c>
      <c r="B7687" s="65" t="s">
        <v>8229</v>
      </c>
      <c r="C7687" s="65" t="s">
        <v>788</v>
      </c>
    </row>
    <row r="7688" spans="1:3" hidden="1">
      <c r="A7688" s="65">
        <v>9010313</v>
      </c>
      <c r="B7688" s="65" t="s">
        <v>8230</v>
      </c>
      <c r="C7688" s="65" t="s">
        <v>788</v>
      </c>
    </row>
    <row r="7689" spans="1:3" hidden="1">
      <c r="A7689" s="65">
        <v>9010314</v>
      </c>
      <c r="B7689" s="65" t="s">
        <v>8231</v>
      </c>
      <c r="C7689" s="65" t="s">
        <v>788</v>
      </c>
    </row>
    <row r="7690" spans="1:3" hidden="1">
      <c r="A7690" s="65">
        <v>9010315</v>
      </c>
      <c r="B7690" s="65" t="s">
        <v>8232</v>
      </c>
      <c r="C7690" s="65" t="s">
        <v>788</v>
      </c>
    </row>
    <row r="7691" spans="1:3" hidden="1">
      <c r="A7691" s="65">
        <v>9010316</v>
      </c>
      <c r="B7691" s="65" t="s">
        <v>8233</v>
      </c>
      <c r="C7691" s="65" t="s">
        <v>788</v>
      </c>
    </row>
    <row r="7692" spans="1:3" hidden="1">
      <c r="A7692" s="65">
        <v>9010317</v>
      </c>
      <c r="B7692" s="65" t="s">
        <v>8234</v>
      </c>
      <c r="C7692" s="65" t="s">
        <v>788</v>
      </c>
    </row>
    <row r="7693" spans="1:3" hidden="1">
      <c r="A7693" s="65">
        <v>9010318</v>
      </c>
      <c r="B7693" s="65" t="s">
        <v>8235</v>
      </c>
      <c r="C7693" s="65" t="s">
        <v>788</v>
      </c>
    </row>
    <row r="7694" spans="1:3" hidden="1">
      <c r="A7694" s="65">
        <v>9010319</v>
      </c>
      <c r="B7694" s="65" t="s">
        <v>8236</v>
      </c>
      <c r="C7694" s="65" t="s">
        <v>788</v>
      </c>
    </row>
    <row r="7695" spans="1:3" hidden="1">
      <c r="A7695" s="65">
        <v>9010320</v>
      </c>
      <c r="B7695" s="65" t="s">
        <v>8237</v>
      </c>
      <c r="C7695" s="65" t="s">
        <v>788</v>
      </c>
    </row>
    <row r="7696" spans="1:3" hidden="1">
      <c r="A7696" s="65">
        <v>9010321</v>
      </c>
      <c r="B7696" s="65" t="s">
        <v>8238</v>
      </c>
      <c r="C7696" s="65" t="s">
        <v>788</v>
      </c>
    </row>
    <row r="7697" spans="1:3" hidden="1">
      <c r="A7697" s="65">
        <v>9010322</v>
      </c>
      <c r="B7697" s="65" t="s">
        <v>8239</v>
      </c>
      <c r="C7697" s="65" t="s">
        <v>788</v>
      </c>
    </row>
    <row r="7698" spans="1:3" hidden="1">
      <c r="A7698" s="65">
        <v>9010323</v>
      </c>
      <c r="B7698" s="65" t="s">
        <v>8240</v>
      </c>
      <c r="C7698" s="65" t="s">
        <v>788</v>
      </c>
    </row>
    <row r="7699" spans="1:3" hidden="1">
      <c r="A7699" s="65">
        <v>9010324</v>
      </c>
      <c r="B7699" s="65" t="s">
        <v>8241</v>
      </c>
      <c r="C7699" s="65" t="s">
        <v>788</v>
      </c>
    </row>
    <row r="7700" spans="1:3" hidden="1">
      <c r="A7700" s="65">
        <v>9010325</v>
      </c>
      <c r="B7700" s="65" t="s">
        <v>8242</v>
      </c>
      <c r="C7700" s="65" t="s">
        <v>788</v>
      </c>
    </row>
    <row r="7701" spans="1:3" hidden="1">
      <c r="A7701" s="65">
        <v>9010326</v>
      </c>
      <c r="B7701" s="65" t="s">
        <v>8243</v>
      </c>
      <c r="C7701" s="65" t="s">
        <v>788</v>
      </c>
    </row>
    <row r="7702" spans="1:3" hidden="1">
      <c r="A7702" s="65">
        <v>9010327</v>
      </c>
      <c r="B7702" s="65" t="s">
        <v>8244</v>
      </c>
      <c r="C7702" s="65" t="s">
        <v>788</v>
      </c>
    </row>
    <row r="7703" spans="1:3" hidden="1">
      <c r="A7703" s="65">
        <v>9010328</v>
      </c>
      <c r="B7703" s="65" t="s">
        <v>8245</v>
      </c>
      <c r="C7703" s="65" t="s">
        <v>788</v>
      </c>
    </row>
    <row r="7704" spans="1:3" hidden="1">
      <c r="A7704" s="65">
        <v>9010329</v>
      </c>
      <c r="B7704" s="65" t="s">
        <v>8246</v>
      </c>
      <c r="C7704" s="65" t="s">
        <v>788</v>
      </c>
    </row>
    <row r="7705" spans="1:3" hidden="1">
      <c r="A7705" s="65">
        <v>9010330</v>
      </c>
      <c r="B7705" s="65" t="s">
        <v>8247</v>
      </c>
      <c r="C7705" s="65" t="s">
        <v>788</v>
      </c>
    </row>
    <row r="7706" spans="1:3" hidden="1">
      <c r="A7706" s="65">
        <v>9010331</v>
      </c>
      <c r="B7706" s="65" t="s">
        <v>8248</v>
      </c>
      <c r="C7706" s="65" t="s">
        <v>788</v>
      </c>
    </row>
    <row r="7707" spans="1:3" hidden="1">
      <c r="A7707" s="65">
        <v>9010332</v>
      </c>
      <c r="B7707" s="65" t="s">
        <v>8249</v>
      </c>
      <c r="C7707" s="65" t="s">
        <v>788</v>
      </c>
    </row>
    <row r="7708" spans="1:3" hidden="1">
      <c r="A7708" s="65">
        <v>9010333</v>
      </c>
      <c r="B7708" s="65" t="s">
        <v>8250</v>
      </c>
      <c r="C7708" s="65" t="s">
        <v>788</v>
      </c>
    </row>
    <row r="7709" spans="1:3" hidden="1">
      <c r="A7709" s="65">
        <v>9010334</v>
      </c>
      <c r="B7709" s="65" t="s">
        <v>8251</v>
      </c>
      <c r="C7709" s="65" t="s">
        <v>1425</v>
      </c>
    </row>
    <row r="7710" spans="1:3" hidden="1">
      <c r="A7710" s="65">
        <v>9010335</v>
      </c>
      <c r="B7710" s="65" t="s">
        <v>8252</v>
      </c>
      <c r="C7710" s="65" t="s">
        <v>1425</v>
      </c>
    </row>
    <row r="7711" spans="1:3" hidden="1">
      <c r="A7711" s="65">
        <v>9010336</v>
      </c>
      <c r="B7711" s="65" t="s">
        <v>8253</v>
      </c>
      <c r="C7711" s="65" t="s">
        <v>1425</v>
      </c>
    </row>
    <row r="7712" spans="1:3" hidden="1">
      <c r="A7712" s="65">
        <v>9010337</v>
      </c>
      <c r="B7712" s="65" t="s">
        <v>8254</v>
      </c>
      <c r="C7712" s="65" t="s">
        <v>1425</v>
      </c>
    </row>
    <row r="7713" spans="1:3" hidden="1">
      <c r="A7713" s="65">
        <v>9010338</v>
      </c>
      <c r="B7713" s="65" t="s">
        <v>8255</v>
      </c>
      <c r="C7713" s="65" t="s">
        <v>1425</v>
      </c>
    </row>
    <row r="7714" spans="1:3" hidden="1">
      <c r="A7714" s="65">
        <v>9010339</v>
      </c>
      <c r="B7714" s="65" t="s">
        <v>8256</v>
      </c>
      <c r="C7714" s="65" t="s">
        <v>1425</v>
      </c>
    </row>
    <row r="7715" spans="1:3" hidden="1">
      <c r="A7715" s="65">
        <v>9010340</v>
      </c>
      <c r="B7715" s="65" t="s">
        <v>8257</v>
      </c>
      <c r="C7715" s="65" t="s">
        <v>1425</v>
      </c>
    </row>
    <row r="7716" spans="1:3" hidden="1">
      <c r="A7716" s="65">
        <v>9010341</v>
      </c>
      <c r="B7716" s="65" t="s">
        <v>8258</v>
      </c>
      <c r="C7716" s="65" t="s">
        <v>738</v>
      </c>
    </row>
    <row r="7717" spans="1:3" hidden="1">
      <c r="A7717" s="65">
        <v>9010342</v>
      </c>
      <c r="B7717" s="65" t="s">
        <v>8259</v>
      </c>
      <c r="C7717" s="65" t="s">
        <v>738</v>
      </c>
    </row>
    <row r="7718" spans="1:3" hidden="1">
      <c r="A7718" s="65">
        <v>9010343</v>
      </c>
      <c r="B7718" s="65" t="s">
        <v>8260</v>
      </c>
      <c r="C7718" s="65" t="s">
        <v>738</v>
      </c>
    </row>
    <row r="7719" spans="1:3" hidden="1">
      <c r="A7719" s="65">
        <v>9010344</v>
      </c>
      <c r="B7719" s="65" t="s">
        <v>8261</v>
      </c>
      <c r="C7719" s="65" t="s">
        <v>738</v>
      </c>
    </row>
    <row r="7720" spans="1:3" hidden="1">
      <c r="A7720" s="65">
        <v>9010345</v>
      </c>
      <c r="B7720" s="65" t="s">
        <v>8262</v>
      </c>
      <c r="C7720" s="65" t="s">
        <v>738</v>
      </c>
    </row>
    <row r="7721" spans="1:3" hidden="1">
      <c r="A7721" s="65">
        <v>9010346</v>
      </c>
      <c r="B7721" s="65" t="s">
        <v>8263</v>
      </c>
      <c r="C7721" s="65" t="s">
        <v>738</v>
      </c>
    </row>
    <row r="7722" spans="1:3" hidden="1">
      <c r="A7722" s="65">
        <v>9010347</v>
      </c>
      <c r="B7722" s="65" t="s">
        <v>8264</v>
      </c>
      <c r="C7722" s="65" t="s">
        <v>738</v>
      </c>
    </row>
    <row r="7723" spans="1:3" hidden="1">
      <c r="A7723" s="65">
        <v>9010348</v>
      </c>
      <c r="B7723" s="65" t="s">
        <v>8265</v>
      </c>
      <c r="C7723" s="65" t="s">
        <v>738</v>
      </c>
    </row>
    <row r="7724" spans="1:3" hidden="1">
      <c r="A7724" s="65">
        <v>9010349</v>
      </c>
      <c r="B7724" s="65" t="s">
        <v>8266</v>
      </c>
      <c r="C7724" s="65" t="s">
        <v>738</v>
      </c>
    </row>
    <row r="7725" spans="1:3" hidden="1">
      <c r="A7725" s="65">
        <v>9010350</v>
      </c>
      <c r="B7725" s="65" t="s">
        <v>8267</v>
      </c>
      <c r="C7725" s="65" t="s">
        <v>738</v>
      </c>
    </row>
    <row r="7726" spans="1:3" hidden="1">
      <c r="A7726" s="65">
        <v>9010351</v>
      </c>
      <c r="B7726" s="65" t="s">
        <v>8268</v>
      </c>
      <c r="C7726" s="65" t="s">
        <v>738</v>
      </c>
    </row>
    <row r="7727" spans="1:3" hidden="1">
      <c r="A7727" s="65">
        <v>9010352</v>
      </c>
      <c r="B7727" s="65" t="s">
        <v>8269</v>
      </c>
      <c r="C7727" s="65" t="s">
        <v>738</v>
      </c>
    </row>
    <row r="7728" spans="1:3" hidden="1">
      <c r="A7728" s="65">
        <v>9010353</v>
      </c>
      <c r="B7728" s="65" t="s">
        <v>8270</v>
      </c>
      <c r="C7728" s="65" t="s">
        <v>738</v>
      </c>
    </row>
    <row r="7729" spans="1:3" hidden="1">
      <c r="A7729" s="65">
        <v>9010354</v>
      </c>
      <c r="B7729" s="65" t="s">
        <v>8271</v>
      </c>
      <c r="C7729" s="65" t="s">
        <v>738</v>
      </c>
    </row>
    <row r="7730" spans="1:3" hidden="1">
      <c r="A7730" s="65">
        <v>9010355</v>
      </c>
      <c r="B7730" s="65" t="s">
        <v>8272</v>
      </c>
      <c r="C7730" s="65" t="s">
        <v>738</v>
      </c>
    </row>
    <row r="7731" spans="1:3" hidden="1">
      <c r="A7731" s="65">
        <v>9010356</v>
      </c>
      <c r="B7731" s="65" t="s">
        <v>8273</v>
      </c>
      <c r="C7731" s="65" t="s">
        <v>738</v>
      </c>
    </row>
    <row r="7732" spans="1:3" hidden="1">
      <c r="A7732" s="65">
        <v>9010357</v>
      </c>
      <c r="B7732" s="65" t="s">
        <v>8274</v>
      </c>
      <c r="C7732" s="65" t="s">
        <v>738</v>
      </c>
    </row>
    <row r="7733" spans="1:3" hidden="1">
      <c r="A7733" s="65">
        <v>9010358</v>
      </c>
      <c r="B7733" s="65" t="s">
        <v>8275</v>
      </c>
      <c r="C7733" s="65" t="s">
        <v>738</v>
      </c>
    </row>
    <row r="7734" spans="1:3" hidden="1">
      <c r="A7734" s="65">
        <v>9010359</v>
      </c>
      <c r="B7734" s="65" t="s">
        <v>8276</v>
      </c>
      <c r="C7734" s="65" t="s">
        <v>738</v>
      </c>
    </row>
    <row r="7735" spans="1:3" hidden="1">
      <c r="A7735" s="65">
        <v>9010360</v>
      </c>
      <c r="B7735" s="65" t="s">
        <v>8277</v>
      </c>
      <c r="C7735" s="65" t="s">
        <v>738</v>
      </c>
    </row>
    <row r="7736" spans="1:3" hidden="1">
      <c r="A7736" s="65">
        <v>9010361</v>
      </c>
      <c r="B7736" s="65" t="s">
        <v>8278</v>
      </c>
      <c r="C7736" s="65" t="s">
        <v>738</v>
      </c>
    </row>
    <row r="7737" spans="1:3" hidden="1">
      <c r="A7737" s="65">
        <v>9010362</v>
      </c>
      <c r="B7737" s="65" t="s">
        <v>8279</v>
      </c>
      <c r="C7737" s="65" t="s">
        <v>738</v>
      </c>
    </row>
    <row r="7738" spans="1:3" hidden="1">
      <c r="A7738" s="65">
        <v>9010363</v>
      </c>
      <c r="B7738" s="65" t="s">
        <v>8280</v>
      </c>
      <c r="C7738" s="65" t="s">
        <v>738</v>
      </c>
    </row>
    <row r="7739" spans="1:3" hidden="1">
      <c r="A7739" s="65">
        <v>9010364</v>
      </c>
      <c r="B7739" s="65" t="s">
        <v>8281</v>
      </c>
      <c r="C7739" s="65" t="s">
        <v>738</v>
      </c>
    </row>
    <row r="7740" spans="1:3" hidden="1">
      <c r="A7740" s="65">
        <v>9010365</v>
      </c>
      <c r="B7740" s="65" t="s">
        <v>8282</v>
      </c>
      <c r="C7740" s="65" t="s">
        <v>738</v>
      </c>
    </row>
    <row r="7741" spans="1:3" hidden="1">
      <c r="A7741" s="65">
        <v>9010366</v>
      </c>
      <c r="B7741" s="65" t="s">
        <v>8283</v>
      </c>
      <c r="C7741" s="65" t="s">
        <v>738</v>
      </c>
    </row>
    <row r="7742" spans="1:3" hidden="1">
      <c r="A7742" s="65">
        <v>9010367</v>
      </c>
      <c r="B7742" s="65" t="s">
        <v>8284</v>
      </c>
      <c r="C7742" s="65" t="s">
        <v>738</v>
      </c>
    </row>
    <row r="7743" spans="1:3" hidden="1">
      <c r="A7743" s="65">
        <v>9010368</v>
      </c>
      <c r="B7743" s="65" t="s">
        <v>8285</v>
      </c>
      <c r="C7743" s="65" t="s">
        <v>738</v>
      </c>
    </row>
    <row r="7744" spans="1:3" hidden="1">
      <c r="A7744" s="65">
        <v>9010369</v>
      </c>
      <c r="B7744" s="65" t="s">
        <v>8286</v>
      </c>
      <c r="C7744" s="65" t="s">
        <v>738</v>
      </c>
    </row>
    <row r="7745" spans="1:3" hidden="1">
      <c r="A7745" s="65">
        <v>9010370</v>
      </c>
      <c r="B7745" s="65" t="s">
        <v>8287</v>
      </c>
      <c r="C7745" s="65" t="s">
        <v>738</v>
      </c>
    </row>
    <row r="7746" spans="1:3" hidden="1">
      <c r="A7746" s="65">
        <v>9010371</v>
      </c>
      <c r="B7746" s="65" t="s">
        <v>8288</v>
      </c>
      <c r="C7746" s="65" t="s">
        <v>738</v>
      </c>
    </row>
    <row r="7747" spans="1:3" hidden="1">
      <c r="A7747" s="65">
        <v>9010372</v>
      </c>
      <c r="B7747" s="65" t="s">
        <v>8289</v>
      </c>
      <c r="C7747" s="65" t="s">
        <v>793</v>
      </c>
    </row>
    <row r="7748" spans="1:3" hidden="1">
      <c r="A7748" s="65">
        <v>9010373</v>
      </c>
      <c r="B7748" s="65" t="s">
        <v>8290</v>
      </c>
      <c r="C7748" s="65" t="s">
        <v>1425</v>
      </c>
    </row>
    <row r="7749" spans="1:3" hidden="1">
      <c r="A7749" s="65">
        <v>9010374</v>
      </c>
      <c r="B7749" s="65" t="s">
        <v>8291</v>
      </c>
      <c r="C7749" s="65" t="s">
        <v>1425</v>
      </c>
    </row>
    <row r="7750" spans="1:3" hidden="1">
      <c r="A7750" s="65">
        <v>9010375</v>
      </c>
      <c r="B7750" s="65" t="s">
        <v>8292</v>
      </c>
      <c r="C7750" s="65" t="s">
        <v>788</v>
      </c>
    </row>
    <row r="7751" spans="1:3" hidden="1">
      <c r="A7751" s="65">
        <v>9010376</v>
      </c>
      <c r="B7751" s="65" t="s">
        <v>8293</v>
      </c>
      <c r="C7751" s="65" t="s">
        <v>738</v>
      </c>
    </row>
    <row r="7752" spans="1:3" hidden="1">
      <c r="A7752" s="65">
        <v>9010377</v>
      </c>
      <c r="B7752" s="65" t="s">
        <v>8294</v>
      </c>
      <c r="C7752" s="65" t="s">
        <v>738</v>
      </c>
    </row>
    <row r="7753" spans="1:3" hidden="1">
      <c r="A7753" s="65">
        <v>9010378</v>
      </c>
      <c r="B7753" s="65" t="s">
        <v>8211</v>
      </c>
      <c r="C7753" s="65" t="s">
        <v>664</v>
      </c>
    </row>
    <row r="7754" spans="1:3" hidden="1">
      <c r="A7754" s="65">
        <v>9010379</v>
      </c>
      <c r="B7754" s="65" t="s">
        <v>8295</v>
      </c>
      <c r="C7754" s="65" t="s">
        <v>695</v>
      </c>
    </row>
    <row r="7755" spans="1:3" hidden="1">
      <c r="A7755" s="65">
        <v>9010380</v>
      </c>
      <c r="B7755" s="65" t="s">
        <v>8296</v>
      </c>
      <c r="C7755" s="65" t="s">
        <v>942</v>
      </c>
    </row>
    <row r="7756" spans="1:3" hidden="1">
      <c r="A7756" s="65">
        <v>9010381</v>
      </c>
      <c r="B7756" s="65" t="s">
        <v>8297</v>
      </c>
      <c r="C7756" s="65" t="s">
        <v>942</v>
      </c>
    </row>
    <row r="7757" spans="1:3" hidden="1">
      <c r="A7757" s="65">
        <v>9010389</v>
      </c>
      <c r="B7757" s="65" t="s">
        <v>8298</v>
      </c>
      <c r="C7757" s="65" t="s">
        <v>809</v>
      </c>
    </row>
    <row r="7758" spans="1:3" hidden="1">
      <c r="A7758" s="65">
        <v>9010390</v>
      </c>
      <c r="B7758" s="65" t="s">
        <v>8299</v>
      </c>
      <c r="C7758" s="65" t="s">
        <v>852</v>
      </c>
    </row>
    <row r="7759" spans="1:3" hidden="1">
      <c r="A7759" s="65">
        <v>9010391</v>
      </c>
      <c r="B7759" s="65" t="s">
        <v>8300</v>
      </c>
      <c r="C7759" s="65" t="s">
        <v>738</v>
      </c>
    </row>
    <row r="7760" spans="1:3" hidden="1">
      <c r="A7760" s="65">
        <v>9010399</v>
      </c>
      <c r="B7760" s="65" t="s">
        <v>8301</v>
      </c>
      <c r="C7760" s="65" t="s">
        <v>942</v>
      </c>
    </row>
    <row r="7761" spans="1:3" hidden="1">
      <c r="A7761" s="65">
        <v>9010400</v>
      </c>
      <c r="B7761" s="65" t="s">
        <v>8302</v>
      </c>
      <c r="C7761" s="65" t="s">
        <v>942</v>
      </c>
    </row>
    <row r="7762" spans="1:3" hidden="1">
      <c r="A7762" s="65">
        <v>9010401</v>
      </c>
      <c r="B7762" s="65" t="s">
        <v>8303</v>
      </c>
      <c r="C7762" s="65" t="s">
        <v>942</v>
      </c>
    </row>
    <row r="7763" spans="1:3" hidden="1">
      <c r="A7763" s="65">
        <v>9010402</v>
      </c>
      <c r="B7763" s="65" t="s">
        <v>8304</v>
      </c>
      <c r="C7763" s="65" t="s">
        <v>942</v>
      </c>
    </row>
    <row r="7764" spans="1:3" hidden="1">
      <c r="A7764" s="65">
        <v>9010403</v>
      </c>
      <c r="B7764" s="65" t="s">
        <v>8305</v>
      </c>
      <c r="C7764" s="65" t="s">
        <v>942</v>
      </c>
    </row>
    <row r="7765" spans="1:3" hidden="1">
      <c r="A7765" s="65">
        <v>9010404</v>
      </c>
      <c r="B7765" s="65" t="s">
        <v>8306</v>
      </c>
      <c r="C7765" s="65" t="s">
        <v>942</v>
      </c>
    </row>
    <row r="7766" spans="1:3" hidden="1">
      <c r="A7766" s="65">
        <v>9010405</v>
      </c>
      <c r="B7766" s="65" t="s">
        <v>8307</v>
      </c>
      <c r="C7766" s="65" t="s">
        <v>942</v>
      </c>
    </row>
    <row r="7767" spans="1:3" hidden="1">
      <c r="A7767" s="65">
        <v>9010406</v>
      </c>
      <c r="B7767" s="65" t="s">
        <v>8308</v>
      </c>
      <c r="C7767" s="65" t="s">
        <v>942</v>
      </c>
    </row>
    <row r="7768" spans="1:3" hidden="1">
      <c r="A7768" s="65">
        <v>9010407</v>
      </c>
      <c r="B7768" s="65" t="s">
        <v>8309</v>
      </c>
      <c r="C7768" s="65" t="s">
        <v>942</v>
      </c>
    </row>
    <row r="7769" spans="1:3" hidden="1">
      <c r="A7769" s="65">
        <v>9010408</v>
      </c>
      <c r="B7769" s="65" t="s">
        <v>8310</v>
      </c>
      <c r="C7769" s="65" t="s">
        <v>942</v>
      </c>
    </row>
    <row r="7770" spans="1:3" hidden="1">
      <c r="A7770" s="65">
        <v>9010409</v>
      </c>
      <c r="B7770" s="65" t="s">
        <v>8311</v>
      </c>
      <c r="C7770" s="65" t="s">
        <v>942</v>
      </c>
    </row>
    <row r="7771" spans="1:3" hidden="1">
      <c r="A7771" s="65">
        <v>9010410</v>
      </c>
      <c r="B7771" s="65" t="s">
        <v>8312</v>
      </c>
      <c r="C7771" s="65" t="s">
        <v>942</v>
      </c>
    </row>
    <row r="7772" spans="1:3" hidden="1">
      <c r="A7772" s="65">
        <v>9010411</v>
      </c>
      <c r="B7772" s="65" t="s">
        <v>8313</v>
      </c>
      <c r="C7772" s="65" t="s">
        <v>942</v>
      </c>
    </row>
    <row r="7773" spans="1:3" hidden="1">
      <c r="A7773" s="65">
        <v>9010412</v>
      </c>
      <c r="B7773" s="65" t="s">
        <v>8314</v>
      </c>
      <c r="C7773" s="65" t="s">
        <v>942</v>
      </c>
    </row>
    <row r="7774" spans="1:3" hidden="1">
      <c r="A7774" s="65">
        <v>9010413</v>
      </c>
      <c r="B7774" s="65" t="s">
        <v>8315</v>
      </c>
      <c r="C7774" s="65" t="s">
        <v>942</v>
      </c>
    </row>
    <row r="7775" spans="1:3" hidden="1">
      <c r="A7775" s="65">
        <v>9010414</v>
      </c>
      <c r="B7775" s="65" t="s">
        <v>8316</v>
      </c>
      <c r="C7775" s="65" t="s">
        <v>942</v>
      </c>
    </row>
    <row r="7776" spans="1:3" hidden="1">
      <c r="A7776" s="65">
        <v>9010415</v>
      </c>
      <c r="B7776" s="65" t="s">
        <v>8317</v>
      </c>
      <c r="C7776" s="65" t="s">
        <v>942</v>
      </c>
    </row>
    <row r="7777" spans="1:3" hidden="1">
      <c r="A7777" s="65">
        <v>9010416</v>
      </c>
      <c r="B7777" s="65" t="s">
        <v>8318</v>
      </c>
      <c r="C7777" s="65" t="s">
        <v>738</v>
      </c>
    </row>
    <row r="7778" spans="1:3" hidden="1">
      <c r="A7778" s="65">
        <v>9010417</v>
      </c>
      <c r="B7778" s="65" t="s">
        <v>1193</v>
      </c>
      <c r="C7778" s="65" t="s">
        <v>683</v>
      </c>
    </row>
    <row r="7779" spans="1:3" hidden="1">
      <c r="A7779" s="65">
        <v>9010418</v>
      </c>
      <c r="B7779" s="65" t="s">
        <v>8319</v>
      </c>
      <c r="C7779" s="65" t="s">
        <v>738</v>
      </c>
    </row>
    <row r="7780" spans="1:3" hidden="1">
      <c r="A7780" s="65">
        <v>9010419</v>
      </c>
      <c r="B7780" s="65" t="s">
        <v>8320</v>
      </c>
      <c r="C7780" s="65" t="s">
        <v>738</v>
      </c>
    </row>
    <row r="7781" spans="1:3" hidden="1">
      <c r="A7781" s="65">
        <v>9010420</v>
      </c>
      <c r="B7781" s="65" t="s">
        <v>8321</v>
      </c>
      <c r="C7781" s="65" t="s">
        <v>738</v>
      </c>
    </row>
    <row r="7782" spans="1:3" hidden="1">
      <c r="A7782" s="65">
        <v>9010421</v>
      </c>
      <c r="B7782" s="65" t="s">
        <v>8322</v>
      </c>
      <c r="C7782" s="65" t="s">
        <v>793</v>
      </c>
    </row>
    <row r="7783" spans="1:3" hidden="1">
      <c r="A7783" s="65">
        <v>9010422</v>
      </c>
      <c r="B7783" s="65" t="s">
        <v>8323</v>
      </c>
      <c r="C7783" s="65" t="s">
        <v>793</v>
      </c>
    </row>
    <row r="7784" spans="1:3" hidden="1">
      <c r="A7784" s="65">
        <v>9010423</v>
      </c>
      <c r="B7784" s="65" t="s">
        <v>8324</v>
      </c>
      <c r="C7784" s="65" t="s">
        <v>793</v>
      </c>
    </row>
    <row r="7785" spans="1:3" hidden="1">
      <c r="A7785" s="65">
        <v>9010424</v>
      </c>
      <c r="B7785" s="65" t="s">
        <v>8325</v>
      </c>
      <c r="C7785" s="65" t="s">
        <v>793</v>
      </c>
    </row>
    <row r="7786" spans="1:3" hidden="1">
      <c r="A7786" s="65">
        <v>9010425</v>
      </c>
      <c r="B7786" s="65" t="s">
        <v>8326</v>
      </c>
      <c r="C7786" s="65" t="s">
        <v>793</v>
      </c>
    </row>
    <row r="7787" spans="1:3" hidden="1">
      <c r="A7787" s="65">
        <v>9010426</v>
      </c>
      <c r="B7787" s="65" t="s">
        <v>8327</v>
      </c>
      <c r="C7787" s="65" t="s">
        <v>793</v>
      </c>
    </row>
    <row r="7788" spans="1:3" hidden="1">
      <c r="A7788" s="65">
        <v>9010427</v>
      </c>
      <c r="B7788" s="65" t="s">
        <v>8328</v>
      </c>
      <c r="C7788" s="65" t="s">
        <v>793</v>
      </c>
    </row>
    <row r="7789" spans="1:3" hidden="1">
      <c r="A7789" s="65">
        <v>9010428</v>
      </c>
      <c r="B7789" s="65" t="s">
        <v>8329</v>
      </c>
      <c r="C7789" s="65" t="s">
        <v>793</v>
      </c>
    </row>
    <row r="7790" spans="1:3" hidden="1">
      <c r="A7790" s="65">
        <v>9010429</v>
      </c>
      <c r="B7790" s="65" t="s">
        <v>8330</v>
      </c>
      <c r="C7790" s="65" t="s">
        <v>793</v>
      </c>
    </row>
    <row r="7791" spans="1:3" hidden="1">
      <c r="A7791" s="65">
        <v>9010430</v>
      </c>
      <c r="B7791" s="65" t="s">
        <v>8331</v>
      </c>
      <c r="C7791" s="65" t="s">
        <v>793</v>
      </c>
    </row>
    <row r="7792" spans="1:3" hidden="1">
      <c r="A7792" s="65">
        <v>9010431</v>
      </c>
      <c r="B7792" s="65" t="s">
        <v>8332</v>
      </c>
      <c r="C7792" s="65" t="s">
        <v>793</v>
      </c>
    </row>
    <row r="7793" spans="1:3" hidden="1">
      <c r="A7793" s="65">
        <v>9010432</v>
      </c>
      <c r="B7793" s="65" t="s">
        <v>8333</v>
      </c>
      <c r="C7793" s="65" t="s">
        <v>793</v>
      </c>
    </row>
    <row r="7794" spans="1:3" hidden="1">
      <c r="A7794" s="65">
        <v>9010433</v>
      </c>
      <c r="B7794" s="65" t="s">
        <v>8334</v>
      </c>
      <c r="C7794" s="65" t="s">
        <v>793</v>
      </c>
    </row>
    <row r="7795" spans="1:3" hidden="1">
      <c r="A7795" s="65">
        <v>9010434</v>
      </c>
      <c r="B7795" s="65" t="s">
        <v>8335</v>
      </c>
      <c r="C7795" s="65" t="s">
        <v>793</v>
      </c>
    </row>
    <row r="7796" spans="1:3" hidden="1">
      <c r="A7796" s="65">
        <v>9010435</v>
      </c>
      <c r="B7796" s="65" t="s">
        <v>8336</v>
      </c>
      <c r="C7796" s="65" t="s">
        <v>793</v>
      </c>
    </row>
    <row r="7797" spans="1:3" hidden="1">
      <c r="A7797" s="65">
        <v>9010436</v>
      </c>
      <c r="B7797" s="65" t="s">
        <v>8337</v>
      </c>
      <c r="C7797" s="65" t="s">
        <v>793</v>
      </c>
    </row>
    <row r="7798" spans="1:3" hidden="1">
      <c r="A7798" s="65">
        <v>9010437</v>
      </c>
      <c r="B7798" s="65" t="s">
        <v>8338</v>
      </c>
      <c r="C7798" s="65" t="s">
        <v>793</v>
      </c>
    </row>
    <row r="7799" spans="1:3" hidden="1">
      <c r="A7799" s="65">
        <v>9010438</v>
      </c>
      <c r="B7799" s="65" t="s">
        <v>8339</v>
      </c>
      <c r="C7799" s="65" t="s">
        <v>793</v>
      </c>
    </row>
    <row r="7800" spans="1:3" hidden="1">
      <c r="A7800" s="65">
        <v>9010439</v>
      </c>
      <c r="B7800" s="65" t="s">
        <v>8340</v>
      </c>
      <c r="C7800" s="65" t="s">
        <v>793</v>
      </c>
    </row>
    <row r="7801" spans="1:3" hidden="1">
      <c r="A7801" s="65">
        <v>9010440</v>
      </c>
      <c r="B7801" s="65" t="s">
        <v>8341</v>
      </c>
      <c r="C7801" s="65" t="s">
        <v>793</v>
      </c>
    </row>
    <row r="7802" spans="1:3" hidden="1">
      <c r="A7802" s="65">
        <v>9010441</v>
      </c>
      <c r="B7802" s="65" t="s">
        <v>8342</v>
      </c>
      <c r="C7802" s="65" t="s">
        <v>793</v>
      </c>
    </row>
    <row r="7803" spans="1:3" hidden="1">
      <c r="A7803" s="65">
        <v>9010442</v>
      </c>
      <c r="B7803" s="65" t="s">
        <v>8343</v>
      </c>
      <c r="C7803" s="65" t="s">
        <v>793</v>
      </c>
    </row>
    <row r="7804" spans="1:3" hidden="1">
      <c r="A7804" s="65">
        <v>9010443</v>
      </c>
      <c r="B7804" s="65" t="s">
        <v>8344</v>
      </c>
      <c r="C7804" s="65" t="s">
        <v>793</v>
      </c>
    </row>
    <row r="7805" spans="1:3" hidden="1">
      <c r="A7805" s="65">
        <v>9010444</v>
      </c>
      <c r="B7805" s="65" t="s">
        <v>8345</v>
      </c>
      <c r="C7805" s="65" t="s">
        <v>793</v>
      </c>
    </row>
    <row r="7806" spans="1:3" hidden="1">
      <c r="A7806" s="65">
        <v>9010445</v>
      </c>
      <c r="B7806" s="65" t="s">
        <v>8346</v>
      </c>
      <c r="C7806" s="65" t="s">
        <v>793</v>
      </c>
    </row>
    <row r="7807" spans="1:3" hidden="1">
      <c r="A7807" s="65">
        <v>9010446</v>
      </c>
      <c r="B7807" s="65" t="s">
        <v>8347</v>
      </c>
      <c r="C7807" s="65" t="s">
        <v>793</v>
      </c>
    </row>
    <row r="7808" spans="1:3" hidden="1">
      <c r="A7808" s="65">
        <v>9010447</v>
      </c>
      <c r="B7808" s="65" t="s">
        <v>8348</v>
      </c>
      <c r="C7808" s="65" t="s">
        <v>793</v>
      </c>
    </row>
    <row r="7809" spans="1:3" hidden="1">
      <c r="A7809" s="65">
        <v>9010448</v>
      </c>
      <c r="B7809" s="65" t="s">
        <v>8349</v>
      </c>
      <c r="C7809" s="65" t="s">
        <v>793</v>
      </c>
    </row>
    <row r="7810" spans="1:3" hidden="1">
      <c r="A7810" s="65">
        <v>9010449</v>
      </c>
      <c r="B7810" s="65" t="s">
        <v>8350</v>
      </c>
      <c r="C7810" s="65" t="s">
        <v>793</v>
      </c>
    </row>
    <row r="7811" spans="1:3" hidden="1">
      <c r="A7811" s="65">
        <v>9010450</v>
      </c>
      <c r="B7811" s="65" t="s">
        <v>8351</v>
      </c>
      <c r="C7811" s="65" t="s">
        <v>793</v>
      </c>
    </row>
    <row r="7812" spans="1:3" hidden="1">
      <c r="A7812" s="65">
        <v>9010451</v>
      </c>
      <c r="B7812" s="65" t="s">
        <v>8352</v>
      </c>
      <c r="C7812" s="65" t="s">
        <v>793</v>
      </c>
    </row>
    <row r="7813" spans="1:3" hidden="1">
      <c r="A7813" s="65">
        <v>9010452</v>
      </c>
      <c r="B7813" s="65" t="s">
        <v>8353</v>
      </c>
      <c r="C7813" s="65" t="s">
        <v>793</v>
      </c>
    </row>
    <row r="7814" spans="1:3" hidden="1">
      <c r="A7814" s="65">
        <v>9010453</v>
      </c>
      <c r="B7814" s="65" t="s">
        <v>8354</v>
      </c>
      <c r="C7814" s="65" t="s">
        <v>738</v>
      </c>
    </row>
    <row r="7815" spans="1:3" hidden="1">
      <c r="A7815" s="65">
        <v>9010454</v>
      </c>
      <c r="B7815" s="65" t="s">
        <v>8355</v>
      </c>
      <c r="C7815" s="65" t="s">
        <v>738</v>
      </c>
    </row>
    <row r="7816" spans="1:3" hidden="1">
      <c r="A7816" s="65">
        <v>9010455</v>
      </c>
      <c r="B7816" s="65" t="s">
        <v>8356</v>
      </c>
      <c r="C7816" s="65" t="s">
        <v>793</v>
      </c>
    </row>
    <row r="7817" spans="1:3" hidden="1">
      <c r="A7817" s="65">
        <v>9010456</v>
      </c>
      <c r="B7817" s="65" t="s">
        <v>8357</v>
      </c>
      <c r="C7817" s="65" t="s">
        <v>793</v>
      </c>
    </row>
    <row r="7818" spans="1:3" hidden="1">
      <c r="A7818" s="65">
        <v>9010457</v>
      </c>
      <c r="B7818" s="65" t="s">
        <v>8358</v>
      </c>
      <c r="C7818" s="65" t="s">
        <v>793</v>
      </c>
    </row>
    <row r="7819" spans="1:3" hidden="1">
      <c r="A7819" s="65">
        <v>9010458</v>
      </c>
      <c r="B7819" s="65" t="s">
        <v>8359</v>
      </c>
      <c r="C7819" s="65" t="s">
        <v>793</v>
      </c>
    </row>
    <row r="7820" spans="1:3" hidden="1">
      <c r="A7820" s="65">
        <v>9010459</v>
      </c>
      <c r="B7820" s="65" t="s">
        <v>8360</v>
      </c>
      <c r="C7820" s="65" t="s">
        <v>793</v>
      </c>
    </row>
    <row r="7821" spans="1:3" hidden="1">
      <c r="A7821" s="65">
        <v>9010460</v>
      </c>
      <c r="B7821" s="65" t="s">
        <v>8361</v>
      </c>
      <c r="C7821" s="65" t="s">
        <v>793</v>
      </c>
    </row>
    <row r="7822" spans="1:3" hidden="1">
      <c r="A7822" s="65">
        <v>9010461</v>
      </c>
      <c r="B7822" s="65" t="s">
        <v>8362</v>
      </c>
      <c r="C7822" s="65" t="s">
        <v>793</v>
      </c>
    </row>
    <row r="7823" spans="1:3" hidden="1">
      <c r="A7823" s="65">
        <v>9010462</v>
      </c>
      <c r="B7823" s="65" t="s">
        <v>8363</v>
      </c>
      <c r="C7823" s="65" t="s">
        <v>793</v>
      </c>
    </row>
    <row r="7824" spans="1:3" hidden="1">
      <c r="A7824" s="65">
        <v>9010463</v>
      </c>
      <c r="B7824" s="65" t="s">
        <v>8364</v>
      </c>
      <c r="C7824" s="65" t="s">
        <v>793</v>
      </c>
    </row>
    <row r="7825" spans="1:3" hidden="1">
      <c r="A7825" s="65">
        <v>9010464</v>
      </c>
      <c r="B7825" s="65" t="s">
        <v>8365</v>
      </c>
      <c r="C7825" s="65" t="s">
        <v>793</v>
      </c>
    </row>
    <row r="7826" spans="1:3" hidden="1">
      <c r="A7826" s="65">
        <v>9010465</v>
      </c>
      <c r="B7826" s="65" t="s">
        <v>8366</v>
      </c>
      <c r="C7826" s="65" t="s">
        <v>793</v>
      </c>
    </row>
    <row r="7827" spans="1:3" hidden="1">
      <c r="A7827" s="65">
        <v>9010466</v>
      </c>
      <c r="B7827" s="65" t="s">
        <v>8367</v>
      </c>
      <c r="C7827" s="65" t="s">
        <v>793</v>
      </c>
    </row>
    <row r="7828" spans="1:3" hidden="1">
      <c r="A7828" s="65">
        <v>9010467</v>
      </c>
      <c r="B7828" s="65" t="s">
        <v>8368</v>
      </c>
      <c r="C7828" s="65" t="s">
        <v>793</v>
      </c>
    </row>
    <row r="7829" spans="1:3" hidden="1">
      <c r="A7829" s="65">
        <v>9010468</v>
      </c>
      <c r="B7829" s="65" t="s">
        <v>8369</v>
      </c>
      <c r="C7829" s="65" t="s">
        <v>793</v>
      </c>
    </row>
    <row r="7830" spans="1:3" hidden="1">
      <c r="A7830" s="65">
        <v>9010469</v>
      </c>
      <c r="B7830" s="65" t="s">
        <v>8370</v>
      </c>
      <c r="C7830" s="65" t="s">
        <v>793</v>
      </c>
    </row>
    <row r="7831" spans="1:3" hidden="1">
      <c r="A7831" s="65">
        <v>9010470</v>
      </c>
      <c r="B7831" s="65" t="s">
        <v>8371</v>
      </c>
      <c r="C7831" s="65" t="s">
        <v>793</v>
      </c>
    </row>
    <row r="7832" spans="1:3" hidden="1">
      <c r="A7832" s="65">
        <v>9010471</v>
      </c>
      <c r="B7832" s="65" t="s">
        <v>8372</v>
      </c>
      <c r="C7832" s="65" t="s">
        <v>793</v>
      </c>
    </row>
    <row r="7833" spans="1:3" hidden="1">
      <c r="A7833" s="65">
        <v>9010472</v>
      </c>
      <c r="B7833" s="65" t="s">
        <v>8373</v>
      </c>
      <c r="C7833" s="65" t="s">
        <v>793</v>
      </c>
    </row>
    <row r="7834" spans="1:3" hidden="1">
      <c r="A7834" s="65">
        <v>9010473</v>
      </c>
      <c r="B7834" s="65" t="s">
        <v>8374</v>
      </c>
      <c r="C7834" s="65" t="s">
        <v>793</v>
      </c>
    </row>
    <row r="7835" spans="1:3" hidden="1">
      <c r="A7835" s="65">
        <v>9010479</v>
      </c>
      <c r="B7835" s="65" t="s">
        <v>8375</v>
      </c>
      <c r="C7835" s="65" t="s">
        <v>942</v>
      </c>
    </row>
    <row r="7836" spans="1:3" hidden="1">
      <c r="A7836" s="65">
        <v>9010480</v>
      </c>
      <c r="B7836" s="65" t="s">
        <v>8376</v>
      </c>
      <c r="C7836" s="65" t="s">
        <v>5068</v>
      </c>
    </row>
    <row r="7837" spans="1:3" hidden="1">
      <c r="A7837" s="65">
        <v>9010481</v>
      </c>
      <c r="B7837" s="65" t="s">
        <v>8377</v>
      </c>
      <c r="C7837" s="65" t="s">
        <v>5068</v>
      </c>
    </row>
    <row r="7838" spans="1:3" hidden="1">
      <c r="A7838" s="65">
        <v>9010482</v>
      </c>
      <c r="B7838" s="65" t="s">
        <v>8378</v>
      </c>
      <c r="C7838" s="65" t="s">
        <v>942</v>
      </c>
    </row>
    <row r="7839" spans="1:3" hidden="1">
      <c r="A7839" s="65">
        <v>9010483</v>
      </c>
      <c r="B7839" s="65" t="s">
        <v>8379</v>
      </c>
      <c r="C7839" s="65" t="s">
        <v>942</v>
      </c>
    </row>
    <row r="7840" spans="1:3" hidden="1">
      <c r="A7840" s="65">
        <v>9010484</v>
      </c>
      <c r="B7840" s="65" t="s">
        <v>8380</v>
      </c>
      <c r="C7840" s="65" t="s">
        <v>741</v>
      </c>
    </row>
    <row r="7841" spans="1:3" hidden="1">
      <c r="A7841" s="65">
        <v>9010485</v>
      </c>
      <c r="B7841" s="65" t="s">
        <v>8381</v>
      </c>
      <c r="C7841" s="65" t="s">
        <v>741</v>
      </c>
    </row>
    <row r="7842" spans="1:3" hidden="1">
      <c r="A7842" s="65">
        <v>9010486</v>
      </c>
      <c r="B7842" s="65" t="s">
        <v>8382</v>
      </c>
      <c r="C7842" s="65" t="s">
        <v>948</v>
      </c>
    </row>
    <row r="7843" spans="1:3" hidden="1">
      <c r="A7843" s="65">
        <v>9010487</v>
      </c>
      <c r="B7843" s="65" t="s">
        <v>8383</v>
      </c>
      <c r="C7843" s="65" t="s">
        <v>5068</v>
      </c>
    </row>
    <row r="7844" spans="1:3" hidden="1">
      <c r="A7844" s="65">
        <v>9010488</v>
      </c>
      <c r="B7844" s="65" t="s">
        <v>8384</v>
      </c>
      <c r="C7844" s="65" t="s">
        <v>5068</v>
      </c>
    </row>
    <row r="7845" spans="1:3" hidden="1">
      <c r="A7845" s="65">
        <v>9010489</v>
      </c>
      <c r="B7845" s="65" t="s">
        <v>8385</v>
      </c>
      <c r="C7845" s="65" t="s">
        <v>5068</v>
      </c>
    </row>
    <row r="7846" spans="1:3" hidden="1">
      <c r="A7846" s="65">
        <v>9010490</v>
      </c>
      <c r="B7846" s="65" t="s">
        <v>8386</v>
      </c>
      <c r="C7846" s="65" t="s">
        <v>743</v>
      </c>
    </row>
    <row r="7847" spans="1:3" hidden="1">
      <c r="A7847" s="65">
        <v>9010491</v>
      </c>
      <c r="B7847" s="65" t="s">
        <v>8387</v>
      </c>
      <c r="C7847" s="65" t="s">
        <v>942</v>
      </c>
    </row>
    <row r="7848" spans="1:3" hidden="1">
      <c r="A7848" s="65">
        <v>9010492</v>
      </c>
      <c r="B7848" s="65" t="s">
        <v>8388</v>
      </c>
      <c r="C7848" s="65" t="s">
        <v>942</v>
      </c>
    </row>
    <row r="7849" spans="1:3" hidden="1">
      <c r="A7849" s="65">
        <v>9010493</v>
      </c>
      <c r="B7849" s="65" t="s">
        <v>8389</v>
      </c>
      <c r="C7849" s="65" t="s">
        <v>942</v>
      </c>
    </row>
    <row r="7850" spans="1:3" hidden="1">
      <c r="A7850" s="65">
        <v>9010494</v>
      </c>
      <c r="B7850" s="65" t="s">
        <v>8390</v>
      </c>
      <c r="C7850" s="65" t="s">
        <v>942</v>
      </c>
    </row>
    <row r="7851" spans="1:3" hidden="1">
      <c r="A7851" s="65">
        <v>9010495</v>
      </c>
      <c r="B7851" s="65" t="s">
        <v>8391</v>
      </c>
      <c r="C7851" s="65" t="s">
        <v>827</v>
      </c>
    </row>
    <row r="7852" spans="1:3" hidden="1">
      <c r="A7852" s="65">
        <v>9010496</v>
      </c>
      <c r="B7852" s="65" t="s">
        <v>8392</v>
      </c>
      <c r="C7852" s="65" t="s">
        <v>942</v>
      </c>
    </row>
    <row r="7853" spans="1:3" hidden="1">
      <c r="A7853" s="65">
        <v>9010497</v>
      </c>
      <c r="B7853" s="65" t="s">
        <v>8393</v>
      </c>
      <c r="C7853" s="65" t="s">
        <v>942</v>
      </c>
    </row>
    <row r="7854" spans="1:3" hidden="1">
      <c r="A7854" s="65">
        <v>9010498</v>
      </c>
      <c r="B7854" s="65" t="s">
        <v>8394</v>
      </c>
      <c r="C7854" s="65" t="s">
        <v>942</v>
      </c>
    </row>
    <row r="7855" spans="1:3" hidden="1">
      <c r="A7855" s="65">
        <v>9010499</v>
      </c>
      <c r="B7855" s="65" t="s">
        <v>8395</v>
      </c>
      <c r="C7855" s="65" t="s">
        <v>677</v>
      </c>
    </row>
    <row r="7856" spans="1:3" hidden="1">
      <c r="A7856" s="65">
        <v>9010500</v>
      </c>
      <c r="B7856" s="65" t="s">
        <v>8396</v>
      </c>
      <c r="C7856" s="65" t="s">
        <v>942</v>
      </c>
    </row>
    <row r="7857" spans="1:3" hidden="1">
      <c r="A7857" s="65">
        <v>9010501</v>
      </c>
      <c r="B7857" s="65" t="s">
        <v>8397</v>
      </c>
      <c r="C7857" s="65" t="s">
        <v>942</v>
      </c>
    </row>
    <row r="7858" spans="1:3" hidden="1">
      <c r="A7858" s="65">
        <v>9010502</v>
      </c>
      <c r="B7858" s="65" t="s">
        <v>8398</v>
      </c>
      <c r="C7858" s="65" t="s">
        <v>809</v>
      </c>
    </row>
    <row r="7859" spans="1:3" hidden="1">
      <c r="A7859" s="65">
        <v>9010503</v>
      </c>
      <c r="B7859" s="65" t="s">
        <v>8399</v>
      </c>
      <c r="C7859" s="65" t="s">
        <v>751</v>
      </c>
    </row>
    <row r="7860" spans="1:3" hidden="1">
      <c r="A7860" s="65">
        <v>9010504</v>
      </c>
      <c r="B7860" s="65" t="s">
        <v>8400</v>
      </c>
      <c r="C7860" s="65" t="s">
        <v>738</v>
      </c>
    </row>
    <row r="7861" spans="1:3" hidden="1">
      <c r="A7861" s="65">
        <v>9010509</v>
      </c>
      <c r="B7861" s="65" t="s">
        <v>8401</v>
      </c>
      <c r="C7861" s="65" t="s">
        <v>5068</v>
      </c>
    </row>
    <row r="7862" spans="1:3" hidden="1">
      <c r="A7862" s="65">
        <v>9010510</v>
      </c>
      <c r="B7862" s="65" t="s">
        <v>8402</v>
      </c>
      <c r="C7862" s="65" t="s">
        <v>942</v>
      </c>
    </row>
    <row r="7863" spans="1:3" hidden="1">
      <c r="A7863" s="65">
        <v>9010511</v>
      </c>
      <c r="B7863" s="65" t="s">
        <v>8403</v>
      </c>
      <c r="C7863" s="65" t="s">
        <v>942</v>
      </c>
    </row>
    <row r="7864" spans="1:3" hidden="1">
      <c r="A7864" s="65">
        <v>9010512</v>
      </c>
      <c r="B7864" s="65" t="s">
        <v>8404</v>
      </c>
      <c r="C7864" s="65" t="s">
        <v>942</v>
      </c>
    </row>
    <row r="7865" spans="1:3" hidden="1">
      <c r="A7865" s="65">
        <v>9010513</v>
      </c>
      <c r="B7865" s="65" t="s">
        <v>8405</v>
      </c>
      <c r="C7865" s="65" t="s">
        <v>942</v>
      </c>
    </row>
    <row r="7866" spans="1:3" hidden="1">
      <c r="A7866" s="65">
        <v>9010514</v>
      </c>
      <c r="B7866" s="65" t="s">
        <v>8406</v>
      </c>
      <c r="C7866" s="65" t="s">
        <v>942</v>
      </c>
    </row>
    <row r="7867" spans="1:3" hidden="1">
      <c r="A7867" s="65">
        <v>9010515</v>
      </c>
      <c r="B7867" s="65" t="s">
        <v>8407</v>
      </c>
      <c r="C7867" s="65" t="s">
        <v>942</v>
      </c>
    </row>
    <row r="7868" spans="1:3" hidden="1">
      <c r="A7868" s="65">
        <v>9010516</v>
      </c>
      <c r="B7868" s="65" t="s">
        <v>8408</v>
      </c>
      <c r="C7868" s="65" t="s">
        <v>942</v>
      </c>
    </row>
    <row r="7869" spans="1:3" hidden="1">
      <c r="A7869" s="65">
        <v>9010517</v>
      </c>
      <c r="B7869" s="65" t="s">
        <v>8409</v>
      </c>
      <c r="C7869" s="65" t="s">
        <v>942</v>
      </c>
    </row>
    <row r="7870" spans="1:3" hidden="1">
      <c r="A7870" s="65">
        <v>9010518</v>
      </c>
      <c r="B7870" s="65" t="s">
        <v>8410</v>
      </c>
      <c r="C7870" s="65" t="s">
        <v>942</v>
      </c>
    </row>
    <row r="7871" spans="1:3" hidden="1">
      <c r="A7871" s="65">
        <v>9010519</v>
      </c>
      <c r="B7871" s="65" t="s">
        <v>8411</v>
      </c>
      <c r="C7871" s="65" t="s">
        <v>942</v>
      </c>
    </row>
    <row r="7872" spans="1:3" hidden="1">
      <c r="A7872" s="65">
        <v>9010520</v>
      </c>
      <c r="B7872" s="65" t="s">
        <v>8412</v>
      </c>
      <c r="C7872" s="65" t="s">
        <v>942</v>
      </c>
    </row>
    <row r="7873" spans="1:3" hidden="1">
      <c r="A7873" s="65">
        <v>9010521</v>
      </c>
      <c r="B7873" s="65" t="s">
        <v>8413</v>
      </c>
      <c r="C7873" s="65" t="s">
        <v>942</v>
      </c>
    </row>
    <row r="7874" spans="1:3" hidden="1">
      <c r="A7874" s="65">
        <v>9010522</v>
      </c>
      <c r="B7874" s="65" t="s">
        <v>8414</v>
      </c>
      <c r="C7874" s="65" t="s">
        <v>942</v>
      </c>
    </row>
    <row r="7875" spans="1:3" hidden="1">
      <c r="A7875" s="65">
        <v>9010523</v>
      </c>
      <c r="B7875" s="65" t="s">
        <v>8415</v>
      </c>
      <c r="C7875" s="65" t="s">
        <v>942</v>
      </c>
    </row>
    <row r="7876" spans="1:3" hidden="1">
      <c r="A7876" s="65">
        <v>9010524</v>
      </c>
      <c r="B7876" s="65" t="s">
        <v>8416</v>
      </c>
      <c r="C7876" s="65" t="s">
        <v>942</v>
      </c>
    </row>
    <row r="7877" spans="1:3" hidden="1">
      <c r="A7877" s="65">
        <v>9010525</v>
      </c>
      <c r="B7877" s="65" t="s">
        <v>8417</v>
      </c>
      <c r="C7877" s="65" t="s">
        <v>738</v>
      </c>
    </row>
    <row r="7878" spans="1:3" hidden="1">
      <c r="A7878" s="65">
        <v>9010526</v>
      </c>
      <c r="B7878" s="65" t="s">
        <v>8418</v>
      </c>
      <c r="C7878" s="65" t="s">
        <v>738</v>
      </c>
    </row>
    <row r="7879" spans="1:3" hidden="1">
      <c r="A7879" s="65">
        <v>9010527</v>
      </c>
      <c r="B7879" s="65" t="s">
        <v>8419</v>
      </c>
      <c r="C7879" s="65" t="s">
        <v>738</v>
      </c>
    </row>
    <row r="7880" spans="1:3" hidden="1">
      <c r="A7880" s="65">
        <v>9010528</v>
      </c>
      <c r="B7880" s="65" t="s">
        <v>8420</v>
      </c>
      <c r="C7880" s="65" t="s">
        <v>738</v>
      </c>
    </row>
    <row r="7881" spans="1:3" hidden="1">
      <c r="A7881" s="65">
        <v>9010529</v>
      </c>
      <c r="B7881" s="65" t="s">
        <v>8421</v>
      </c>
      <c r="C7881" s="65" t="s">
        <v>732</v>
      </c>
    </row>
    <row r="7882" spans="1:3" hidden="1">
      <c r="A7882" s="65">
        <v>9010530</v>
      </c>
      <c r="B7882" s="65" t="s">
        <v>8422</v>
      </c>
      <c r="C7882" s="65" t="s">
        <v>5068</v>
      </c>
    </row>
    <row r="7883" spans="1:3" hidden="1">
      <c r="A7883" s="65">
        <v>9010531</v>
      </c>
      <c r="B7883" s="65" t="s">
        <v>8423</v>
      </c>
      <c r="C7883" s="65" t="s">
        <v>5068</v>
      </c>
    </row>
    <row r="7884" spans="1:3" hidden="1">
      <c r="A7884" s="65">
        <v>9010532</v>
      </c>
      <c r="B7884" s="65" t="s">
        <v>8424</v>
      </c>
      <c r="C7884" s="65" t="s">
        <v>5068</v>
      </c>
    </row>
    <row r="7885" spans="1:3" hidden="1">
      <c r="A7885" s="65">
        <v>9010533</v>
      </c>
      <c r="B7885" s="65" t="s">
        <v>8425</v>
      </c>
      <c r="C7885" s="65" t="s">
        <v>5068</v>
      </c>
    </row>
    <row r="7886" spans="1:3" hidden="1">
      <c r="A7886" s="65">
        <v>9010534</v>
      </c>
      <c r="B7886" s="65" t="s">
        <v>8426</v>
      </c>
      <c r="C7886" s="65" t="s">
        <v>942</v>
      </c>
    </row>
    <row r="7887" spans="1:3" hidden="1">
      <c r="A7887" s="65">
        <v>9010535</v>
      </c>
      <c r="B7887" s="65" t="s">
        <v>8427</v>
      </c>
      <c r="C7887" s="65" t="s">
        <v>942</v>
      </c>
    </row>
    <row r="7888" spans="1:3" hidden="1">
      <c r="A7888" s="65">
        <v>9010536</v>
      </c>
      <c r="B7888" s="65" t="s">
        <v>8428</v>
      </c>
      <c r="C7888" s="65" t="s">
        <v>942</v>
      </c>
    </row>
    <row r="7889" spans="1:3" hidden="1">
      <c r="A7889" s="65">
        <v>9010537</v>
      </c>
      <c r="B7889" s="65" t="s">
        <v>8429</v>
      </c>
      <c r="C7889" s="65" t="s">
        <v>942</v>
      </c>
    </row>
    <row r="7890" spans="1:3" hidden="1">
      <c r="A7890" s="65">
        <v>9010538</v>
      </c>
      <c r="B7890" s="65" t="s">
        <v>8430</v>
      </c>
      <c r="C7890" s="65" t="s">
        <v>942</v>
      </c>
    </row>
    <row r="7891" spans="1:3" hidden="1">
      <c r="A7891" s="65">
        <v>9010539</v>
      </c>
      <c r="B7891" s="65" t="s">
        <v>8431</v>
      </c>
      <c r="C7891" s="65" t="s">
        <v>662</v>
      </c>
    </row>
    <row r="7892" spans="1:3" hidden="1">
      <c r="A7892" s="65">
        <v>9010549</v>
      </c>
      <c r="B7892" s="65" t="s">
        <v>8432</v>
      </c>
      <c r="C7892" s="65" t="s">
        <v>805</v>
      </c>
    </row>
    <row r="7893" spans="1:3" hidden="1">
      <c r="A7893" s="65">
        <v>9010550</v>
      </c>
      <c r="B7893" s="65" t="s">
        <v>8433</v>
      </c>
      <c r="C7893" s="65" t="s">
        <v>805</v>
      </c>
    </row>
    <row r="7894" spans="1:3" hidden="1">
      <c r="A7894" s="65">
        <v>9010551</v>
      </c>
      <c r="B7894" s="65" t="s">
        <v>8434</v>
      </c>
      <c r="C7894" s="65" t="s">
        <v>805</v>
      </c>
    </row>
    <row r="7895" spans="1:3" hidden="1">
      <c r="A7895" s="65">
        <v>9010552</v>
      </c>
      <c r="B7895" s="65" t="s">
        <v>8435</v>
      </c>
      <c r="C7895" s="65" t="s">
        <v>942</v>
      </c>
    </row>
    <row r="7896" spans="1:3" hidden="1">
      <c r="A7896" s="65">
        <v>9010559</v>
      </c>
      <c r="B7896" s="65" t="s">
        <v>8436</v>
      </c>
      <c r="C7896" s="65" t="s">
        <v>793</v>
      </c>
    </row>
    <row r="7897" spans="1:3" hidden="1">
      <c r="A7897" s="65">
        <v>9010569</v>
      </c>
      <c r="B7897" s="65" t="s">
        <v>8437</v>
      </c>
      <c r="C7897" s="65" t="s">
        <v>677</v>
      </c>
    </row>
    <row r="7898" spans="1:3" hidden="1">
      <c r="A7898" s="65">
        <v>9010570</v>
      </c>
      <c r="B7898" s="65" t="s">
        <v>8438</v>
      </c>
      <c r="C7898" s="65" t="s">
        <v>995</v>
      </c>
    </row>
    <row r="7899" spans="1:3" hidden="1">
      <c r="A7899" s="65">
        <v>9010571</v>
      </c>
      <c r="B7899" s="65" t="s">
        <v>8439</v>
      </c>
      <c r="C7899" s="65" t="s">
        <v>683</v>
      </c>
    </row>
    <row r="7900" spans="1:3" hidden="1">
      <c r="A7900" s="65">
        <v>9010572</v>
      </c>
      <c r="B7900" s="65" t="s">
        <v>8440</v>
      </c>
      <c r="C7900" s="65" t="s">
        <v>683</v>
      </c>
    </row>
    <row r="7901" spans="1:3" hidden="1">
      <c r="A7901" s="65">
        <v>9010573</v>
      </c>
      <c r="B7901" s="65" t="s">
        <v>8441</v>
      </c>
      <c r="C7901" s="65" t="s">
        <v>683</v>
      </c>
    </row>
    <row r="7902" spans="1:3" hidden="1">
      <c r="A7902" s="65">
        <v>9010574</v>
      </c>
      <c r="B7902" s="65" t="s">
        <v>8442</v>
      </c>
      <c r="C7902" s="65" t="s">
        <v>5068</v>
      </c>
    </row>
    <row r="7903" spans="1:3" hidden="1">
      <c r="A7903" s="65">
        <v>9010575</v>
      </c>
      <c r="B7903" s="65" t="s">
        <v>8443</v>
      </c>
      <c r="C7903" s="65" t="s">
        <v>732</v>
      </c>
    </row>
    <row r="7904" spans="1:3" hidden="1">
      <c r="A7904" s="65">
        <v>9010576</v>
      </c>
      <c r="B7904" s="65" t="s">
        <v>8444</v>
      </c>
      <c r="C7904" s="65" t="s">
        <v>732</v>
      </c>
    </row>
    <row r="7905" spans="1:3" hidden="1">
      <c r="A7905" s="65">
        <v>9010577</v>
      </c>
      <c r="B7905" s="65" t="s">
        <v>8445</v>
      </c>
      <c r="C7905" s="65" t="s">
        <v>732</v>
      </c>
    </row>
    <row r="7906" spans="1:3" hidden="1">
      <c r="A7906" s="65">
        <v>9010578</v>
      </c>
      <c r="B7906" s="65" t="s">
        <v>8446</v>
      </c>
      <c r="C7906" s="65" t="s">
        <v>743</v>
      </c>
    </row>
    <row r="7907" spans="1:3" hidden="1">
      <c r="A7907" s="65">
        <v>9010579</v>
      </c>
      <c r="B7907" s="65" t="s">
        <v>8447</v>
      </c>
      <c r="C7907" s="65" t="s">
        <v>942</v>
      </c>
    </row>
    <row r="7908" spans="1:3" hidden="1">
      <c r="A7908" s="65">
        <v>9010580</v>
      </c>
      <c r="B7908" s="65" t="s">
        <v>8448</v>
      </c>
      <c r="C7908" s="65" t="s">
        <v>942</v>
      </c>
    </row>
    <row r="7909" spans="1:3" hidden="1">
      <c r="A7909" s="65">
        <v>9010581</v>
      </c>
      <c r="B7909" s="65" t="s">
        <v>8449</v>
      </c>
      <c r="C7909" s="65" t="s">
        <v>942</v>
      </c>
    </row>
    <row r="7910" spans="1:3" hidden="1">
      <c r="A7910" s="65">
        <v>9010582</v>
      </c>
      <c r="B7910" s="65" t="s">
        <v>8450</v>
      </c>
      <c r="C7910" s="65" t="s">
        <v>942</v>
      </c>
    </row>
    <row r="7911" spans="1:3" hidden="1">
      <c r="A7911" s="65">
        <v>9010583</v>
      </c>
      <c r="B7911" s="65" t="s">
        <v>8451</v>
      </c>
      <c r="C7911" s="65" t="s">
        <v>942</v>
      </c>
    </row>
    <row r="7912" spans="1:3" hidden="1">
      <c r="A7912" s="65">
        <v>9010584</v>
      </c>
      <c r="B7912" s="65" t="s">
        <v>8452</v>
      </c>
      <c r="C7912" s="65" t="s">
        <v>942</v>
      </c>
    </row>
    <row r="7913" spans="1:3" hidden="1">
      <c r="A7913" s="65">
        <v>9010585</v>
      </c>
      <c r="B7913" s="65" t="s">
        <v>8453</v>
      </c>
      <c r="C7913" s="65" t="s">
        <v>942</v>
      </c>
    </row>
    <row r="7914" spans="1:3" hidden="1">
      <c r="A7914" s="65">
        <v>9010586</v>
      </c>
      <c r="B7914" s="65" t="s">
        <v>8454</v>
      </c>
      <c r="C7914" s="65" t="s">
        <v>942</v>
      </c>
    </row>
    <row r="7915" spans="1:3" hidden="1">
      <c r="A7915" s="65">
        <v>9010587</v>
      </c>
      <c r="B7915" s="65" t="s">
        <v>8455</v>
      </c>
      <c r="C7915" s="65" t="s">
        <v>942</v>
      </c>
    </row>
    <row r="7916" spans="1:3" hidden="1">
      <c r="A7916" s="65">
        <v>9010588</v>
      </c>
      <c r="B7916" s="65" t="s">
        <v>8456</v>
      </c>
      <c r="C7916" s="65" t="s">
        <v>942</v>
      </c>
    </row>
    <row r="7917" spans="1:3" hidden="1">
      <c r="A7917" s="65">
        <v>9010589</v>
      </c>
      <c r="B7917" s="65" t="s">
        <v>8457</v>
      </c>
      <c r="C7917" s="65" t="s">
        <v>942</v>
      </c>
    </row>
    <row r="7918" spans="1:3" hidden="1">
      <c r="A7918" s="65">
        <v>9010590</v>
      </c>
      <c r="B7918" s="65" t="s">
        <v>8458</v>
      </c>
      <c r="C7918" s="65" t="s">
        <v>664</v>
      </c>
    </row>
    <row r="7919" spans="1:3" hidden="1">
      <c r="A7919" s="65">
        <v>9010591</v>
      </c>
      <c r="B7919" s="65" t="s">
        <v>8459</v>
      </c>
      <c r="C7919" s="65" t="s">
        <v>805</v>
      </c>
    </row>
    <row r="7920" spans="1:3" hidden="1">
      <c r="A7920" s="65">
        <v>9010592</v>
      </c>
      <c r="B7920" s="65" t="s">
        <v>8460</v>
      </c>
      <c r="C7920" s="65" t="s">
        <v>5068</v>
      </c>
    </row>
    <row r="7921" spans="1:3" hidden="1">
      <c r="A7921" s="65">
        <v>9010599</v>
      </c>
      <c r="B7921" s="65" t="s">
        <v>8461</v>
      </c>
      <c r="C7921" s="65" t="s">
        <v>942</v>
      </c>
    </row>
    <row r="7922" spans="1:3" hidden="1">
      <c r="A7922" s="65">
        <v>9010600</v>
      </c>
      <c r="B7922" s="65" t="s">
        <v>8462</v>
      </c>
      <c r="C7922" s="65" t="s">
        <v>942</v>
      </c>
    </row>
    <row r="7923" spans="1:3" hidden="1">
      <c r="A7923" s="65">
        <v>9010601</v>
      </c>
      <c r="B7923" s="65" t="s">
        <v>8463</v>
      </c>
      <c r="C7923" s="65" t="s">
        <v>942</v>
      </c>
    </row>
    <row r="7924" spans="1:3" hidden="1">
      <c r="A7924" s="65">
        <v>9010602</v>
      </c>
      <c r="B7924" s="65" t="s">
        <v>8464</v>
      </c>
      <c r="C7924" s="65" t="s">
        <v>743</v>
      </c>
    </row>
    <row r="7925" spans="1:3" hidden="1">
      <c r="A7925" s="65">
        <v>9010603</v>
      </c>
      <c r="B7925" s="65" t="s">
        <v>8464</v>
      </c>
      <c r="C7925" s="65" t="s">
        <v>743</v>
      </c>
    </row>
    <row r="7926" spans="1:3" hidden="1">
      <c r="A7926" s="65">
        <v>9010604</v>
      </c>
      <c r="B7926" s="65" t="s">
        <v>8465</v>
      </c>
      <c r="C7926" s="65" t="s">
        <v>743</v>
      </c>
    </row>
    <row r="7927" spans="1:3" hidden="1">
      <c r="A7927" s="65">
        <v>9010605</v>
      </c>
      <c r="B7927" s="65" t="s">
        <v>8464</v>
      </c>
      <c r="C7927" s="65" t="s">
        <v>743</v>
      </c>
    </row>
    <row r="7928" spans="1:3" hidden="1">
      <c r="A7928" s="65">
        <v>9010606</v>
      </c>
      <c r="B7928" s="65" t="s">
        <v>8466</v>
      </c>
      <c r="C7928" s="65" t="s">
        <v>683</v>
      </c>
    </row>
    <row r="7929" spans="1:3" hidden="1">
      <c r="A7929" s="65">
        <v>9010609</v>
      </c>
      <c r="B7929" s="65" t="s">
        <v>8467</v>
      </c>
      <c r="C7929" s="65" t="s">
        <v>5068</v>
      </c>
    </row>
    <row r="7930" spans="1:3" hidden="1">
      <c r="A7930" s="65">
        <v>9010619</v>
      </c>
      <c r="B7930" s="65" t="s">
        <v>8468</v>
      </c>
      <c r="C7930" s="65" t="s">
        <v>677</v>
      </c>
    </row>
    <row r="7931" spans="1:3" hidden="1">
      <c r="A7931" s="65">
        <v>9010629</v>
      </c>
      <c r="B7931" s="65" t="s">
        <v>8469</v>
      </c>
      <c r="C7931" s="65" t="s">
        <v>672</v>
      </c>
    </row>
    <row r="7932" spans="1:3" hidden="1">
      <c r="A7932" s="65">
        <v>9010630</v>
      </c>
      <c r="B7932" s="65" t="s">
        <v>8470</v>
      </c>
      <c r="C7932" s="65" t="s">
        <v>695</v>
      </c>
    </row>
    <row r="7933" spans="1:3" hidden="1">
      <c r="A7933" s="65">
        <v>9010639</v>
      </c>
      <c r="B7933" s="65" t="s">
        <v>8471</v>
      </c>
      <c r="C7933" s="65" t="s">
        <v>942</v>
      </c>
    </row>
    <row r="7934" spans="1:3" hidden="1">
      <c r="A7934" s="65">
        <v>9010640</v>
      </c>
      <c r="B7934" s="65" t="s">
        <v>8472</v>
      </c>
      <c r="C7934" s="65" t="s">
        <v>3170</v>
      </c>
    </row>
    <row r="7935" spans="1:3" hidden="1">
      <c r="A7935" s="65">
        <v>9010641</v>
      </c>
      <c r="B7935" s="65" t="s">
        <v>8473</v>
      </c>
      <c r="C7935" s="65" t="s">
        <v>942</v>
      </c>
    </row>
    <row r="7936" spans="1:3" hidden="1">
      <c r="A7936" s="65">
        <v>9010642</v>
      </c>
      <c r="B7936" s="65" t="s">
        <v>8474</v>
      </c>
      <c r="C7936" s="65" t="s">
        <v>942</v>
      </c>
    </row>
    <row r="7937" spans="1:3" hidden="1">
      <c r="A7937" s="65">
        <v>9010643</v>
      </c>
      <c r="B7937" s="65" t="s">
        <v>8475</v>
      </c>
      <c r="C7937" s="65" t="s">
        <v>942</v>
      </c>
    </row>
    <row r="7938" spans="1:3" hidden="1">
      <c r="A7938" s="65">
        <v>9010644</v>
      </c>
      <c r="B7938" s="65" t="s">
        <v>8476</v>
      </c>
      <c r="C7938" s="65" t="s">
        <v>942</v>
      </c>
    </row>
    <row r="7939" spans="1:3" hidden="1">
      <c r="A7939" s="65">
        <v>9010645</v>
      </c>
      <c r="B7939" s="65" t="s">
        <v>8477</v>
      </c>
      <c r="C7939" s="65" t="s">
        <v>942</v>
      </c>
    </row>
    <row r="7940" spans="1:3" hidden="1">
      <c r="A7940" s="65">
        <v>9010646</v>
      </c>
      <c r="B7940" s="65" t="s">
        <v>8478</v>
      </c>
      <c r="C7940" s="65" t="s">
        <v>942</v>
      </c>
    </row>
    <row r="7941" spans="1:3" hidden="1">
      <c r="A7941" s="65">
        <v>9010647</v>
      </c>
      <c r="B7941" s="65" t="s">
        <v>8479</v>
      </c>
      <c r="C7941" s="65" t="s">
        <v>942</v>
      </c>
    </row>
    <row r="7942" spans="1:3" hidden="1">
      <c r="A7942" s="65">
        <v>9010648</v>
      </c>
      <c r="B7942" s="65" t="s">
        <v>8480</v>
      </c>
      <c r="C7942" s="65" t="s">
        <v>942</v>
      </c>
    </row>
    <row r="7943" spans="1:3" hidden="1">
      <c r="A7943" s="65">
        <v>9010649</v>
      </c>
      <c r="B7943" s="65" t="s">
        <v>8481</v>
      </c>
      <c r="C7943" s="65" t="s">
        <v>3170</v>
      </c>
    </row>
    <row r="7944" spans="1:3" hidden="1">
      <c r="A7944" s="65">
        <v>9010650</v>
      </c>
      <c r="B7944" s="65" t="s">
        <v>8482</v>
      </c>
      <c r="C7944" s="65" t="s">
        <v>942</v>
      </c>
    </row>
    <row r="7945" spans="1:3" hidden="1">
      <c r="A7945" s="65">
        <v>9010651</v>
      </c>
      <c r="B7945" s="65" t="s">
        <v>8483</v>
      </c>
      <c r="C7945" s="65" t="s">
        <v>942</v>
      </c>
    </row>
    <row r="7946" spans="1:3" hidden="1">
      <c r="A7946" s="65">
        <v>9010652</v>
      </c>
      <c r="B7946" s="65" t="s">
        <v>8484</v>
      </c>
      <c r="C7946" s="65" t="s">
        <v>942</v>
      </c>
    </row>
    <row r="7947" spans="1:3" hidden="1">
      <c r="A7947" s="65">
        <v>9010653</v>
      </c>
      <c r="B7947" s="65" t="s">
        <v>8485</v>
      </c>
      <c r="C7947" s="65" t="s">
        <v>942</v>
      </c>
    </row>
    <row r="7948" spans="1:3" hidden="1">
      <c r="A7948" s="65">
        <v>9010654</v>
      </c>
      <c r="B7948" s="65" t="s">
        <v>8486</v>
      </c>
      <c r="C7948" s="65" t="s">
        <v>942</v>
      </c>
    </row>
    <row r="7949" spans="1:3" hidden="1">
      <c r="A7949" s="65">
        <v>9010655</v>
      </c>
      <c r="B7949" s="65" t="s">
        <v>8487</v>
      </c>
      <c r="C7949" s="65" t="s">
        <v>3170</v>
      </c>
    </row>
    <row r="7950" spans="1:3" hidden="1">
      <c r="A7950" s="65">
        <v>9010656</v>
      </c>
      <c r="B7950" s="65" t="s">
        <v>8488</v>
      </c>
      <c r="C7950" s="65" t="s">
        <v>3170</v>
      </c>
    </row>
    <row r="7951" spans="1:3" hidden="1">
      <c r="A7951" s="65">
        <v>9010657</v>
      </c>
      <c r="B7951" s="65" t="s">
        <v>8489</v>
      </c>
      <c r="C7951" s="65" t="s">
        <v>3170</v>
      </c>
    </row>
    <row r="7952" spans="1:3" hidden="1">
      <c r="A7952" s="65">
        <v>9010658</v>
      </c>
      <c r="B7952" s="65" t="s">
        <v>8490</v>
      </c>
      <c r="C7952" s="65" t="s">
        <v>3170</v>
      </c>
    </row>
    <row r="7953" spans="1:3" hidden="1">
      <c r="A7953" s="65">
        <v>9010659</v>
      </c>
      <c r="B7953" s="65" t="s">
        <v>8491</v>
      </c>
      <c r="C7953" s="65" t="s">
        <v>3170</v>
      </c>
    </row>
    <row r="7954" spans="1:3" hidden="1">
      <c r="A7954" s="65">
        <v>9010660</v>
      </c>
      <c r="B7954" s="65" t="s">
        <v>8492</v>
      </c>
      <c r="C7954" s="65" t="s">
        <v>3170</v>
      </c>
    </row>
    <row r="7955" spans="1:3" hidden="1">
      <c r="A7955" s="65">
        <v>9010661</v>
      </c>
      <c r="B7955" s="65" t="s">
        <v>8493</v>
      </c>
      <c r="C7955" s="65" t="s">
        <v>942</v>
      </c>
    </row>
    <row r="7956" spans="1:3" hidden="1">
      <c r="A7956" s="65">
        <v>9010662</v>
      </c>
      <c r="B7956" s="65" t="s">
        <v>8494</v>
      </c>
      <c r="C7956" s="65" t="s">
        <v>942</v>
      </c>
    </row>
    <row r="7957" spans="1:3" hidden="1">
      <c r="A7957" s="65">
        <v>9010663</v>
      </c>
      <c r="B7957" s="65" t="s">
        <v>8495</v>
      </c>
      <c r="C7957" s="65" t="s">
        <v>942</v>
      </c>
    </row>
    <row r="7958" spans="1:3" hidden="1">
      <c r="A7958" s="65">
        <v>9010664</v>
      </c>
      <c r="B7958" s="65" t="s">
        <v>8496</v>
      </c>
      <c r="C7958" s="65" t="s">
        <v>942</v>
      </c>
    </row>
    <row r="7959" spans="1:3" hidden="1">
      <c r="A7959" s="65">
        <v>9010665</v>
      </c>
      <c r="B7959" s="65" t="s">
        <v>8497</v>
      </c>
      <c r="C7959" s="65" t="s">
        <v>942</v>
      </c>
    </row>
    <row r="7960" spans="1:3" hidden="1">
      <c r="A7960" s="65">
        <v>9010666</v>
      </c>
      <c r="B7960" s="65" t="s">
        <v>8498</v>
      </c>
      <c r="C7960" s="65" t="s">
        <v>942</v>
      </c>
    </row>
    <row r="7961" spans="1:3" hidden="1">
      <c r="A7961" s="65">
        <v>9010667</v>
      </c>
      <c r="B7961" s="65" t="s">
        <v>8499</v>
      </c>
      <c r="C7961" s="65" t="s">
        <v>942</v>
      </c>
    </row>
    <row r="7962" spans="1:3" hidden="1">
      <c r="A7962" s="65">
        <v>9010668</v>
      </c>
      <c r="B7962" s="65" t="s">
        <v>8500</v>
      </c>
      <c r="C7962" s="65" t="s">
        <v>942</v>
      </c>
    </row>
    <row r="7963" spans="1:3" hidden="1">
      <c r="A7963" s="65">
        <v>9010669</v>
      </c>
      <c r="B7963" s="65" t="s">
        <v>8501</v>
      </c>
      <c r="C7963" s="65" t="s">
        <v>942</v>
      </c>
    </row>
    <row r="7964" spans="1:3" hidden="1">
      <c r="A7964" s="65">
        <v>9010670</v>
      </c>
      <c r="B7964" s="65" t="s">
        <v>8502</v>
      </c>
      <c r="C7964" s="65" t="s">
        <v>942</v>
      </c>
    </row>
    <row r="7965" spans="1:3" hidden="1">
      <c r="A7965" s="65">
        <v>9010671</v>
      </c>
      <c r="B7965" s="65" t="s">
        <v>8503</v>
      </c>
      <c r="C7965" s="65" t="s">
        <v>942</v>
      </c>
    </row>
    <row r="7966" spans="1:3" hidden="1">
      <c r="A7966" s="65">
        <v>9010672</v>
      </c>
      <c r="B7966" s="65" t="s">
        <v>8504</v>
      </c>
      <c r="C7966" s="65" t="s">
        <v>942</v>
      </c>
    </row>
    <row r="7967" spans="1:3" hidden="1">
      <c r="A7967" s="65">
        <v>9010673</v>
      </c>
      <c r="B7967" s="65" t="s">
        <v>8505</v>
      </c>
      <c r="C7967" s="65" t="s">
        <v>942</v>
      </c>
    </row>
    <row r="7968" spans="1:3" hidden="1">
      <c r="A7968" s="65">
        <v>9010679</v>
      </c>
      <c r="B7968" s="65" t="s">
        <v>8506</v>
      </c>
      <c r="C7968" s="65" t="s">
        <v>1181</v>
      </c>
    </row>
    <row r="7969" spans="1:3" hidden="1">
      <c r="A7969" s="65">
        <v>9010680</v>
      </c>
      <c r="B7969" s="65" t="s">
        <v>8507</v>
      </c>
      <c r="C7969" s="65" t="s">
        <v>1181</v>
      </c>
    </row>
    <row r="7970" spans="1:3" hidden="1">
      <c r="A7970" s="65">
        <v>9010681</v>
      </c>
      <c r="B7970" s="65" t="s">
        <v>8508</v>
      </c>
      <c r="C7970" s="65" t="s">
        <v>1181</v>
      </c>
    </row>
    <row r="7971" spans="1:3" hidden="1">
      <c r="A7971" s="65">
        <v>9010682</v>
      </c>
      <c r="B7971" s="65" t="s">
        <v>8509</v>
      </c>
      <c r="C7971" s="65" t="s">
        <v>942</v>
      </c>
    </row>
    <row r="7972" spans="1:3" hidden="1">
      <c r="A7972" s="65">
        <v>9010683</v>
      </c>
      <c r="B7972" s="65" t="s">
        <v>8510</v>
      </c>
      <c r="C7972" s="65" t="s">
        <v>942</v>
      </c>
    </row>
    <row r="7973" spans="1:3" hidden="1">
      <c r="A7973" s="65">
        <v>9010684</v>
      </c>
      <c r="B7973" s="65" t="s">
        <v>8511</v>
      </c>
      <c r="C7973" s="65" t="s">
        <v>793</v>
      </c>
    </row>
    <row r="7974" spans="1:3" hidden="1">
      <c r="A7974" s="65">
        <v>9010685</v>
      </c>
      <c r="B7974" s="65" t="s">
        <v>8512</v>
      </c>
      <c r="C7974" s="65" t="s">
        <v>738</v>
      </c>
    </row>
    <row r="7975" spans="1:3" hidden="1">
      <c r="A7975" s="65">
        <v>9010686</v>
      </c>
      <c r="B7975" s="65" t="s">
        <v>8513</v>
      </c>
      <c r="C7975" s="65" t="s">
        <v>793</v>
      </c>
    </row>
    <row r="7976" spans="1:3" hidden="1">
      <c r="A7976" s="65">
        <v>9010687</v>
      </c>
      <c r="B7976" s="65" t="s">
        <v>8514</v>
      </c>
      <c r="C7976" s="65" t="s">
        <v>738</v>
      </c>
    </row>
    <row r="7977" spans="1:3" hidden="1">
      <c r="A7977" s="65">
        <v>9010688</v>
      </c>
      <c r="B7977" s="65" t="s">
        <v>8515</v>
      </c>
      <c r="C7977" s="65" t="s">
        <v>738</v>
      </c>
    </row>
    <row r="7978" spans="1:3" hidden="1">
      <c r="A7978" s="65">
        <v>9010689</v>
      </c>
      <c r="B7978" s="65" t="s">
        <v>8516</v>
      </c>
      <c r="C7978" s="65" t="s">
        <v>738</v>
      </c>
    </row>
    <row r="7979" spans="1:3" hidden="1">
      <c r="A7979" s="65">
        <v>9010690</v>
      </c>
      <c r="B7979" s="65" t="s">
        <v>8517</v>
      </c>
      <c r="C7979" s="65" t="s">
        <v>942</v>
      </c>
    </row>
    <row r="7980" spans="1:3" hidden="1">
      <c r="A7980" s="65">
        <v>9010691</v>
      </c>
      <c r="B7980" s="65" t="s">
        <v>8518</v>
      </c>
      <c r="C7980" s="65" t="s">
        <v>942</v>
      </c>
    </row>
    <row r="7981" spans="1:3" hidden="1">
      <c r="A7981" s="65">
        <v>9010692</v>
      </c>
      <c r="B7981" s="65" t="s">
        <v>8519</v>
      </c>
      <c r="C7981" s="65" t="s">
        <v>942</v>
      </c>
    </row>
    <row r="7982" spans="1:3" hidden="1">
      <c r="A7982" s="65">
        <v>9010693</v>
      </c>
      <c r="B7982" s="65" t="s">
        <v>8520</v>
      </c>
      <c r="C7982" s="65" t="s">
        <v>942</v>
      </c>
    </row>
    <row r="7983" spans="1:3" hidden="1">
      <c r="A7983" s="65">
        <v>9010694</v>
      </c>
      <c r="B7983" s="65" t="s">
        <v>8521</v>
      </c>
      <c r="C7983" s="65" t="s">
        <v>942</v>
      </c>
    </row>
    <row r="7984" spans="1:3" hidden="1">
      <c r="A7984" s="65">
        <v>9010695</v>
      </c>
      <c r="B7984" s="65" t="s">
        <v>8522</v>
      </c>
      <c r="C7984" s="65" t="s">
        <v>942</v>
      </c>
    </row>
    <row r="7985" spans="1:3" hidden="1">
      <c r="A7985" s="65">
        <v>9010696</v>
      </c>
      <c r="B7985" s="65" t="s">
        <v>8523</v>
      </c>
      <c r="C7985" s="65" t="s">
        <v>942</v>
      </c>
    </row>
    <row r="7986" spans="1:3" hidden="1">
      <c r="A7986" s="65">
        <v>9010697</v>
      </c>
      <c r="B7986" s="65" t="s">
        <v>8524</v>
      </c>
      <c r="C7986" s="65" t="s">
        <v>942</v>
      </c>
    </row>
    <row r="7987" spans="1:3" hidden="1">
      <c r="A7987" s="65">
        <v>9010698</v>
      </c>
      <c r="B7987" s="65" t="s">
        <v>8525</v>
      </c>
      <c r="C7987" s="65" t="s">
        <v>942</v>
      </c>
    </row>
    <row r="7988" spans="1:3" hidden="1">
      <c r="A7988" s="65">
        <v>9010699</v>
      </c>
      <c r="B7988" s="65" t="s">
        <v>8526</v>
      </c>
      <c r="C7988" s="65" t="s">
        <v>793</v>
      </c>
    </row>
    <row r="7989" spans="1:3" hidden="1">
      <c r="A7989" s="65">
        <v>9010700</v>
      </c>
      <c r="B7989" s="65" t="s">
        <v>8527</v>
      </c>
      <c r="C7989" s="65" t="s">
        <v>793</v>
      </c>
    </row>
    <row r="7990" spans="1:3" hidden="1">
      <c r="A7990" s="65">
        <v>9010701</v>
      </c>
      <c r="B7990" s="65" t="s">
        <v>8528</v>
      </c>
      <c r="C7990" s="65" t="s">
        <v>793</v>
      </c>
    </row>
    <row r="7991" spans="1:3" hidden="1">
      <c r="A7991" s="65">
        <v>9010709</v>
      </c>
      <c r="B7991" s="65" t="s">
        <v>8529</v>
      </c>
      <c r="C7991" s="65" t="s">
        <v>743</v>
      </c>
    </row>
    <row r="7992" spans="1:3" hidden="1">
      <c r="A7992" s="65">
        <v>9010719</v>
      </c>
      <c r="B7992" s="65" t="s">
        <v>8530</v>
      </c>
      <c r="C7992" s="65" t="s">
        <v>840</v>
      </c>
    </row>
    <row r="7993" spans="1:3" hidden="1">
      <c r="A7993" s="65">
        <v>9010729</v>
      </c>
      <c r="B7993" s="65" t="s">
        <v>8531</v>
      </c>
      <c r="C7993" s="65" t="s">
        <v>840</v>
      </c>
    </row>
    <row r="7994" spans="1:3" hidden="1">
      <c r="A7994" s="65">
        <v>9010730</v>
      </c>
      <c r="B7994" s="65" t="s">
        <v>8532</v>
      </c>
      <c r="C7994" s="65" t="s">
        <v>677</v>
      </c>
    </row>
    <row r="7995" spans="1:3" hidden="1">
      <c r="A7995" s="65">
        <v>9010739</v>
      </c>
      <c r="B7995" s="65" t="s">
        <v>8533</v>
      </c>
      <c r="C7995" s="65" t="s">
        <v>5068</v>
      </c>
    </row>
    <row r="7996" spans="1:3" hidden="1">
      <c r="A7996" s="65">
        <v>9010749</v>
      </c>
      <c r="B7996" s="65" t="s">
        <v>8534</v>
      </c>
      <c r="C7996" s="65" t="s">
        <v>1181</v>
      </c>
    </row>
    <row r="7997" spans="1:3" hidden="1">
      <c r="A7997" s="65">
        <v>9010750</v>
      </c>
      <c r="B7997" s="65" t="s">
        <v>8535</v>
      </c>
      <c r="C7997" s="65" t="s">
        <v>686</v>
      </c>
    </row>
    <row r="7998" spans="1:3" hidden="1">
      <c r="A7998" s="65">
        <v>9010751</v>
      </c>
      <c r="B7998" s="65" t="s">
        <v>8536</v>
      </c>
      <c r="C7998" s="65" t="s">
        <v>686</v>
      </c>
    </row>
    <row r="7999" spans="1:3" hidden="1">
      <c r="A7999" s="65">
        <v>9010752</v>
      </c>
      <c r="B7999" s="65" t="s">
        <v>8537</v>
      </c>
      <c r="C7999" s="65" t="s">
        <v>775</v>
      </c>
    </row>
    <row r="8000" spans="1:3" hidden="1">
      <c r="A8000" s="65">
        <v>9010753</v>
      </c>
      <c r="B8000" s="65" t="s">
        <v>8538</v>
      </c>
      <c r="C8000" s="65" t="s">
        <v>8539</v>
      </c>
    </row>
    <row r="8001" spans="1:3" hidden="1">
      <c r="A8001" s="65">
        <v>9010754</v>
      </c>
      <c r="B8001" s="65" t="s">
        <v>8540</v>
      </c>
      <c r="C8001" s="65" t="s">
        <v>8539</v>
      </c>
    </row>
    <row r="8002" spans="1:3" hidden="1">
      <c r="A8002" s="65">
        <v>9010755</v>
      </c>
      <c r="B8002" s="65" t="s">
        <v>8541</v>
      </c>
      <c r="C8002" s="65" t="s">
        <v>775</v>
      </c>
    </row>
    <row r="8003" spans="1:3" hidden="1">
      <c r="A8003" s="65">
        <v>9010756</v>
      </c>
      <c r="B8003" s="65" t="s">
        <v>8542</v>
      </c>
      <c r="C8003" s="65" t="s">
        <v>8539</v>
      </c>
    </row>
    <row r="8004" spans="1:3" hidden="1">
      <c r="A8004" s="65">
        <v>9010757</v>
      </c>
      <c r="B8004" s="65" t="s">
        <v>8543</v>
      </c>
      <c r="C8004" s="65" t="s">
        <v>8539</v>
      </c>
    </row>
    <row r="8005" spans="1:3" hidden="1">
      <c r="A8005" s="65">
        <v>9010758</v>
      </c>
      <c r="B8005" s="65" t="s">
        <v>8544</v>
      </c>
      <c r="C8005" s="65" t="s">
        <v>8539</v>
      </c>
    </row>
    <row r="8006" spans="1:3" hidden="1">
      <c r="A8006" s="65">
        <v>9010759</v>
      </c>
      <c r="B8006" s="65" t="s">
        <v>8545</v>
      </c>
      <c r="C8006" s="65" t="s">
        <v>8539</v>
      </c>
    </row>
    <row r="8007" spans="1:3" hidden="1">
      <c r="A8007" s="65">
        <v>9010760</v>
      </c>
      <c r="B8007" s="65" t="s">
        <v>8546</v>
      </c>
      <c r="C8007" s="65" t="s">
        <v>8539</v>
      </c>
    </row>
    <row r="8008" spans="1:3" hidden="1">
      <c r="A8008" s="65">
        <v>9010761</v>
      </c>
      <c r="B8008" s="65" t="s">
        <v>8547</v>
      </c>
      <c r="C8008" s="65" t="s">
        <v>8539</v>
      </c>
    </row>
    <row r="8009" spans="1:3" hidden="1">
      <c r="A8009" s="65">
        <v>9010762</v>
      </c>
      <c r="B8009" s="65" t="s">
        <v>8548</v>
      </c>
      <c r="C8009" s="65" t="s">
        <v>8539</v>
      </c>
    </row>
    <row r="8010" spans="1:3" hidden="1">
      <c r="A8010" s="65">
        <v>9010763</v>
      </c>
      <c r="B8010" s="65" t="s">
        <v>8549</v>
      </c>
      <c r="C8010" s="65" t="s">
        <v>8539</v>
      </c>
    </row>
    <row r="8011" spans="1:3" hidden="1">
      <c r="A8011" s="65">
        <v>9010764</v>
      </c>
      <c r="B8011" s="65" t="s">
        <v>8550</v>
      </c>
      <c r="C8011" s="65" t="s">
        <v>2624</v>
      </c>
    </row>
    <row r="8012" spans="1:3" hidden="1">
      <c r="A8012" s="65">
        <v>9010765</v>
      </c>
      <c r="B8012" s="65" t="s">
        <v>8551</v>
      </c>
      <c r="C8012" s="65" t="s">
        <v>8539</v>
      </c>
    </row>
    <row r="8013" spans="1:3" hidden="1">
      <c r="A8013" s="65">
        <v>9010766</v>
      </c>
      <c r="B8013" s="65" t="s">
        <v>8552</v>
      </c>
      <c r="C8013" s="65" t="s">
        <v>2624</v>
      </c>
    </row>
    <row r="8014" spans="1:3" hidden="1">
      <c r="A8014" s="65">
        <v>9010767</v>
      </c>
      <c r="B8014" s="65" t="s">
        <v>8553</v>
      </c>
      <c r="C8014" s="65" t="s">
        <v>2624</v>
      </c>
    </row>
    <row r="8015" spans="1:3" hidden="1">
      <c r="A8015" s="65">
        <v>9010768</v>
      </c>
      <c r="B8015" s="65" t="s">
        <v>8554</v>
      </c>
      <c r="C8015" s="65" t="s">
        <v>2624</v>
      </c>
    </row>
    <row r="8016" spans="1:3" hidden="1">
      <c r="A8016" s="65">
        <v>9010769</v>
      </c>
      <c r="B8016" s="65" t="s">
        <v>8554</v>
      </c>
      <c r="C8016" s="65" t="s">
        <v>2624</v>
      </c>
    </row>
    <row r="8017" spans="1:3" hidden="1">
      <c r="A8017" s="65">
        <v>9010770</v>
      </c>
      <c r="B8017" s="65" t="s">
        <v>8555</v>
      </c>
      <c r="C8017" s="65" t="s">
        <v>793</v>
      </c>
    </row>
    <row r="8018" spans="1:3" hidden="1">
      <c r="A8018" s="65">
        <v>9010771</v>
      </c>
      <c r="B8018" s="65" t="s">
        <v>8556</v>
      </c>
      <c r="C8018" s="65" t="s">
        <v>738</v>
      </c>
    </row>
    <row r="8019" spans="1:3" hidden="1">
      <c r="A8019" s="65">
        <v>9010772</v>
      </c>
      <c r="B8019" s="65" t="s">
        <v>8557</v>
      </c>
      <c r="C8019" s="65" t="s">
        <v>793</v>
      </c>
    </row>
    <row r="8020" spans="1:3" hidden="1">
      <c r="A8020" s="65">
        <v>9010773</v>
      </c>
      <c r="B8020" s="65" t="s">
        <v>8558</v>
      </c>
      <c r="C8020" s="65" t="s">
        <v>793</v>
      </c>
    </row>
    <row r="8021" spans="1:3" hidden="1">
      <c r="A8021" s="65">
        <v>9010774</v>
      </c>
      <c r="B8021" s="65" t="s">
        <v>8559</v>
      </c>
      <c r="C8021" s="65" t="s">
        <v>793</v>
      </c>
    </row>
    <row r="8022" spans="1:3" hidden="1">
      <c r="A8022" s="65">
        <v>9010775</v>
      </c>
      <c r="B8022" s="65" t="s">
        <v>8560</v>
      </c>
      <c r="C8022" s="65" t="s">
        <v>942</v>
      </c>
    </row>
    <row r="8023" spans="1:3" hidden="1">
      <c r="A8023" s="65">
        <v>9010779</v>
      </c>
      <c r="B8023" s="65" t="s">
        <v>8561</v>
      </c>
      <c r="C8023" s="65" t="s">
        <v>793</v>
      </c>
    </row>
    <row r="8024" spans="1:3" hidden="1">
      <c r="A8024" s="65">
        <v>9010780</v>
      </c>
      <c r="B8024" s="65" t="s">
        <v>8562</v>
      </c>
      <c r="C8024" s="65" t="s">
        <v>793</v>
      </c>
    </row>
    <row r="8025" spans="1:3" hidden="1">
      <c r="A8025" s="65">
        <v>9010781</v>
      </c>
      <c r="B8025" s="65" t="s">
        <v>8563</v>
      </c>
      <c r="C8025" s="65" t="s">
        <v>793</v>
      </c>
    </row>
    <row r="8026" spans="1:3" hidden="1">
      <c r="A8026" s="65">
        <v>9010782</v>
      </c>
      <c r="B8026" s="65" t="s">
        <v>8564</v>
      </c>
      <c r="C8026" s="65" t="s">
        <v>1181</v>
      </c>
    </row>
    <row r="8027" spans="1:3" hidden="1">
      <c r="A8027" s="65">
        <v>9010783</v>
      </c>
      <c r="B8027" s="65" t="s">
        <v>8565</v>
      </c>
      <c r="C8027" s="65" t="s">
        <v>738</v>
      </c>
    </row>
    <row r="8028" spans="1:3" hidden="1">
      <c r="A8028" s="65">
        <v>9010784</v>
      </c>
      <c r="B8028" s="65" t="s">
        <v>8566</v>
      </c>
      <c r="C8028" s="65" t="s">
        <v>738</v>
      </c>
    </row>
    <row r="8029" spans="1:3" hidden="1">
      <c r="A8029" s="65">
        <v>9010785</v>
      </c>
      <c r="B8029" s="65" t="s">
        <v>8567</v>
      </c>
      <c r="C8029" s="65" t="s">
        <v>795</v>
      </c>
    </row>
    <row r="8030" spans="1:3" hidden="1">
      <c r="A8030" s="65">
        <v>9010786</v>
      </c>
      <c r="B8030" s="65" t="s">
        <v>5821</v>
      </c>
      <c r="C8030" s="65" t="s">
        <v>751</v>
      </c>
    </row>
    <row r="8031" spans="1:3" hidden="1">
      <c r="A8031" s="65">
        <v>9010787</v>
      </c>
      <c r="B8031" s="65" t="s">
        <v>8568</v>
      </c>
      <c r="C8031" s="65" t="s">
        <v>738</v>
      </c>
    </row>
    <row r="8032" spans="1:3" hidden="1">
      <c r="A8032" s="65">
        <v>9010788</v>
      </c>
      <c r="B8032" s="65" t="s">
        <v>8569</v>
      </c>
      <c r="C8032" s="65" t="s">
        <v>738</v>
      </c>
    </row>
    <row r="8033" spans="1:3" hidden="1">
      <c r="A8033" s="65">
        <v>9010789</v>
      </c>
      <c r="B8033" s="65" t="s">
        <v>8570</v>
      </c>
      <c r="C8033" s="65" t="s">
        <v>942</v>
      </c>
    </row>
    <row r="8034" spans="1:3" hidden="1">
      <c r="A8034" s="65">
        <v>9010790</v>
      </c>
      <c r="B8034" s="65" t="s">
        <v>8571</v>
      </c>
      <c r="C8034" s="65" t="s">
        <v>695</v>
      </c>
    </row>
    <row r="8035" spans="1:3" hidden="1">
      <c r="A8035" s="65">
        <v>9010791</v>
      </c>
      <c r="B8035" s="65" t="s">
        <v>8572</v>
      </c>
      <c r="C8035" s="65" t="s">
        <v>942</v>
      </c>
    </row>
    <row r="8036" spans="1:3" hidden="1">
      <c r="A8036" s="65">
        <v>9010792</v>
      </c>
      <c r="B8036" s="65" t="s">
        <v>8573</v>
      </c>
      <c r="C8036" s="65" t="s">
        <v>942</v>
      </c>
    </row>
    <row r="8037" spans="1:3" hidden="1">
      <c r="A8037" s="65">
        <v>9010793</v>
      </c>
      <c r="B8037" s="65" t="s">
        <v>8574</v>
      </c>
      <c r="C8037" s="65" t="s">
        <v>942</v>
      </c>
    </row>
    <row r="8038" spans="1:3" hidden="1">
      <c r="A8038" s="65">
        <v>9010794</v>
      </c>
      <c r="B8038" s="65" t="s">
        <v>8575</v>
      </c>
      <c r="C8038" s="65" t="s">
        <v>942</v>
      </c>
    </row>
    <row r="8039" spans="1:3" hidden="1">
      <c r="A8039" s="65">
        <v>9010795</v>
      </c>
      <c r="B8039" s="65" t="s">
        <v>8576</v>
      </c>
      <c r="C8039" s="65" t="s">
        <v>942</v>
      </c>
    </row>
    <row r="8040" spans="1:3" hidden="1">
      <c r="A8040" s="65">
        <v>9010796</v>
      </c>
      <c r="B8040" s="65" t="s">
        <v>8577</v>
      </c>
      <c r="C8040" s="65" t="s">
        <v>942</v>
      </c>
    </row>
    <row r="8041" spans="1:3" hidden="1">
      <c r="A8041" s="65">
        <v>9010799</v>
      </c>
      <c r="B8041" s="65" t="s">
        <v>8578</v>
      </c>
      <c r="C8041" s="65" t="s">
        <v>793</v>
      </c>
    </row>
    <row r="8042" spans="1:3" hidden="1">
      <c r="A8042" s="65">
        <v>9010800</v>
      </c>
      <c r="B8042" s="65" t="s">
        <v>8579</v>
      </c>
      <c r="C8042" s="65" t="s">
        <v>926</v>
      </c>
    </row>
    <row r="8043" spans="1:3" hidden="1">
      <c r="A8043" s="65">
        <v>9010801</v>
      </c>
      <c r="B8043" s="65" t="s">
        <v>8580</v>
      </c>
      <c r="C8043" s="65" t="s">
        <v>674</v>
      </c>
    </row>
    <row r="8044" spans="1:3" hidden="1">
      <c r="A8044" s="65">
        <v>9010809</v>
      </c>
      <c r="B8044" s="65" t="s">
        <v>8581</v>
      </c>
      <c r="C8044" s="65" t="s">
        <v>738</v>
      </c>
    </row>
    <row r="8045" spans="1:3" hidden="1">
      <c r="A8045" s="65">
        <v>9010810</v>
      </c>
      <c r="B8045" s="65" t="s">
        <v>8582</v>
      </c>
      <c r="C8045" s="65" t="s">
        <v>738</v>
      </c>
    </row>
    <row r="8046" spans="1:3" hidden="1">
      <c r="A8046" s="65">
        <v>9010819</v>
      </c>
      <c r="B8046" s="65" t="s">
        <v>8583</v>
      </c>
      <c r="C8046" s="65" t="s">
        <v>686</v>
      </c>
    </row>
    <row r="8047" spans="1:3" hidden="1">
      <c r="A8047" s="65">
        <v>9010820</v>
      </c>
      <c r="B8047" s="65" t="s">
        <v>8584</v>
      </c>
      <c r="C8047" s="65" t="s">
        <v>683</v>
      </c>
    </row>
    <row r="8048" spans="1:3" hidden="1">
      <c r="A8048" s="65">
        <v>9010821</v>
      </c>
      <c r="B8048" s="65" t="s">
        <v>8585</v>
      </c>
      <c r="C8048" s="65" t="s">
        <v>793</v>
      </c>
    </row>
    <row r="8049" spans="1:3" hidden="1">
      <c r="A8049" s="65">
        <v>9010822</v>
      </c>
      <c r="B8049" s="65" t="s">
        <v>8586</v>
      </c>
      <c r="C8049" s="65" t="s">
        <v>793</v>
      </c>
    </row>
    <row r="8050" spans="1:3" hidden="1">
      <c r="A8050" s="65">
        <v>9010823</v>
      </c>
      <c r="B8050" s="65" t="s">
        <v>8587</v>
      </c>
      <c r="C8050" s="65" t="s">
        <v>793</v>
      </c>
    </row>
    <row r="8051" spans="1:3" hidden="1">
      <c r="A8051" s="65">
        <v>9010824</v>
      </c>
      <c r="B8051" s="65" t="s">
        <v>8588</v>
      </c>
      <c r="C8051" s="65" t="s">
        <v>942</v>
      </c>
    </row>
    <row r="8052" spans="1:3" hidden="1">
      <c r="A8052" s="65">
        <v>9010830</v>
      </c>
      <c r="B8052" s="65" t="s">
        <v>8589</v>
      </c>
      <c r="C8052" s="65" t="s">
        <v>793</v>
      </c>
    </row>
    <row r="8053" spans="1:3" hidden="1">
      <c r="A8053" s="65">
        <v>9010831</v>
      </c>
      <c r="B8053" s="65" t="s">
        <v>8590</v>
      </c>
      <c r="C8053" s="65" t="s">
        <v>732</v>
      </c>
    </row>
    <row r="8054" spans="1:3" hidden="1">
      <c r="A8054" s="65">
        <v>9010832</v>
      </c>
      <c r="B8054" s="65" t="s">
        <v>8591</v>
      </c>
      <c r="C8054" s="65" t="s">
        <v>745</v>
      </c>
    </row>
    <row r="8055" spans="1:3" hidden="1">
      <c r="A8055" s="65">
        <v>9010833</v>
      </c>
      <c r="B8055" s="65" t="s">
        <v>8592</v>
      </c>
      <c r="C8055" s="65" t="s">
        <v>738</v>
      </c>
    </row>
    <row r="8056" spans="1:3" hidden="1">
      <c r="A8056" s="65">
        <v>9010834</v>
      </c>
      <c r="B8056" s="65" t="s">
        <v>8593</v>
      </c>
      <c r="C8056" s="65" t="s">
        <v>793</v>
      </c>
    </row>
    <row r="8057" spans="1:3" hidden="1">
      <c r="A8057" s="65">
        <v>9010835</v>
      </c>
      <c r="B8057" s="65" t="s">
        <v>8594</v>
      </c>
      <c r="C8057" s="65" t="s">
        <v>793</v>
      </c>
    </row>
    <row r="8058" spans="1:3" hidden="1">
      <c r="A8058" s="65">
        <v>9010836</v>
      </c>
      <c r="B8058" s="65" t="s">
        <v>8595</v>
      </c>
      <c r="C8058" s="65" t="s">
        <v>942</v>
      </c>
    </row>
    <row r="8059" spans="1:3" hidden="1">
      <c r="A8059" s="65">
        <v>9010837</v>
      </c>
      <c r="B8059" s="65" t="s">
        <v>8596</v>
      </c>
      <c r="C8059" s="65" t="s">
        <v>942</v>
      </c>
    </row>
    <row r="8060" spans="1:3" hidden="1">
      <c r="A8060" s="65">
        <v>9010838</v>
      </c>
      <c r="B8060" s="65" t="s">
        <v>8597</v>
      </c>
      <c r="C8060" s="65" t="s">
        <v>942</v>
      </c>
    </row>
    <row r="8061" spans="1:3" hidden="1">
      <c r="A8061" s="65">
        <v>9010839</v>
      </c>
      <c r="B8061" s="65" t="s">
        <v>8598</v>
      </c>
      <c r="C8061" s="65" t="s">
        <v>942</v>
      </c>
    </row>
    <row r="8062" spans="1:3" hidden="1">
      <c r="A8062" s="65">
        <v>9010840</v>
      </c>
      <c r="B8062" s="65" t="s">
        <v>8599</v>
      </c>
      <c r="C8062" s="65" t="s">
        <v>942</v>
      </c>
    </row>
    <row r="8063" spans="1:3" hidden="1">
      <c r="A8063" s="65">
        <v>9010841</v>
      </c>
      <c r="B8063" s="65" t="s">
        <v>8600</v>
      </c>
      <c r="C8063" s="65" t="s">
        <v>942</v>
      </c>
    </row>
    <row r="8064" spans="1:3" hidden="1">
      <c r="A8064" s="65">
        <v>9010842</v>
      </c>
      <c r="B8064" s="65" t="s">
        <v>8601</v>
      </c>
      <c r="C8064" s="65" t="s">
        <v>738</v>
      </c>
    </row>
    <row r="8065" spans="1:3" hidden="1">
      <c r="A8065" s="65">
        <v>9010843</v>
      </c>
      <c r="B8065" s="65" t="s">
        <v>8602</v>
      </c>
      <c r="C8065" s="65" t="s">
        <v>793</v>
      </c>
    </row>
    <row r="8066" spans="1:3" hidden="1">
      <c r="A8066" s="65">
        <v>9010844</v>
      </c>
      <c r="B8066" s="65" t="s">
        <v>8603</v>
      </c>
      <c r="C8066" s="65" t="s">
        <v>793</v>
      </c>
    </row>
    <row r="8067" spans="1:3" hidden="1">
      <c r="A8067" s="65">
        <v>9010845</v>
      </c>
      <c r="B8067" s="65" t="s">
        <v>8604</v>
      </c>
      <c r="C8067" s="65" t="s">
        <v>793</v>
      </c>
    </row>
    <row r="8068" spans="1:3" hidden="1">
      <c r="A8068" s="65">
        <v>9010846</v>
      </c>
      <c r="B8068" s="65" t="s">
        <v>8605</v>
      </c>
      <c r="C8068" s="65" t="s">
        <v>793</v>
      </c>
    </row>
    <row r="8069" spans="1:3" hidden="1">
      <c r="A8069" s="65">
        <v>9010847</v>
      </c>
      <c r="B8069" s="65" t="s">
        <v>8606</v>
      </c>
      <c r="C8069" s="65" t="s">
        <v>793</v>
      </c>
    </row>
    <row r="8070" spans="1:3" hidden="1">
      <c r="A8070" s="65">
        <v>9010848</v>
      </c>
      <c r="B8070" s="65" t="s">
        <v>8607</v>
      </c>
      <c r="C8070" s="65" t="s">
        <v>793</v>
      </c>
    </row>
    <row r="8071" spans="1:3" hidden="1">
      <c r="A8071" s="65">
        <v>9010849</v>
      </c>
      <c r="B8071" s="65" t="s">
        <v>8608</v>
      </c>
      <c r="C8071" s="65" t="s">
        <v>990</v>
      </c>
    </row>
    <row r="8072" spans="1:3" hidden="1">
      <c r="A8072" s="65">
        <v>9010859</v>
      </c>
      <c r="B8072" s="65" t="s">
        <v>8609</v>
      </c>
      <c r="C8072" s="65" t="s">
        <v>788</v>
      </c>
    </row>
    <row r="8073" spans="1:3" hidden="1">
      <c r="A8073" s="65">
        <v>9010869</v>
      </c>
      <c r="B8073" s="65" t="s">
        <v>8610</v>
      </c>
      <c r="C8073" s="65" t="s">
        <v>942</v>
      </c>
    </row>
    <row r="8074" spans="1:3" hidden="1">
      <c r="A8074" s="65">
        <v>9010870</v>
      </c>
      <c r="B8074" s="65" t="s">
        <v>8611</v>
      </c>
      <c r="C8074" s="65" t="s">
        <v>942</v>
      </c>
    </row>
    <row r="8075" spans="1:3" hidden="1">
      <c r="A8075" s="65">
        <v>9010871</v>
      </c>
      <c r="B8075" s="65" t="s">
        <v>8612</v>
      </c>
      <c r="C8075" s="65" t="s">
        <v>942</v>
      </c>
    </row>
    <row r="8076" spans="1:3" hidden="1">
      <c r="A8076" s="65">
        <v>9010872</v>
      </c>
      <c r="B8076" s="65" t="s">
        <v>8613</v>
      </c>
      <c r="C8076" s="65" t="s">
        <v>793</v>
      </c>
    </row>
    <row r="8077" spans="1:3" hidden="1">
      <c r="A8077" s="65">
        <v>9010873</v>
      </c>
      <c r="B8077" s="65" t="s">
        <v>8614</v>
      </c>
      <c r="C8077" s="65" t="s">
        <v>1181</v>
      </c>
    </row>
    <row r="8078" spans="1:3" hidden="1">
      <c r="A8078" s="65">
        <v>9010874</v>
      </c>
      <c r="B8078" s="65" t="s">
        <v>8615</v>
      </c>
      <c r="C8078" s="65" t="s">
        <v>942</v>
      </c>
    </row>
    <row r="8079" spans="1:3" hidden="1">
      <c r="A8079" s="65">
        <v>9010875</v>
      </c>
      <c r="B8079" s="65" t="s">
        <v>8616</v>
      </c>
      <c r="C8079" s="65" t="s">
        <v>793</v>
      </c>
    </row>
    <row r="8080" spans="1:3" hidden="1">
      <c r="A8080" s="65">
        <v>9010876</v>
      </c>
      <c r="B8080" s="65" t="s">
        <v>8617</v>
      </c>
      <c r="C8080" s="65" t="s">
        <v>793</v>
      </c>
    </row>
    <row r="8081" spans="1:3" hidden="1">
      <c r="A8081" s="65">
        <v>9010877</v>
      </c>
      <c r="B8081" s="65" t="s">
        <v>8618</v>
      </c>
      <c r="C8081" s="65" t="s">
        <v>942</v>
      </c>
    </row>
    <row r="8082" spans="1:3" hidden="1">
      <c r="A8082" s="65">
        <v>9010878</v>
      </c>
      <c r="B8082" s="65" t="s">
        <v>8619</v>
      </c>
      <c r="C8082" s="65" t="s">
        <v>942</v>
      </c>
    </row>
    <row r="8083" spans="1:3" hidden="1">
      <c r="A8083" s="65">
        <v>9010879</v>
      </c>
      <c r="B8083" s="65" t="s">
        <v>8620</v>
      </c>
      <c r="C8083" s="65" t="s">
        <v>793</v>
      </c>
    </row>
    <row r="8084" spans="1:3" hidden="1">
      <c r="A8084" s="65">
        <v>9010880</v>
      </c>
      <c r="B8084" s="65" t="s">
        <v>8621</v>
      </c>
      <c r="C8084" s="65" t="s">
        <v>738</v>
      </c>
    </row>
    <row r="8085" spans="1:3" hidden="1">
      <c r="A8085" s="65">
        <v>9010881</v>
      </c>
      <c r="B8085" s="65" t="s">
        <v>8622</v>
      </c>
      <c r="C8085" s="65" t="s">
        <v>793</v>
      </c>
    </row>
    <row r="8086" spans="1:3" hidden="1">
      <c r="A8086" s="65">
        <v>9010882</v>
      </c>
      <c r="B8086" s="65" t="s">
        <v>8623</v>
      </c>
      <c r="C8086" s="65" t="s">
        <v>793</v>
      </c>
    </row>
    <row r="8087" spans="1:3" hidden="1">
      <c r="A8087" s="65">
        <v>9010883</v>
      </c>
      <c r="B8087" s="65" t="s">
        <v>8624</v>
      </c>
      <c r="C8087" s="65" t="s">
        <v>793</v>
      </c>
    </row>
    <row r="8088" spans="1:3" hidden="1">
      <c r="A8088" s="65">
        <v>9010884</v>
      </c>
      <c r="B8088" s="65" t="s">
        <v>8625</v>
      </c>
      <c r="C8088" s="65" t="s">
        <v>793</v>
      </c>
    </row>
    <row r="8089" spans="1:3" hidden="1">
      <c r="A8089" s="65">
        <v>9010885</v>
      </c>
      <c r="B8089" s="65" t="s">
        <v>8626</v>
      </c>
      <c r="C8089" s="65" t="s">
        <v>683</v>
      </c>
    </row>
    <row r="8090" spans="1:3" hidden="1">
      <c r="A8090" s="65">
        <v>9010886</v>
      </c>
      <c r="B8090" s="65" t="s">
        <v>8627</v>
      </c>
      <c r="C8090" s="65" t="s">
        <v>793</v>
      </c>
    </row>
    <row r="8091" spans="1:3" hidden="1">
      <c r="A8091" s="65">
        <v>9010887</v>
      </c>
      <c r="B8091" s="65" t="s">
        <v>8628</v>
      </c>
      <c r="C8091" s="65" t="s">
        <v>793</v>
      </c>
    </row>
    <row r="8092" spans="1:3" hidden="1">
      <c r="A8092" s="65">
        <v>9010888</v>
      </c>
      <c r="B8092" s="65" t="s">
        <v>8629</v>
      </c>
      <c r="C8092" s="65" t="s">
        <v>793</v>
      </c>
    </row>
    <row r="8093" spans="1:3" hidden="1">
      <c r="A8093" s="65">
        <v>9010889</v>
      </c>
      <c r="B8093" s="65" t="s">
        <v>8630</v>
      </c>
      <c r="C8093" s="65" t="s">
        <v>793</v>
      </c>
    </row>
    <row r="8094" spans="1:3" hidden="1">
      <c r="A8094" s="65">
        <v>9010890</v>
      </c>
      <c r="B8094" s="65" t="s">
        <v>8631</v>
      </c>
      <c r="C8094" s="65" t="s">
        <v>793</v>
      </c>
    </row>
    <row r="8095" spans="1:3" hidden="1">
      <c r="A8095" s="65">
        <v>9010891</v>
      </c>
      <c r="B8095" s="65" t="s">
        <v>8632</v>
      </c>
      <c r="C8095" s="65" t="s">
        <v>793</v>
      </c>
    </row>
    <row r="8096" spans="1:3" hidden="1">
      <c r="A8096" s="65">
        <v>9010892</v>
      </c>
      <c r="B8096" s="65" t="s">
        <v>8633</v>
      </c>
      <c r="C8096" s="65" t="s">
        <v>942</v>
      </c>
    </row>
    <row r="8097" spans="1:3" hidden="1">
      <c r="A8097" s="65">
        <v>9010893</v>
      </c>
      <c r="B8097" s="65" t="s">
        <v>8634</v>
      </c>
      <c r="C8097" s="65" t="s">
        <v>942</v>
      </c>
    </row>
    <row r="8098" spans="1:3" hidden="1">
      <c r="A8098" s="65">
        <v>9010894</v>
      </c>
      <c r="B8098" s="65" t="s">
        <v>8635</v>
      </c>
      <c r="C8098" s="65" t="s">
        <v>942</v>
      </c>
    </row>
    <row r="8099" spans="1:3" hidden="1">
      <c r="A8099" s="65">
        <v>9010895</v>
      </c>
      <c r="B8099" s="65" t="s">
        <v>8636</v>
      </c>
      <c r="C8099" s="65" t="s">
        <v>942</v>
      </c>
    </row>
    <row r="8100" spans="1:3" hidden="1">
      <c r="A8100" s="65">
        <v>9010896</v>
      </c>
      <c r="B8100" s="65" t="s">
        <v>8637</v>
      </c>
      <c r="C8100" s="65" t="s">
        <v>942</v>
      </c>
    </row>
    <row r="8101" spans="1:3" hidden="1">
      <c r="A8101" s="65">
        <v>9010899</v>
      </c>
      <c r="B8101" s="65" t="s">
        <v>8638</v>
      </c>
      <c r="C8101" s="65" t="s">
        <v>666</v>
      </c>
    </row>
    <row r="8102" spans="1:3" hidden="1">
      <c r="A8102" s="65">
        <v>9010900</v>
      </c>
      <c r="B8102" s="65" t="s">
        <v>8639</v>
      </c>
      <c r="C8102" s="65" t="s">
        <v>788</v>
      </c>
    </row>
    <row r="8103" spans="1:3" hidden="1">
      <c r="A8103" s="65">
        <v>9010909</v>
      </c>
      <c r="B8103" s="65" t="s">
        <v>8640</v>
      </c>
      <c r="C8103" s="65" t="s">
        <v>942</v>
      </c>
    </row>
    <row r="8104" spans="1:3" hidden="1">
      <c r="A8104" s="65">
        <v>9010910</v>
      </c>
      <c r="B8104" s="65" t="s">
        <v>8641</v>
      </c>
      <c r="C8104" s="65" t="s">
        <v>942</v>
      </c>
    </row>
    <row r="8105" spans="1:3" hidden="1">
      <c r="A8105" s="65">
        <v>9010911</v>
      </c>
      <c r="B8105" s="65" t="s">
        <v>8642</v>
      </c>
      <c r="C8105" s="65" t="s">
        <v>942</v>
      </c>
    </row>
    <row r="8106" spans="1:3" hidden="1">
      <c r="A8106" s="65">
        <v>9010912</v>
      </c>
      <c r="B8106" s="65" t="s">
        <v>8643</v>
      </c>
      <c r="C8106" s="65" t="s">
        <v>942</v>
      </c>
    </row>
    <row r="8107" spans="1:3" hidden="1">
      <c r="A8107" s="65">
        <v>9010913</v>
      </c>
      <c r="B8107" s="65" t="s">
        <v>8644</v>
      </c>
      <c r="C8107" s="65" t="s">
        <v>942</v>
      </c>
    </row>
    <row r="8108" spans="1:3" hidden="1">
      <c r="A8108" s="65">
        <v>9010914</v>
      </c>
      <c r="B8108" s="65" t="s">
        <v>8645</v>
      </c>
      <c r="C8108" s="65" t="s">
        <v>942</v>
      </c>
    </row>
    <row r="8109" spans="1:3" hidden="1">
      <c r="A8109" s="65">
        <v>9010915</v>
      </c>
      <c r="B8109" s="65" t="s">
        <v>8646</v>
      </c>
      <c r="C8109" s="65" t="s">
        <v>942</v>
      </c>
    </row>
    <row r="8110" spans="1:3" hidden="1">
      <c r="A8110" s="65">
        <v>9010916</v>
      </c>
      <c r="B8110" s="65" t="s">
        <v>8647</v>
      </c>
      <c r="C8110" s="65" t="s">
        <v>942</v>
      </c>
    </row>
    <row r="8111" spans="1:3" hidden="1">
      <c r="A8111" s="65">
        <v>9010917</v>
      </c>
      <c r="B8111" s="65" t="s">
        <v>8648</v>
      </c>
      <c r="C8111" s="65" t="s">
        <v>942</v>
      </c>
    </row>
    <row r="8112" spans="1:3" hidden="1">
      <c r="A8112" s="65">
        <v>9010918</v>
      </c>
      <c r="B8112" s="65" t="s">
        <v>8649</v>
      </c>
      <c r="C8112" s="65" t="s">
        <v>942</v>
      </c>
    </row>
    <row r="8113" spans="1:3" hidden="1">
      <c r="A8113" s="65">
        <v>9010919</v>
      </c>
      <c r="B8113" s="65" t="s">
        <v>8650</v>
      </c>
      <c r="C8113" s="65" t="s">
        <v>942</v>
      </c>
    </row>
    <row r="8114" spans="1:3" hidden="1">
      <c r="A8114" s="65">
        <v>9010920</v>
      </c>
      <c r="B8114" s="65" t="s">
        <v>8651</v>
      </c>
      <c r="C8114" s="65" t="s">
        <v>942</v>
      </c>
    </row>
    <row r="8115" spans="1:3" hidden="1">
      <c r="A8115" s="65">
        <v>9010921</v>
      </c>
      <c r="B8115" s="65" t="s">
        <v>8652</v>
      </c>
      <c r="C8115" s="65" t="s">
        <v>942</v>
      </c>
    </row>
    <row r="8116" spans="1:3" hidden="1">
      <c r="A8116" s="65">
        <v>9010922</v>
      </c>
      <c r="B8116" s="65" t="s">
        <v>8653</v>
      </c>
      <c r="C8116" s="65" t="s">
        <v>942</v>
      </c>
    </row>
    <row r="8117" spans="1:3" hidden="1">
      <c r="A8117" s="65">
        <v>9010923</v>
      </c>
      <c r="B8117" s="65" t="s">
        <v>8654</v>
      </c>
      <c r="C8117" s="65" t="s">
        <v>942</v>
      </c>
    </row>
    <row r="8118" spans="1:3" hidden="1">
      <c r="A8118" s="65">
        <v>9010924</v>
      </c>
      <c r="B8118" s="65" t="s">
        <v>8655</v>
      </c>
      <c r="C8118" s="65" t="s">
        <v>5068</v>
      </c>
    </row>
    <row r="8119" spans="1:3" hidden="1">
      <c r="A8119" s="65">
        <v>9010925</v>
      </c>
      <c r="B8119" s="65" t="s">
        <v>8656</v>
      </c>
      <c r="C8119" s="65" t="s">
        <v>942</v>
      </c>
    </row>
    <row r="8120" spans="1:3" hidden="1">
      <c r="A8120" s="65">
        <v>9010926</v>
      </c>
      <c r="B8120" s="65" t="s">
        <v>8657</v>
      </c>
      <c r="C8120" s="65" t="s">
        <v>942</v>
      </c>
    </row>
    <row r="8121" spans="1:3" hidden="1">
      <c r="A8121" s="65">
        <v>9010927</v>
      </c>
      <c r="B8121" s="65" t="s">
        <v>8658</v>
      </c>
      <c r="C8121" s="65" t="s">
        <v>942</v>
      </c>
    </row>
    <row r="8122" spans="1:3" hidden="1">
      <c r="A8122" s="65">
        <v>9010928</v>
      </c>
      <c r="B8122" s="65" t="s">
        <v>8659</v>
      </c>
      <c r="C8122" s="65" t="s">
        <v>942</v>
      </c>
    </row>
    <row r="8123" spans="1:3" hidden="1">
      <c r="A8123" s="65">
        <v>9010929</v>
      </c>
      <c r="B8123" s="65" t="s">
        <v>8660</v>
      </c>
      <c r="C8123" s="65" t="s">
        <v>942</v>
      </c>
    </row>
    <row r="8124" spans="1:3" hidden="1">
      <c r="A8124" s="65">
        <v>9010930</v>
      </c>
      <c r="B8124" s="65" t="s">
        <v>8661</v>
      </c>
      <c r="C8124" s="65" t="s">
        <v>942</v>
      </c>
    </row>
    <row r="8125" spans="1:3" hidden="1">
      <c r="A8125" s="65">
        <v>9010931</v>
      </c>
      <c r="B8125" s="65" t="s">
        <v>8662</v>
      </c>
      <c r="C8125" s="65" t="s">
        <v>942</v>
      </c>
    </row>
    <row r="8126" spans="1:3" hidden="1">
      <c r="A8126" s="65">
        <v>9010932</v>
      </c>
      <c r="B8126" s="65" t="s">
        <v>8663</v>
      </c>
      <c r="C8126" s="65" t="s">
        <v>942</v>
      </c>
    </row>
    <row r="8127" spans="1:3" hidden="1">
      <c r="A8127" s="65">
        <v>9010933</v>
      </c>
      <c r="B8127" s="65" t="s">
        <v>8664</v>
      </c>
      <c r="C8127" s="65" t="s">
        <v>942</v>
      </c>
    </row>
    <row r="8128" spans="1:3" hidden="1">
      <c r="A8128" s="65">
        <v>9010934</v>
      </c>
      <c r="B8128" s="65" t="s">
        <v>8665</v>
      </c>
      <c r="C8128" s="65" t="s">
        <v>942</v>
      </c>
    </row>
    <row r="8129" spans="1:3" hidden="1">
      <c r="A8129" s="65">
        <v>9010935</v>
      </c>
      <c r="B8129" s="65" t="s">
        <v>8666</v>
      </c>
      <c r="C8129" s="65" t="s">
        <v>6487</v>
      </c>
    </row>
    <row r="8130" spans="1:3" hidden="1">
      <c r="A8130" s="65">
        <v>9010939</v>
      </c>
      <c r="B8130" s="65" t="s">
        <v>8667</v>
      </c>
      <c r="C8130" s="65" t="s">
        <v>721</v>
      </c>
    </row>
    <row r="8131" spans="1:3" hidden="1">
      <c r="A8131" s="65">
        <v>9010940</v>
      </c>
      <c r="B8131" s="65" t="s">
        <v>8668</v>
      </c>
      <c r="C8131" s="65" t="s">
        <v>683</v>
      </c>
    </row>
    <row r="8132" spans="1:3" hidden="1">
      <c r="A8132" s="65">
        <v>9010941</v>
      </c>
      <c r="B8132" s="65" t="s">
        <v>8669</v>
      </c>
      <c r="C8132" s="65" t="s">
        <v>683</v>
      </c>
    </row>
    <row r="8133" spans="1:3" hidden="1">
      <c r="A8133" s="65">
        <v>9010942</v>
      </c>
      <c r="B8133" s="65" t="s">
        <v>8670</v>
      </c>
      <c r="C8133" s="65" t="s">
        <v>683</v>
      </c>
    </row>
    <row r="8134" spans="1:3" hidden="1">
      <c r="A8134" s="65">
        <v>9010943</v>
      </c>
      <c r="B8134" s="65" t="s">
        <v>8671</v>
      </c>
      <c r="C8134" s="65" t="s">
        <v>683</v>
      </c>
    </row>
    <row r="8135" spans="1:3" hidden="1">
      <c r="A8135" s="65">
        <v>9010944</v>
      </c>
      <c r="B8135" s="65" t="s">
        <v>8672</v>
      </c>
      <c r="C8135" s="65" t="s">
        <v>683</v>
      </c>
    </row>
    <row r="8136" spans="1:3" hidden="1">
      <c r="A8136" s="65">
        <v>9010945</v>
      </c>
      <c r="B8136" s="65" t="s">
        <v>8428</v>
      </c>
      <c r="C8136" s="65" t="s">
        <v>942</v>
      </c>
    </row>
    <row r="8137" spans="1:3" hidden="1">
      <c r="A8137" s="65">
        <v>9010949</v>
      </c>
      <c r="B8137" s="65" t="s">
        <v>8673</v>
      </c>
      <c r="C8137" s="65" t="s">
        <v>1181</v>
      </c>
    </row>
    <row r="8138" spans="1:3" hidden="1">
      <c r="A8138" s="65">
        <v>9010950</v>
      </c>
      <c r="B8138" s="65" t="s">
        <v>8674</v>
      </c>
      <c r="C8138" s="65" t="s">
        <v>942</v>
      </c>
    </row>
    <row r="8139" spans="1:3" hidden="1">
      <c r="A8139" s="65">
        <v>9010951</v>
      </c>
      <c r="B8139" s="65" t="s">
        <v>8675</v>
      </c>
      <c r="C8139" s="65" t="s">
        <v>738</v>
      </c>
    </row>
    <row r="8140" spans="1:3" hidden="1">
      <c r="A8140" s="65">
        <v>9010952</v>
      </c>
      <c r="B8140" s="65" t="s">
        <v>8676</v>
      </c>
      <c r="C8140" s="65" t="s">
        <v>5068</v>
      </c>
    </row>
    <row r="8141" spans="1:3" hidden="1">
      <c r="A8141" s="65">
        <v>9010953</v>
      </c>
      <c r="B8141" s="65" t="s">
        <v>8677</v>
      </c>
      <c r="C8141" s="65" t="s">
        <v>738</v>
      </c>
    </row>
    <row r="8142" spans="1:3" hidden="1">
      <c r="A8142" s="65">
        <v>9010954</v>
      </c>
      <c r="B8142" s="65" t="s">
        <v>8678</v>
      </c>
      <c r="C8142" s="65" t="s">
        <v>5068</v>
      </c>
    </row>
    <row r="8143" spans="1:3" hidden="1">
      <c r="A8143" s="65">
        <v>9010955</v>
      </c>
      <c r="B8143" s="65" t="s">
        <v>8679</v>
      </c>
      <c r="C8143" s="65" t="s">
        <v>738</v>
      </c>
    </row>
    <row r="8144" spans="1:3" hidden="1">
      <c r="A8144" s="65">
        <v>9010956</v>
      </c>
      <c r="B8144" s="65" t="s">
        <v>8680</v>
      </c>
      <c r="C8144" s="65" t="s">
        <v>942</v>
      </c>
    </row>
    <row r="8145" spans="1:3" hidden="1">
      <c r="A8145" s="65">
        <v>9010957</v>
      </c>
      <c r="B8145" s="65" t="s">
        <v>8681</v>
      </c>
      <c r="C8145" s="65" t="s">
        <v>738</v>
      </c>
    </row>
    <row r="8146" spans="1:3" hidden="1">
      <c r="A8146" s="65">
        <v>9010958</v>
      </c>
      <c r="B8146" s="65" t="s">
        <v>8682</v>
      </c>
      <c r="C8146" s="65" t="s">
        <v>738</v>
      </c>
    </row>
    <row r="8147" spans="1:3" hidden="1">
      <c r="A8147" s="65">
        <v>9010959</v>
      </c>
      <c r="B8147" s="65" t="s">
        <v>8683</v>
      </c>
      <c r="C8147" s="65" t="s">
        <v>807</v>
      </c>
    </row>
    <row r="8148" spans="1:3" hidden="1">
      <c r="A8148" s="65">
        <v>9010960</v>
      </c>
      <c r="B8148" s="65" t="s">
        <v>8684</v>
      </c>
      <c r="C8148" s="65" t="s">
        <v>1594</v>
      </c>
    </row>
    <row r="8149" spans="1:3" hidden="1">
      <c r="A8149" s="65">
        <v>9010961</v>
      </c>
      <c r="B8149" s="65" t="s">
        <v>8685</v>
      </c>
      <c r="C8149" s="65" t="s">
        <v>805</v>
      </c>
    </row>
    <row r="8150" spans="1:3" hidden="1">
      <c r="A8150" s="65">
        <v>9010962</v>
      </c>
      <c r="B8150" s="65" t="s">
        <v>8686</v>
      </c>
      <c r="C8150" s="65" t="s">
        <v>805</v>
      </c>
    </row>
    <row r="8151" spans="1:3" hidden="1">
      <c r="A8151" s="65">
        <v>9010963</v>
      </c>
      <c r="B8151" s="65" t="s">
        <v>8687</v>
      </c>
      <c r="C8151" s="65" t="s">
        <v>805</v>
      </c>
    </row>
    <row r="8152" spans="1:3" hidden="1">
      <c r="A8152" s="65">
        <v>9010964</v>
      </c>
      <c r="B8152" s="65" t="s">
        <v>8688</v>
      </c>
      <c r="C8152" s="65" t="s">
        <v>738</v>
      </c>
    </row>
    <row r="8153" spans="1:3" hidden="1">
      <c r="A8153" s="65">
        <v>9010965</v>
      </c>
      <c r="B8153" s="65" t="s">
        <v>8689</v>
      </c>
      <c r="C8153" s="65" t="s">
        <v>738</v>
      </c>
    </row>
    <row r="8154" spans="1:3" hidden="1">
      <c r="A8154" s="65">
        <v>9010969</v>
      </c>
      <c r="B8154" s="65" t="s">
        <v>8690</v>
      </c>
      <c r="C8154" s="65" t="s">
        <v>809</v>
      </c>
    </row>
    <row r="8155" spans="1:3" hidden="1">
      <c r="A8155" s="65">
        <v>9010970</v>
      </c>
      <c r="B8155" s="65" t="s">
        <v>8691</v>
      </c>
      <c r="C8155" s="65" t="s">
        <v>751</v>
      </c>
    </row>
    <row r="8156" spans="1:3" hidden="1">
      <c r="A8156" s="65">
        <v>9010979</v>
      </c>
      <c r="B8156" s="65" t="s">
        <v>8692</v>
      </c>
      <c r="C8156" s="65" t="s">
        <v>738</v>
      </c>
    </row>
    <row r="8157" spans="1:3" hidden="1">
      <c r="A8157" s="65">
        <v>9010980</v>
      </c>
      <c r="B8157" s="65" t="s">
        <v>8693</v>
      </c>
      <c r="C8157" s="65" t="s">
        <v>738</v>
      </c>
    </row>
    <row r="8158" spans="1:3" hidden="1">
      <c r="A8158" s="65">
        <v>9010981</v>
      </c>
      <c r="B8158" s="65" t="s">
        <v>8694</v>
      </c>
      <c r="C8158" s="65" t="s">
        <v>738</v>
      </c>
    </row>
    <row r="8159" spans="1:3" hidden="1">
      <c r="A8159" s="65">
        <v>9010982</v>
      </c>
      <c r="B8159" s="65" t="s">
        <v>8695</v>
      </c>
      <c r="C8159" s="65" t="s">
        <v>738</v>
      </c>
    </row>
    <row r="8160" spans="1:3" hidden="1">
      <c r="A8160" s="65">
        <v>9010983</v>
      </c>
      <c r="B8160" s="65" t="s">
        <v>8696</v>
      </c>
      <c r="C8160" s="65" t="s">
        <v>738</v>
      </c>
    </row>
    <row r="8161" spans="1:3" hidden="1">
      <c r="A8161" s="65">
        <v>9010984</v>
      </c>
      <c r="B8161" s="65" t="s">
        <v>8697</v>
      </c>
      <c r="C8161" s="65" t="s">
        <v>738</v>
      </c>
    </row>
    <row r="8162" spans="1:3" hidden="1">
      <c r="A8162" s="65">
        <v>9010985</v>
      </c>
      <c r="B8162" s="65" t="s">
        <v>8698</v>
      </c>
      <c r="C8162" s="65" t="s">
        <v>738</v>
      </c>
    </row>
    <row r="8163" spans="1:3" hidden="1">
      <c r="A8163" s="65">
        <v>9010986</v>
      </c>
      <c r="B8163" s="65" t="s">
        <v>8699</v>
      </c>
      <c r="C8163" s="65" t="s">
        <v>738</v>
      </c>
    </row>
    <row r="8164" spans="1:3" hidden="1">
      <c r="A8164" s="65">
        <v>9010987</v>
      </c>
      <c r="B8164" s="65" t="s">
        <v>8700</v>
      </c>
      <c r="C8164" s="65" t="s">
        <v>738</v>
      </c>
    </row>
    <row r="8165" spans="1:3" hidden="1">
      <c r="A8165" s="65">
        <v>9010988</v>
      </c>
      <c r="B8165" s="65" t="s">
        <v>8701</v>
      </c>
      <c r="C8165" s="65" t="s">
        <v>738</v>
      </c>
    </row>
    <row r="8166" spans="1:3" hidden="1">
      <c r="A8166" s="65">
        <v>9010989</v>
      </c>
      <c r="B8166" s="65" t="s">
        <v>8702</v>
      </c>
      <c r="C8166" s="65" t="s">
        <v>738</v>
      </c>
    </row>
    <row r="8167" spans="1:3" hidden="1">
      <c r="A8167" s="65">
        <v>9010990</v>
      </c>
      <c r="B8167" s="65" t="s">
        <v>8703</v>
      </c>
      <c r="C8167" s="65" t="s">
        <v>738</v>
      </c>
    </row>
    <row r="8168" spans="1:3" hidden="1">
      <c r="A8168" s="65">
        <v>9010991</v>
      </c>
      <c r="B8168" s="65" t="s">
        <v>8704</v>
      </c>
      <c r="C8168" s="65" t="s">
        <v>738</v>
      </c>
    </row>
    <row r="8169" spans="1:3" hidden="1">
      <c r="A8169" s="65">
        <v>9010992</v>
      </c>
      <c r="B8169" s="65" t="s">
        <v>8705</v>
      </c>
      <c r="C8169" s="65" t="s">
        <v>738</v>
      </c>
    </row>
    <row r="8170" spans="1:3" hidden="1">
      <c r="A8170" s="65">
        <v>9010993</v>
      </c>
      <c r="B8170" s="65" t="s">
        <v>8706</v>
      </c>
      <c r="C8170" s="65" t="s">
        <v>738</v>
      </c>
    </row>
    <row r="8171" spans="1:3" hidden="1">
      <c r="A8171" s="65">
        <v>9010994</v>
      </c>
      <c r="B8171" s="65" t="s">
        <v>8707</v>
      </c>
      <c r="C8171" s="65" t="s">
        <v>805</v>
      </c>
    </row>
    <row r="8172" spans="1:3" hidden="1">
      <c r="A8172" s="65">
        <v>9010995</v>
      </c>
      <c r="B8172" s="65" t="s">
        <v>8708</v>
      </c>
      <c r="C8172" s="65" t="s">
        <v>793</v>
      </c>
    </row>
    <row r="8173" spans="1:3" hidden="1">
      <c r="A8173" s="65">
        <v>9010999</v>
      </c>
      <c r="B8173" s="65" t="s">
        <v>8709</v>
      </c>
      <c r="C8173" s="65" t="s">
        <v>805</v>
      </c>
    </row>
    <row r="8174" spans="1:3" hidden="1">
      <c r="A8174" s="65">
        <v>9011000</v>
      </c>
      <c r="B8174" s="65" t="s">
        <v>8710</v>
      </c>
      <c r="C8174" s="65" t="s">
        <v>805</v>
      </c>
    </row>
    <row r="8175" spans="1:3" hidden="1">
      <c r="A8175" s="65">
        <v>9011001</v>
      </c>
      <c r="B8175" s="65" t="s">
        <v>8711</v>
      </c>
      <c r="C8175" s="65" t="s">
        <v>805</v>
      </c>
    </row>
    <row r="8176" spans="1:3" hidden="1">
      <c r="A8176" s="65">
        <v>9011002</v>
      </c>
      <c r="B8176" s="65" t="s">
        <v>8712</v>
      </c>
      <c r="C8176" s="65" t="s">
        <v>807</v>
      </c>
    </row>
    <row r="8177" spans="1:3" hidden="1">
      <c r="A8177" s="65">
        <v>9011003</v>
      </c>
      <c r="B8177" s="65" t="s">
        <v>8713</v>
      </c>
      <c r="C8177" s="65" t="s">
        <v>807</v>
      </c>
    </row>
    <row r="8178" spans="1:3" hidden="1">
      <c r="A8178" s="65">
        <v>9011004</v>
      </c>
      <c r="B8178" s="65" t="s">
        <v>8714</v>
      </c>
      <c r="C8178" s="65" t="s">
        <v>850</v>
      </c>
    </row>
    <row r="8179" spans="1:3" hidden="1">
      <c r="A8179" s="65">
        <v>9011005</v>
      </c>
      <c r="B8179" s="65" t="s">
        <v>8715</v>
      </c>
      <c r="C8179" s="65" t="s">
        <v>850</v>
      </c>
    </row>
    <row r="8180" spans="1:3" hidden="1">
      <c r="A8180" s="65">
        <v>9011006</v>
      </c>
      <c r="B8180" s="65" t="s">
        <v>8716</v>
      </c>
      <c r="C8180" s="65" t="s">
        <v>805</v>
      </c>
    </row>
    <row r="8181" spans="1:3" hidden="1">
      <c r="A8181" s="65">
        <v>9011007</v>
      </c>
      <c r="B8181" s="65" t="s">
        <v>8717</v>
      </c>
      <c r="C8181" s="65" t="s">
        <v>850</v>
      </c>
    </row>
    <row r="8182" spans="1:3" hidden="1">
      <c r="A8182" s="65">
        <v>9011008</v>
      </c>
      <c r="B8182" s="65" t="s">
        <v>8718</v>
      </c>
      <c r="C8182" s="65" t="s">
        <v>850</v>
      </c>
    </row>
    <row r="8183" spans="1:3" hidden="1">
      <c r="A8183" s="65">
        <v>9011009</v>
      </c>
      <c r="B8183" s="65" t="s">
        <v>8719</v>
      </c>
      <c r="C8183" s="65" t="s">
        <v>850</v>
      </c>
    </row>
    <row r="8184" spans="1:3" hidden="1">
      <c r="A8184" s="65">
        <v>9011010</v>
      </c>
      <c r="B8184" s="65" t="s">
        <v>8720</v>
      </c>
      <c r="C8184" s="65" t="s">
        <v>850</v>
      </c>
    </row>
    <row r="8185" spans="1:3" hidden="1">
      <c r="A8185" s="65">
        <v>9011011</v>
      </c>
      <c r="B8185" s="65" t="s">
        <v>8721</v>
      </c>
      <c r="C8185" s="65" t="s">
        <v>807</v>
      </c>
    </row>
    <row r="8186" spans="1:3" hidden="1">
      <c r="A8186" s="65">
        <v>9011012</v>
      </c>
      <c r="B8186" s="65" t="s">
        <v>8722</v>
      </c>
      <c r="C8186" s="65" t="s">
        <v>805</v>
      </c>
    </row>
    <row r="8187" spans="1:3" hidden="1">
      <c r="A8187" s="65">
        <v>9011013</v>
      </c>
      <c r="B8187" s="65" t="s">
        <v>8723</v>
      </c>
      <c r="C8187" s="65" t="s">
        <v>805</v>
      </c>
    </row>
    <row r="8188" spans="1:3" hidden="1">
      <c r="A8188" s="65">
        <v>9011014</v>
      </c>
      <c r="B8188" s="65" t="s">
        <v>8724</v>
      </c>
      <c r="C8188" s="65" t="s">
        <v>805</v>
      </c>
    </row>
    <row r="8189" spans="1:3" hidden="1">
      <c r="A8189" s="65">
        <v>9011015</v>
      </c>
      <c r="B8189" s="65" t="s">
        <v>8725</v>
      </c>
      <c r="C8189" s="65" t="s">
        <v>805</v>
      </c>
    </row>
    <row r="8190" spans="1:3" hidden="1">
      <c r="A8190" s="65">
        <v>9011016</v>
      </c>
      <c r="B8190" s="65" t="s">
        <v>8726</v>
      </c>
      <c r="C8190" s="65" t="s">
        <v>743</v>
      </c>
    </row>
    <row r="8191" spans="1:3" hidden="1">
      <c r="A8191" s="65">
        <v>9011017</v>
      </c>
      <c r="B8191" s="65" t="s">
        <v>8727</v>
      </c>
      <c r="C8191" s="65" t="s">
        <v>807</v>
      </c>
    </row>
    <row r="8192" spans="1:3" hidden="1">
      <c r="A8192" s="65">
        <v>9011018</v>
      </c>
      <c r="B8192" s="65" t="s">
        <v>8728</v>
      </c>
      <c r="C8192" s="65" t="s">
        <v>775</v>
      </c>
    </row>
    <row r="8193" spans="1:3" hidden="1">
      <c r="A8193" s="65">
        <v>9011019</v>
      </c>
      <c r="B8193" s="65" t="s">
        <v>8729</v>
      </c>
      <c r="C8193" s="65" t="s">
        <v>942</v>
      </c>
    </row>
    <row r="8194" spans="1:3" hidden="1">
      <c r="A8194" s="65">
        <v>9011020</v>
      </c>
      <c r="B8194" s="65" t="s">
        <v>8730</v>
      </c>
      <c r="C8194" s="65" t="s">
        <v>942</v>
      </c>
    </row>
    <row r="8195" spans="1:3" hidden="1">
      <c r="A8195" s="65">
        <v>9011021</v>
      </c>
      <c r="B8195" s="65" t="s">
        <v>8731</v>
      </c>
      <c r="C8195" s="65" t="s">
        <v>942</v>
      </c>
    </row>
    <row r="8196" spans="1:3" hidden="1">
      <c r="A8196" s="65">
        <v>9011022</v>
      </c>
      <c r="B8196" s="65" t="s">
        <v>8732</v>
      </c>
      <c r="C8196" s="65" t="s">
        <v>942</v>
      </c>
    </row>
    <row r="8197" spans="1:3" hidden="1">
      <c r="A8197" s="65">
        <v>9011023</v>
      </c>
      <c r="B8197" s="65" t="s">
        <v>8733</v>
      </c>
      <c r="C8197" s="65" t="s">
        <v>942</v>
      </c>
    </row>
    <row r="8198" spans="1:3" hidden="1">
      <c r="A8198" s="65">
        <v>9011024</v>
      </c>
      <c r="B8198" s="65" t="s">
        <v>8734</v>
      </c>
      <c r="C8198" s="65" t="s">
        <v>942</v>
      </c>
    </row>
    <row r="8199" spans="1:3" hidden="1">
      <c r="A8199" s="65">
        <v>9011025</v>
      </c>
      <c r="B8199" s="65" t="s">
        <v>8735</v>
      </c>
      <c r="C8199" s="65" t="s">
        <v>942</v>
      </c>
    </row>
    <row r="8200" spans="1:3" hidden="1">
      <c r="A8200" s="65">
        <v>9011026</v>
      </c>
      <c r="B8200" s="65" t="s">
        <v>8736</v>
      </c>
      <c r="C8200" s="65" t="s">
        <v>942</v>
      </c>
    </row>
    <row r="8201" spans="1:3" hidden="1">
      <c r="A8201" s="65">
        <v>9011027</v>
      </c>
      <c r="B8201" s="65" t="s">
        <v>8737</v>
      </c>
      <c r="C8201" s="65" t="s">
        <v>942</v>
      </c>
    </row>
    <row r="8202" spans="1:3" hidden="1">
      <c r="A8202" s="65">
        <v>9011028</v>
      </c>
      <c r="B8202" s="65" t="s">
        <v>8738</v>
      </c>
      <c r="C8202" s="65" t="s">
        <v>942</v>
      </c>
    </row>
    <row r="8203" spans="1:3" hidden="1">
      <c r="A8203" s="65">
        <v>9011029</v>
      </c>
      <c r="B8203" s="65" t="s">
        <v>8739</v>
      </c>
      <c r="C8203" s="65" t="s">
        <v>942</v>
      </c>
    </row>
    <row r="8204" spans="1:3" hidden="1">
      <c r="A8204" s="65">
        <v>9011030</v>
      </c>
      <c r="B8204" s="65" t="s">
        <v>8740</v>
      </c>
      <c r="C8204" s="65" t="s">
        <v>942</v>
      </c>
    </row>
    <row r="8205" spans="1:3" hidden="1">
      <c r="A8205" s="65">
        <v>9011031</v>
      </c>
      <c r="B8205" s="65" t="s">
        <v>8741</v>
      </c>
      <c r="C8205" s="65" t="s">
        <v>942</v>
      </c>
    </row>
    <row r="8206" spans="1:3" hidden="1">
      <c r="A8206" s="65">
        <v>9011032</v>
      </c>
      <c r="B8206" s="65" t="s">
        <v>8742</v>
      </c>
      <c r="C8206" s="65" t="s">
        <v>942</v>
      </c>
    </row>
    <row r="8207" spans="1:3" hidden="1">
      <c r="A8207" s="65">
        <v>9011033</v>
      </c>
      <c r="B8207" s="65" t="s">
        <v>8743</v>
      </c>
      <c r="C8207" s="65" t="s">
        <v>942</v>
      </c>
    </row>
    <row r="8208" spans="1:3" hidden="1">
      <c r="A8208" s="65">
        <v>9011034</v>
      </c>
      <c r="B8208" s="65" t="s">
        <v>8744</v>
      </c>
      <c r="C8208" s="65" t="s">
        <v>5068</v>
      </c>
    </row>
    <row r="8209" spans="1:3" hidden="1">
      <c r="A8209" s="65">
        <v>9011035</v>
      </c>
      <c r="B8209" s="65" t="s">
        <v>8745</v>
      </c>
      <c r="C8209" s="65" t="s">
        <v>5068</v>
      </c>
    </row>
    <row r="8210" spans="1:3" hidden="1">
      <c r="A8210" s="65">
        <v>9011036</v>
      </c>
      <c r="B8210" s="65" t="s">
        <v>8746</v>
      </c>
      <c r="C8210" s="65" t="s">
        <v>7065</v>
      </c>
    </row>
    <row r="8211" spans="1:3" hidden="1">
      <c r="A8211" s="65">
        <v>9011039</v>
      </c>
      <c r="B8211" s="65" t="s">
        <v>8747</v>
      </c>
      <c r="C8211" s="65" t="s">
        <v>942</v>
      </c>
    </row>
    <row r="8212" spans="1:3" hidden="1">
      <c r="A8212" s="65">
        <v>9011040</v>
      </c>
      <c r="B8212" s="65" t="s">
        <v>8748</v>
      </c>
      <c r="C8212" s="65" t="s">
        <v>942</v>
      </c>
    </row>
    <row r="8213" spans="1:3" hidden="1">
      <c r="A8213" s="65">
        <v>9011041</v>
      </c>
      <c r="B8213" s="65" t="s">
        <v>8749</v>
      </c>
      <c r="C8213" s="65" t="s">
        <v>942</v>
      </c>
    </row>
    <row r="8214" spans="1:3" hidden="1">
      <c r="A8214" s="65">
        <v>9011042</v>
      </c>
      <c r="B8214" s="65" t="s">
        <v>8750</v>
      </c>
      <c r="C8214" s="65" t="s">
        <v>942</v>
      </c>
    </row>
    <row r="8215" spans="1:3" hidden="1">
      <c r="A8215" s="65">
        <v>9011043</v>
      </c>
      <c r="B8215" s="65" t="s">
        <v>8751</v>
      </c>
      <c r="C8215" s="65" t="s">
        <v>793</v>
      </c>
    </row>
    <row r="8216" spans="1:3" hidden="1">
      <c r="A8216" s="65">
        <v>9011044</v>
      </c>
      <c r="B8216" s="65" t="s">
        <v>8752</v>
      </c>
      <c r="C8216" s="65" t="s">
        <v>793</v>
      </c>
    </row>
    <row r="8217" spans="1:3" hidden="1">
      <c r="A8217" s="65">
        <v>9011045</v>
      </c>
      <c r="B8217" s="65" t="s">
        <v>8753</v>
      </c>
      <c r="C8217" s="65" t="s">
        <v>745</v>
      </c>
    </row>
    <row r="8218" spans="1:3" hidden="1">
      <c r="A8218" s="65">
        <v>9011046</v>
      </c>
      <c r="B8218" s="65" t="s">
        <v>8754</v>
      </c>
      <c r="C8218" s="65" t="s">
        <v>805</v>
      </c>
    </row>
    <row r="8219" spans="1:3" hidden="1">
      <c r="A8219" s="65">
        <v>9011049</v>
      </c>
      <c r="B8219" s="65" t="s">
        <v>8755</v>
      </c>
      <c r="C8219" s="65" t="s">
        <v>1594</v>
      </c>
    </row>
    <row r="8220" spans="1:3" hidden="1">
      <c r="A8220" s="65">
        <v>9011050</v>
      </c>
      <c r="B8220" s="65" t="s">
        <v>8756</v>
      </c>
      <c r="C8220" s="65" t="s">
        <v>942</v>
      </c>
    </row>
    <row r="8221" spans="1:3" hidden="1">
      <c r="A8221" s="65">
        <v>9011059</v>
      </c>
      <c r="B8221" s="65" t="s">
        <v>8757</v>
      </c>
      <c r="C8221" s="65" t="s">
        <v>738</v>
      </c>
    </row>
    <row r="8222" spans="1:3" hidden="1">
      <c r="A8222" s="65">
        <v>9011060</v>
      </c>
      <c r="B8222" s="65" t="s">
        <v>8758</v>
      </c>
      <c r="C8222" s="65" t="s">
        <v>738</v>
      </c>
    </row>
    <row r="8223" spans="1:3" hidden="1">
      <c r="A8223" s="65">
        <v>9011061</v>
      </c>
      <c r="B8223" s="65" t="s">
        <v>8759</v>
      </c>
      <c r="C8223" s="65" t="s">
        <v>738</v>
      </c>
    </row>
    <row r="8224" spans="1:3" hidden="1">
      <c r="A8224" s="65">
        <v>9011062</v>
      </c>
      <c r="B8224" s="65" t="s">
        <v>8760</v>
      </c>
      <c r="C8224" s="65" t="s">
        <v>738</v>
      </c>
    </row>
    <row r="8225" spans="1:3" hidden="1">
      <c r="A8225" s="65">
        <v>9011063</v>
      </c>
      <c r="B8225" s="65" t="s">
        <v>8761</v>
      </c>
      <c r="C8225" s="65" t="s">
        <v>793</v>
      </c>
    </row>
    <row r="8226" spans="1:3" hidden="1">
      <c r="A8226" s="65">
        <v>9011064</v>
      </c>
      <c r="B8226" s="65" t="s">
        <v>8762</v>
      </c>
      <c r="C8226" s="65" t="s">
        <v>793</v>
      </c>
    </row>
    <row r="8227" spans="1:3" hidden="1">
      <c r="A8227" s="65">
        <v>9011065</v>
      </c>
      <c r="B8227" s="65" t="s">
        <v>8763</v>
      </c>
      <c r="C8227" s="65" t="s">
        <v>793</v>
      </c>
    </row>
    <row r="8228" spans="1:3" hidden="1">
      <c r="A8228" s="65">
        <v>9011066</v>
      </c>
      <c r="B8228" s="65" t="s">
        <v>8764</v>
      </c>
      <c r="C8228" s="65" t="s">
        <v>738</v>
      </c>
    </row>
    <row r="8229" spans="1:3" hidden="1">
      <c r="A8229" s="65">
        <v>9011067</v>
      </c>
      <c r="B8229" s="65" t="s">
        <v>8765</v>
      </c>
      <c r="C8229" s="65" t="s">
        <v>738</v>
      </c>
    </row>
    <row r="8230" spans="1:3" hidden="1">
      <c r="A8230" s="65">
        <v>9011068</v>
      </c>
      <c r="B8230" s="65" t="s">
        <v>8766</v>
      </c>
      <c r="C8230" s="65" t="s">
        <v>793</v>
      </c>
    </row>
    <row r="8231" spans="1:3" hidden="1">
      <c r="A8231" s="65">
        <v>9011069</v>
      </c>
      <c r="B8231" s="65" t="s">
        <v>8767</v>
      </c>
      <c r="C8231" s="65" t="s">
        <v>793</v>
      </c>
    </row>
    <row r="8232" spans="1:3" hidden="1">
      <c r="A8232" s="65">
        <v>9011070</v>
      </c>
      <c r="B8232" s="65" t="s">
        <v>8768</v>
      </c>
      <c r="C8232" s="65" t="s">
        <v>793</v>
      </c>
    </row>
    <row r="8233" spans="1:3" hidden="1">
      <c r="A8233" s="65">
        <v>9011071</v>
      </c>
      <c r="B8233" s="65" t="s">
        <v>8769</v>
      </c>
      <c r="C8233" s="65" t="s">
        <v>793</v>
      </c>
    </row>
    <row r="8234" spans="1:3" hidden="1">
      <c r="A8234" s="65">
        <v>9011072</v>
      </c>
      <c r="B8234" s="65" t="s">
        <v>8770</v>
      </c>
      <c r="C8234" s="65" t="s">
        <v>793</v>
      </c>
    </row>
    <row r="8235" spans="1:3" hidden="1">
      <c r="A8235" s="65">
        <v>9011073</v>
      </c>
      <c r="B8235" s="65" t="s">
        <v>8771</v>
      </c>
      <c r="C8235" s="65" t="s">
        <v>793</v>
      </c>
    </row>
    <row r="8236" spans="1:3" hidden="1">
      <c r="A8236" s="65">
        <v>9011074</v>
      </c>
      <c r="B8236" s="65" t="s">
        <v>8772</v>
      </c>
      <c r="C8236" s="65" t="s">
        <v>793</v>
      </c>
    </row>
    <row r="8237" spans="1:3" hidden="1">
      <c r="A8237" s="65">
        <v>9011075</v>
      </c>
      <c r="B8237" s="65" t="s">
        <v>8773</v>
      </c>
      <c r="C8237" s="65" t="s">
        <v>793</v>
      </c>
    </row>
    <row r="8238" spans="1:3" hidden="1">
      <c r="A8238" s="65">
        <v>9011076</v>
      </c>
      <c r="B8238" s="65" t="s">
        <v>8774</v>
      </c>
      <c r="C8238" s="65" t="s">
        <v>793</v>
      </c>
    </row>
    <row r="8239" spans="1:3" hidden="1">
      <c r="A8239" s="65">
        <v>9011077</v>
      </c>
      <c r="B8239" s="65" t="s">
        <v>8775</v>
      </c>
      <c r="C8239" s="65" t="s">
        <v>793</v>
      </c>
    </row>
    <row r="8240" spans="1:3" hidden="1">
      <c r="A8240" s="65">
        <v>9011078</v>
      </c>
      <c r="B8240" s="65" t="s">
        <v>8776</v>
      </c>
      <c r="C8240" s="65" t="s">
        <v>793</v>
      </c>
    </row>
    <row r="8241" spans="1:3" hidden="1">
      <c r="A8241" s="65">
        <v>9011079</v>
      </c>
      <c r="B8241" s="65" t="s">
        <v>8777</v>
      </c>
      <c r="C8241" s="65" t="s">
        <v>793</v>
      </c>
    </row>
    <row r="8242" spans="1:3" hidden="1">
      <c r="A8242" s="65">
        <v>9011080</v>
      </c>
      <c r="B8242" s="65" t="s">
        <v>8778</v>
      </c>
      <c r="C8242" s="65" t="s">
        <v>793</v>
      </c>
    </row>
    <row r="8243" spans="1:3" hidden="1">
      <c r="A8243" s="65">
        <v>9011081</v>
      </c>
      <c r="B8243" s="65" t="s">
        <v>8779</v>
      </c>
      <c r="C8243" s="65" t="s">
        <v>793</v>
      </c>
    </row>
    <row r="8244" spans="1:3" hidden="1">
      <c r="A8244" s="65">
        <v>9011082</v>
      </c>
      <c r="B8244" s="65" t="s">
        <v>8780</v>
      </c>
      <c r="C8244" s="65" t="s">
        <v>793</v>
      </c>
    </row>
    <row r="8245" spans="1:3" hidden="1">
      <c r="A8245" s="65">
        <v>9011083</v>
      </c>
      <c r="B8245" s="65" t="s">
        <v>8781</v>
      </c>
      <c r="C8245" s="65" t="s">
        <v>793</v>
      </c>
    </row>
    <row r="8246" spans="1:3" hidden="1">
      <c r="A8246" s="65">
        <v>9011084</v>
      </c>
      <c r="B8246" s="65" t="s">
        <v>8782</v>
      </c>
      <c r="C8246" s="65" t="s">
        <v>793</v>
      </c>
    </row>
    <row r="8247" spans="1:3" hidden="1">
      <c r="A8247" s="65">
        <v>9011085</v>
      </c>
      <c r="B8247" s="65" t="s">
        <v>8783</v>
      </c>
      <c r="C8247" s="65" t="s">
        <v>793</v>
      </c>
    </row>
    <row r="8248" spans="1:3" hidden="1">
      <c r="A8248" s="65">
        <v>9011086</v>
      </c>
      <c r="B8248" s="65" t="s">
        <v>8784</v>
      </c>
      <c r="C8248" s="65" t="s">
        <v>793</v>
      </c>
    </row>
    <row r="8249" spans="1:3" hidden="1">
      <c r="A8249" s="65">
        <v>9011087</v>
      </c>
      <c r="B8249" s="65" t="s">
        <v>8785</v>
      </c>
      <c r="C8249" s="65" t="s">
        <v>793</v>
      </c>
    </row>
    <row r="8250" spans="1:3" hidden="1">
      <c r="A8250" s="65">
        <v>9011088</v>
      </c>
      <c r="B8250" s="65" t="s">
        <v>8786</v>
      </c>
      <c r="C8250" s="65" t="s">
        <v>793</v>
      </c>
    </row>
    <row r="8251" spans="1:3" hidden="1">
      <c r="A8251" s="65">
        <v>9011089</v>
      </c>
      <c r="B8251" s="65" t="s">
        <v>8787</v>
      </c>
      <c r="C8251" s="65" t="s">
        <v>793</v>
      </c>
    </row>
    <row r="8252" spans="1:3" hidden="1">
      <c r="A8252" s="65">
        <v>9011099</v>
      </c>
      <c r="B8252" s="65" t="s">
        <v>8788</v>
      </c>
      <c r="C8252" s="65" t="s">
        <v>751</v>
      </c>
    </row>
    <row r="8253" spans="1:3" hidden="1">
      <c r="A8253" s="65">
        <v>9011100</v>
      </c>
      <c r="B8253" s="65" t="s">
        <v>8789</v>
      </c>
      <c r="C8253" s="65" t="s">
        <v>1181</v>
      </c>
    </row>
    <row r="8254" spans="1:3" hidden="1">
      <c r="A8254" s="65">
        <v>9011109</v>
      </c>
      <c r="B8254" s="65" t="s">
        <v>8790</v>
      </c>
      <c r="C8254" s="65" t="s">
        <v>8791</v>
      </c>
    </row>
    <row r="8255" spans="1:3" hidden="1">
      <c r="A8255" s="65">
        <v>9011110</v>
      </c>
      <c r="B8255" s="65" t="s">
        <v>8792</v>
      </c>
      <c r="C8255" s="65" t="s">
        <v>793</v>
      </c>
    </row>
    <row r="8256" spans="1:3" hidden="1">
      <c r="A8256" s="65">
        <v>9011119</v>
      </c>
      <c r="B8256" s="65" t="s">
        <v>8793</v>
      </c>
      <c r="C8256" s="65" t="s">
        <v>738</v>
      </c>
    </row>
    <row r="8257" spans="1:3" hidden="1">
      <c r="A8257" s="65">
        <v>9011120</v>
      </c>
      <c r="B8257" s="65" t="s">
        <v>8794</v>
      </c>
      <c r="C8257" s="65" t="s">
        <v>793</v>
      </c>
    </row>
    <row r="8258" spans="1:3" hidden="1">
      <c r="A8258" s="65">
        <v>9011121</v>
      </c>
      <c r="B8258" s="65" t="s">
        <v>8795</v>
      </c>
      <c r="C8258" s="65" t="s">
        <v>793</v>
      </c>
    </row>
    <row r="8259" spans="1:3" hidden="1">
      <c r="A8259" s="65">
        <v>9011122</v>
      </c>
      <c r="B8259" s="65" t="s">
        <v>8796</v>
      </c>
      <c r="C8259" s="65" t="s">
        <v>738</v>
      </c>
    </row>
    <row r="8260" spans="1:3" hidden="1">
      <c r="A8260" s="65">
        <v>9011123</v>
      </c>
      <c r="B8260" s="65" t="s">
        <v>8797</v>
      </c>
      <c r="C8260" s="65" t="s">
        <v>793</v>
      </c>
    </row>
    <row r="8261" spans="1:3" hidden="1">
      <c r="A8261" s="65">
        <v>9011124</v>
      </c>
      <c r="B8261" s="65" t="s">
        <v>8798</v>
      </c>
      <c r="C8261" s="65" t="s">
        <v>793</v>
      </c>
    </row>
    <row r="8262" spans="1:3" hidden="1">
      <c r="A8262" s="65">
        <v>9011129</v>
      </c>
      <c r="B8262" s="65" t="s">
        <v>8799</v>
      </c>
      <c r="C8262" s="65" t="s">
        <v>942</v>
      </c>
    </row>
    <row r="8263" spans="1:3" hidden="1">
      <c r="A8263" s="65">
        <v>9011130</v>
      </c>
      <c r="B8263" s="65" t="s">
        <v>8800</v>
      </c>
      <c r="C8263" s="65" t="s">
        <v>741</v>
      </c>
    </row>
    <row r="8264" spans="1:3" hidden="1">
      <c r="A8264" s="65">
        <v>9011131</v>
      </c>
      <c r="B8264" s="65" t="s">
        <v>8801</v>
      </c>
      <c r="C8264" s="65" t="s">
        <v>3170</v>
      </c>
    </row>
    <row r="8265" spans="1:3" hidden="1">
      <c r="A8265" s="65">
        <v>9011132</v>
      </c>
      <c r="B8265" s="65" t="s">
        <v>8802</v>
      </c>
      <c r="C8265" s="65" t="s">
        <v>3170</v>
      </c>
    </row>
    <row r="8266" spans="1:3" hidden="1">
      <c r="A8266" s="65">
        <v>9011133</v>
      </c>
      <c r="B8266" s="65" t="s">
        <v>8803</v>
      </c>
      <c r="C8266" s="65" t="s">
        <v>3170</v>
      </c>
    </row>
    <row r="8267" spans="1:3" hidden="1">
      <c r="A8267" s="65">
        <v>9011134</v>
      </c>
      <c r="B8267" s="65" t="s">
        <v>8804</v>
      </c>
      <c r="C8267" s="65" t="s">
        <v>3170</v>
      </c>
    </row>
    <row r="8268" spans="1:3" hidden="1">
      <c r="A8268" s="65">
        <v>9011135</v>
      </c>
      <c r="B8268" s="65" t="s">
        <v>8805</v>
      </c>
      <c r="C8268" s="65" t="s">
        <v>3170</v>
      </c>
    </row>
    <row r="8269" spans="1:3" hidden="1">
      <c r="A8269" s="65">
        <v>9011136</v>
      </c>
      <c r="B8269" s="65" t="s">
        <v>8806</v>
      </c>
      <c r="C8269" s="65" t="s">
        <v>942</v>
      </c>
    </row>
    <row r="8270" spans="1:3" hidden="1">
      <c r="A8270" s="65">
        <v>9011137</v>
      </c>
      <c r="B8270" s="65" t="s">
        <v>8807</v>
      </c>
      <c r="C8270" s="65" t="s">
        <v>942</v>
      </c>
    </row>
    <row r="8271" spans="1:3" hidden="1">
      <c r="A8271" s="65">
        <v>9011138</v>
      </c>
      <c r="B8271" s="65" t="s">
        <v>8808</v>
      </c>
      <c r="C8271" s="65" t="s">
        <v>942</v>
      </c>
    </row>
    <row r="8272" spans="1:3" hidden="1">
      <c r="A8272" s="65">
        <v>9011139</v>
      </c>
      <c r="B8272" s="65" t="s">
        <v>8809</v>
      </c>
      <c r="C8272" s="65" t="s">
        <v>741</v>
      </c>
    </row>
    <row r="8273" spans="1:3" hidden="1">
      <c r="A8273" s="65">
        <v>9011140</v>
      </c>
      <c r="B8273" s="65" t="s">
        <v>8810</v>
      </c>
      <c r="C8273" s="65" t="s">
        <v>743</v>
      </c>
    </row>
    <row r="8274" spans="1:3" hidden="1">
      <c r="A8274" s="65">
        <v>9011141</v>
      </c>
      <c r="B8274" s="65" t="s">
        <v>8811</v>
      </c>
      <c r="C8274" s="65" t="s">
        <v>5068</v>
      </c>
    </row>
    <row r="8275" spans="1:3" hidden="1">
      <c r="A8275" s="65">
        <v>9011149</v>
      </c>
      <c r="B8275" s="65" t="s">
        <v>8812</v>
      </c>
      <c r="C8275" s="65" t="s">
        <v>743</v>
      </c>
    </row>
    <row r="8276" spans="1:3" hidden="1">
      <c r="A8276" s="65">
        <v>9011150</v>
      </c>
      <c r="B8276" s="65" t="s">
        <v>8812</v>
      </c>
      <c r="C8276" s="65" t="s">
        <v>743</v>
      </c>
    </row>
    <row r="8277" spans="1:3" hidden="1">
      <c r="A8277" s="65">
        <v>9011159</v>
      </c>
      <c r="B8277" s="65" t="s">
        <v>8813</v>
      </c>
      <c r="C8277" s="65" t="s">
        <v>686</v>
      </c>
    </row>
    <row r="8278" spans="1:3" hidden="1">
      <c r="A8278" s="65">
        <v>9011169</v>
      </c>
      <c r="B8278" s="65" t="s">
        <v>5665</v>
      </c>
      <c r="C8278" s="65" t="s">
        <v>5666</v>
      </c>
    </row>
    <row r="8279" spans="1:3" hidden="1">
      <c r="A8279" s="65">
        <v>9011179</v>
      </c>
      <c r="B8279" s="65" t="s">
        <v>8814</v>
      </c>
      <c r="C8279" s="65" t="s">
        <v>793</v>
      </c>
    </row>
    <row r="8280" spans="1:3" hidden="1">
      <c r="A8280" s="65">
        <v>9011180</v>
      </c>
      <c r="B8280" s="65" t="s">
        <v>8815</v>
      </c>
      <c r="C8280" s="65" t="s">
        <v>793</v>
      </c>
    </row>
    <row r="8281" spans="1:3" hidden="1">
      <c r="A8281" s="65">
        <v>9011181</v>
      </c>
      <c r="B8281" s="65" t="s">
        <v>8816</v>
      </c>
      <c r="C8281" s="65" t="s">
        <v>793</v>
      </c>
    </row>
    <row r="8282" spans="1:3" hidden="1">
      <c r="A8282" s="65">
        <v>9011182</v>
      </c>
      <c r="B8282" s="65" t="s">
        <v>8817</v>
      </c>
      <c r="C8282" s="65" t="s">
        <v>793</v>
      </c>
    </row>
    <row r="8283" spans="1:3" hidden="1">
      <c r="A8283" s="65">
        <v>9011183</v>
      </c>
      <c r="B8283" s="65" t="s">
        <v>8818</v>
      </c>
      <c r="C8283" s="65" t="s">
        <v>793</v>
      </c>
    </row>
    <row r="8284" spans="1:3" hidden="1">
      <c r="A8284" s="65">
        <v>9011184</v>
      </c>
      <c r="B8284" s="65" t="s">
        <v>8819</v>
      </c>
      <c r="C8284" s="65" t="s">
        <v>793</v>
      </c>
    </row>
    <row r="8285" spans="1:3" hidden="1">
      <c r="A8285" s="65">
        <v>9011185</v>
      </c>
      <c r="B8285" s="65" t="s">
        <v>8820</v>
      </c>
      <c r="C8285" s="65" t="s">
        <v>793</v>
      </c>
    </row>
    <row r="8286" spans="1:3" hidden="1">
      <c r="A8286" s="65">
        <v>9011186</v>
      </c>
      <c r="B8286" s="65" t="s">
        <v>8821</v>
      </c>
      <c r="C8286" s="65" t="s">
        <v>793</v>
      </c>
    </row>
    <row r="8287" spans="1:3" hidden="1">
      <c r="A8287" s="65">
        <v>9011187</v>
      </c>
      <c r="B8287" s="65" t="s">
        <v>8822</v>
      </c>
      <c r="C8287" s="65" t="s">
        <v>793</v>
      </c>
    </row>
    <row r="8288" spans="1:3" hidden="1">
      <c r="A8288" s="65">
        <v>9011188</v>
      </c>
      <c r="B8288" s="65" t="s">
        <v>8823</v>
      </c>
      <c r="C8288" s="65" t="s">
        <v>793</v>
      </c>
    </row>
    <row r="8289" spans="1:3" hidden="1">
      <c r="A8289" s="65">
        <v>9011189</v>
      </c>
      <c r="B8289" s="65" t="s">
        <v>8824</v>
      </c>
      <c r="C8289" s="65" t="s">
        <v>793</v>
      </c>
    </row>
    <row r="8290" spans="1:3" hidden="1">
      <c r="A8290" s="65">
        <v>9011190</v>
      </c>
      <c r="B8290" s="65" t="s">
        <v>8825</v>
      </c>
      <c r="C8290" s="65" t="s">
        <v>793</v>
      </c>
    </row>
    <row r="8291" spans="1:3" hidden="1">
      <c r="A8291" s="65">
        <v>9011191</v>
      </c>
      <c r="B8291" s="65" t="s">
        <v>8826</v>
      </c>
      <c r="C8291" s="65" t="s">
        <v>793</v>
      </c>
    </row>
    <row r="8292" spans="1:3" hidden="1">
      <c r="A8292" s="65">
        <v>9011192</v>
      </c>
      <c r="B8292" s="65" t="s">
        <v>8827</v>
      </c>
      <c r="C8292" s="65" t="s">
        <v>793</v>
      </c>
    </row>
    <row r="8293" spans="1:3" hidden="1">
      <c r="A8293" s="65">
        <v>9011193</v>
      </c>
      <c r="B8293" s="65" t="s">
        <v>8828</v>
      </c>
      <c r="C8293" s="65" t="s">
        <v>793</v>
      </c>
    </row>
    <row r="8294" spans="1:3" hidden="1">
      <c r="A8294" s="65">
        <v>9011194</v>
      </c>
      <c r="B8294" s="65" t="s">
        <v>8829</v>
      </c>
      <c r="C8294" s="65" t="s">
        <v>793</v>
      </c>
    </row>
    <row r="8295" spans="1:3" hidden="1">
      <c r="A8295" s="65">
        <v>9011195</v>
      </c>
      <c r="B8295" s="65" t="s">
        <v>8830</v>
      </c>
      <c r="C8295" s="65" t="s">
        <v>793</v>
      </c>
    </row>
    <row r="8296" spans="1:3" hidden="1">
      <c r="A8296" s="65">
        <v>9011196</v>
      </c>
      <c r="B8296" s="65" t="s">
        <v>8831</v>
      </c>
      <c r="C8296" s="65" t="s">
        <v>793</v>
      </c>
    </row>
    <row r="8297" spans="1:3" hidden="1">
      <c r="A8297" s="65">
        <v>9011197</v>
      </c>
      <c r="B8297" s="65" t="s">
        <v>8832</v>
      </c>
      <c r="C8297" s="65" t="s">
        <v>793</v>
      </c>
    </row>
    <row r="8298" spans="1:3" hidden="1">
      <c r="A8298" s="65">
        <v>9011198</v>
      </c>
      <c r="B8298" s="65" t="s">
        <v>8833</v>
      </c>
      <c r="C8298" s="65" t="s">
        <v>793</v>
      </c>
    </row>
    <row r="8299" spans="1:3" hidden="1">
      <c r="A8299" s="65">
        <v>9011199</v>
      </c>
      <c r="B8299" s="65" t="s">
        <v>8834</v>
      </c>
      <c r="C8299" s="65" t="s">
        <v>793</v>
      </c>
    </row>
    <row r="8300" spans="1:3" hidden="1">
      <c r="A8300" s="65">
        <v>9011200</v>
      </c>
      <c r="B8300" s="65" t="s">
        <v>8835</v>
      </c>
      <c r="C8300" s="65" t="s">
        <v>793</v>
      </c>
    </row>
    <row r="8301" spans="1:3" hidden="1">
      <c r="A8301" s="65">
        <v>9011201</v>
      </c>
      <c r="B8301" s="65" t="s">
        <v>8836</v>
      </c>
      <c r="C8301" s="65" t="s">
        <v>793</v>
      </c>
    </row>
    <row r="8302" spans="1:3" hidden="1">
      <c r="A8302" s="65">
        <v>9011202</v>
      </c>
      <c r="B8302" s="65" t="s">
        <v>8837</v>
      </c>
      <c r="C8302" s="65" t="s">
        <v>793</v>
      </c>
    </row>
    <row r="8303" spans="1:3" hidden="1">
      <c r="A8303" s="65">
        <v>9011203</v>
      </c>
      <c r="B8303" s="65" t="s">
        <v>8838</v>
      </c>
      <c r="C8303" s="65" t="s">
        <v>793</v>
      </c>
    </row>
    <row r="8304" spans="1:3" hidden="1">
      <c r="A8304" s="65">
        <v>9011204</v>
      </c>
      <c r="B8304" s="65" t="s">
        <v>8839</v>
      </c>
      <c r="C8304" s="65" t="s">
        <v>793</v>
      </c>
    </row>
    <row r="8305" spans="1:3" hidden="1">
      <c r="A8305" s="65">
        <v>9011205</v>
      </c>
      <c r="B8305" s="65" t="s">
        <v>8840</v>
      </c>
      <c r="C8305" s="65" t="s">
        <v>793</v>
      </c>
    </row>
    <row r="8306" spans="1:3" hidden="1">
      <c r="A8306" s="65">
        <v>9011206</v>
      </c>
      <c r="B8306" s="65" t="s">
        <v>8841</v>
      </c>
      <c r="C8306" s="65" t="s">
        <v>793</v>
      </c>
    </row>
    <row r="8307" spans="1:3" hidden="1">
      <c r="A8307" s="65">
        <v>9011207</v>
      </c>
      <c r="B8307" s="65" t="s">
        <v>8842</v>
      </c>
      <c r="C8307" s="65" t="s">
        <v>793</v>
      </c>
    </row>
    <row r="8308" spans="1:3" hidden="1">
      <c r="A8308" s="65">
        <v>9011208</v>
      </c>
      <c r="B8308" s="65" t="s">
        <v>8843</v>
      </c>
      <c r="C8308" s="65" t="s">
        <v>793</v>
      </c>
    </row>
    <row r="8309" spans="1:3" hidden="1">
      <c r="A8309" s="65">
        <v>9011209</v>
      </c>
      <c r="B8309" s="65" t="s">
        <v>8844</v>
      </c>
      <c r="C8309" s="65" t="s">
        <v>793</v>
      </c>
    </row>
    <row r="8310" spans="1:3" hidden="1">
      <c r="A8310" s="65">
        <v>9011210</v>
      </c>
      <c r="B8310" s="65" t="s">
        <v>8845</v>
      </c>
      <c r="C8310" s="65" t="s">
        <v>793</v>
      </c>
    </row>
    <row r="8311" spans="1:3" hidden="1">
      <c r="A8311" s="65">
        <v>9011211</v>
      </c>
      <c r="B8311" s="65" t="s">
        <v>8846</v>
      </c>
      <c r="C8311" s="65" t="s">
        <v>793</v>
      </c>
    </row>
    <row r="8312" spans="1:3" hidden="1">
      <c r="A8312" s="65">
        <v>9011212</v>
      </c>
      <c r="B8312" s="65" t="s">
        <v>8847</v>
      </c>
      <c r="C8312" s="65" t="s">
        <v>793</v>
      </c>
    </row>
    <row r="8313" spans="1:3" hidden="1">
      <c r="A8313" s="65">
        <v>9011213</v>
      </c>
      <c r="B8313" s="65" t="s">
        <v>8848</v>
      </c>
      <c r="C8313" s="65" t="s">
        <v>793</v>
      </c>
    </row>
    <row r="8314" spans="1:3" hidden="1">
      <c r="A8314" s="65">
        <v>9011214</v>
      </c>
      <c r="B8314" s="65" t="s">
        <v>8849</v>
      </c>
      <c r="C8314" s="65" t="s">
        <v>793</v>
      </c>
    </row>
    <row r="8315" spans="1:3" hidden="1">
      <c r="A8315" s="65">
        <v>9011215</v>
      </c>
      <c r="B8315" s="65" t="s">
        <v>8850</v>
      </c>
      <c r="C8315" s="65" t="s">
        <v>793</v>
      </c>
    </row>
    <row r="8316" spans="1:3" hidden="1">
      <c r="A8316" s="65">
        <v>9011216</v>
      </c>
      <c r="B8316" s="65" t="s">
        <v>8851</v>
      </c>
      <c r="C8316" s="65" t="s">
        <v>793</v>
      </c>
    </row>
    <row r="8317" spans="1:3" hidden="1">
      <c r="A8317" s="65">
        <v>9011217</v>
      </c>
      <c r="B8317" s="65" t="s">
        <v>8852</v>
      </c>
      <c r="C8317" s="65" t="s">
        <v>793</v>
      </c>
    </row>
    <row r="8318" spans="1:3" hidden="1">
      <c r="A8318" s="65">
        <v>9011218</v>
      </c>
      <c r="B8318" s="65" t="s">
        <v>8853</v>
      </c>
      <c r="C8318" s="65" t="s">
        <v>793</v>
      </c>
    </row>
    <row r="8319" spans="1:3" hidden="1">
      <c r="A8319" s="65">
        <v>9011219</v>
      </c>
      <c r="B8319" s="65" t="s">
        <v>8854</v>
      </c>
      <c r="C8319" s="65" t="s">
        <v>793</v>
      </c>
    </row>
    <row r="8320" spans="1:3" hidden="1">
      <c r="A8320" s="65">
        <v>9011220</v>
      </c>
      <c r="B8320" s="65" t="s">
        <v>8855</v>
      </c>
      <c r="C8320" s="65" t="s">
        <v>793</v>
      </c>
    </row>
    <row r="8321" spans="1:3" hidden="1">
      <c r="A8321" s="65">
        <v>9011221</v>
      </c>
      <c r="B8321" s="65" t="s">
        <v>8856</v>
      </c>
      <c r="C8321" s="65" t="s">
        <v>793</v>
      </c>
    </row>
    <row r="8322" spans="1:3" hidden="1">
      <c r="A8322" s="65">
        <v>9011222</v>
      </c>
      <c r="B8322" s="65" t="s">
        <v>8857</v>
      </c>
      <c r="C8322" s="65" t="s">
        <v>793</v>
      </c>
    </row>
    <row r="8323" spans="1:3" hidden="1">
      <c r="A8323" s="65">
        <v>9011223</v>
      </c>
      <c r="B8323" s="65" t="s">
        <v>8858</v>
      </c>
      <c r="C8323" s="65" t="s">
        <v>793</v>
      </c>
    </row>
    <row r="8324" spans="1:3" hidden="1">
      <c r="A8324" s="65">
        <v>9011224</v>
      </c>
      <c r="B8324" s="65" t="s">
        <v>8859</v>
      </c>
      <c r="C8324" s="65" t="s">
        <v>793</v>
      </c>
    </row>
    <row r="8325" spans="1:3" hidden="1">
      <c r="A8325" s="65">
        <v>9011225</v>
      </c>
      <c r="B8325" s="65" t="s">
        <v>8860</v>
      </c>
      <c r="C8325" s="65" t="s">
        <v>793</v>
      </c>
    </row>
    <row r="8326" spans="1:3" hidden="1">
      <c r="A8326" s="65">
        <v>9011226</v>
      </c>
      <c r="B8326" s="65" t="s">
        <v>8861</v>
      </c>
      <c r="C8326" s="65" t="s">
        <v>686</v>
      </c>
    </row>
    <row r="8327" spans="1:3" hidden="1">
      <c r="A8327" s="65">
        <v>9011229</v>
      </c>
      <c r="B8327" s="65" t="s">
        <v>8812</v>
      </c>
      <c r="C8327" s="65" t="s">
        <v>743</v>
      </c>
    </row>
    <row r="8328" spans="1:3" hidden="1">
      <c r="A8328" s="65">
        <v>9011239</v>
      </c>
      <c r="B8328" s="65" t="s">
        <v>8862</v>
      </c>
      <c r="C8328" s="65" t="s">
        <v>809</v>
      </c>
    </row>
    <row r="8329" spans="1:3" hidden="1">
      <c r="A8329" s="65">
        <v>9011240</v>
      </c>
      <c r="B8329" s="65" t="s">
        <v>8863</v>
      </c>
      <c r="C8329" s="65" t="s">
        <v>942</v>
      </c>
    </row>
    <row r="8330" spans="1:3" hidden="1">
      <c r="A8330" s="65">
        <v>9011241</v>
      </c>
      <c r="B8330" s="65" t="s">
        <v>8864</v>
      </c>
      <c r="C8330" s="65" t="s">
        <v>942</v>
      </c>
    </row>
    <row r="8331" spans="1:3" hidden="1">
      <c r="A8331" s="65">
        <v>9011242</v>
      </c>
      <c r="B8331" s="65" t="s">
        <v>8865</v>
      </c>
      <c r="C8331" s="65" t="s">
        <v>942</v>
      </c>
    </row>
    <row r="8332" spans="1:3" hidden="1">
      <c r="A8332" s="65">
        <v>9011243</v>
      </c>
      <c r="B8332" s="65" t="s">
        <v>8866</v>
      </c>
      <c r="C8332" s="65" t="s">
        <v>942</v>
      </c>
    </row>
    <row r="8333" spans="1:3" hidden="1">
      <c r="A8333" s="65">
        <v>9011249</v>
      </c>
      <c r="B8333" s="65" t="s">
        <v>8867</v>
      </c>
      <c r="C8333" s="65" t="s">
        <v>683</v>
      </c>
    </row>
    <row r="8334" spans="1:3" hidden="1">
      <c r="A8334" s="65">
        <v>9011250</v>
      </c>
      <c r="B8334" s="65" t="s">
        <v>5665</v>
      </c>
      <c r="C8334" s="65" t="s">
        <v>5666</v>
      </c>
    </row>
    <row r="8335" spans="1:3" hidden="1">
      <c r="A8335" s="65">
        <v>9011251</v>
      </c>
      <c r="B8335" s="65" t="s">
        <v>8868</v>
      </c>
      <c r="C8335" s="65" t="s">
        <v>683</v>
      </c>
    </row>
    <row r="8336" spans="1:3" hidden="1">
      <c r="A8336" s="65">
        <v>9011252</v>
      </c>
      <c r="B8336" s="65" t="s">
        <v>8869</v>
      </c>
      <c r="C8336" s="65" t="s">
        <v>745</v>
      </c>
    </row>
    <row r="8337" spans="1:3" hidden="1">
      <c r="A8337" s="65">
        <v>9011253</v>
      </c>
      <c r="B8337" s="65" t="s">
        <v>1040</v>
      </c>
      <c r="C8337" s="65" t="s">
        <v>721</v>
      </c>
    </row>
    <row r="8338" spans="1:3" hidden="1">
      <c r="A8338" s="65">
        <v>9011254</v>
      </c>
      <c r="B8338" s="65" t="s">
        <v>8870</v>
      </c>
      <c r="C8338" s="65" t="s">
        <v>743</v>
      </c>
    </row>
    <row r="8339" spans="1:3" hidden="1">
      <c r="A8339" s="65">
        <v>9011255</v>
      </c>
      <c r="B8339" s="65" t="s">
        <v>8871</v>
      </c>
      <c r="C8339" s="65" t="s">
        <v>942</v>
      </c>
    </row>
    <row r="8340" spans="1:3" hidden="1">
      <c r="A8340" s="65">
        <v>9011256</v>
      </c>
      <c r="B8340" s="65" t="s">
        <v>8872</v>
      </c>
      <c r="C8340" s="65" t="s">
        <v>942</v>
      </c>
    </row>
    <row r="8341" spans="1:3" hidden="1">
      <c r="A8341" s="65">
        <v>9011259</v>
      </c>
      <c r="B8341" s="65" t="s">
        <v>8873</v>
      </c>
      <c r="C8341" s="65" t="s">
        <v>677</v>
      </c>
    </row>
    <row r="8342" spans="1:3" hidden="1">
      <c r="A8342" s="65">
        <v>9011269</v>
      </c>
      <c r="B8342" s="65" t="s">
        <v>8874</v>
      </c>
      <c r="C8342" s="65" t="s">
        <v>1553</v>
      </c>
    </row>
    <row r="8343" spans="1:3" hidden="1">
      <c r="A8343" s="65">
        <v>9011279</v>
      </c>
      <c r="B8343" s="65" t="s">
        <v>8875</v>
      </c>
      <c r="C8343" s="65" t="s">
        <v>942</v>
      </c>
    </row>
    <row r="8344" spans="1:3" hidden="1">
      <c r="A8344" s="65">
        <v>9011280</v>
      </c>
      <c r="B8344" s="65" t="s">
        <v>8876</v>
      </c>
      <c r="C8344" s="65" t="s">
        <v>942</v>
      </c>
    </row>
    <row r="8345" spans="1:3" hidden="1">
      <c r="A8345" s="65">
        <v>9011281</v>
      </c>
      <c r="B8345" s="65" t="s">
        <v>8877</v>
      </c>
      <c r="C8345" s="65" t="s">
        <v>942</v>
      </c>
    </row>
    <row r="8346" spans="1:3" hidden="1">
      <c r="A8346" s="65">
        <v>9011282</v>
      </c>
      <c r="B8346" s="65" t="s">
        <v>8878</v>
      </c>
      <c r="C8346" s="65" t="s">
        <v>942</v>
      </c>
    </row>
    <row r="8347" spans="1:3" hidden="1">
      <c r="A8347" s="65">
        <v>9011283</v>
      </c>
      <c r="B8347" s="65" t="s">
        <v>8879</v>
      </c>
      <c r="C8347" s="65" t="s">
        <v>942</v>
      </c>
    </row>
    <row r="8348" spans="1:3" hidden="1">
      <c r="A8348" s="65">
        <v>9011284</v>
      </c>
      <c r="B8348" s="65" t="s">
        <v>8880</v>
      </c>
      <c r="C8348" s="65" t="s">
        <v>942</v>
      </c>
    </row>
    <row r="8349" spans="1:3" hidden="1">
      <c r="A8349" s="65">
        <v>9011285</v>
      </c>
      <c r="B8349" s="65" t="s">
        <v>8881</v>
      </c>
      <c r="C8349" s="65" t="s">
        <v>942</v>
      </c>
    </row>
    <row r="8350" spans="1:3" hidden="1">
      <c r="A8350" s="65">
        <v>9011286</v>
      </c>
      <c r="B8350" s="65" t="s">
        <v>8882</v>
      </c>
      <c r="C8350" s="65" t="s">
        <v>738</v>
      </c>
    </row>
    <row r="8351" spans="1:3" hidden="1">
      <c r="A8351" s="65">
        <v>9011289</v>
      </c>
      <c r="B8351" s="65" t="s">
        <v>8883</v>
      </c>
      <c r="C8351" s="65" t="s">
        <v>942</v>
      </c>
    </row>
    <row r="8352" spans="1:3" hidden="1">
      <c r="A8352" s="65">
        <v>9011290</v>
      </c>
      <c r="B8352" s="65" t="s">
        <v>8884</v>
      </c>
      <c r="C8352" s="65" t="s">
        <v>805</v>
      </c>
    </row>
    <row r="8353" spans="1:3" hidden="1">
      <c r="A8353" s="65">
        <v>9011291</v>
      </c>
      <c r="B8353" s="65" t="s">
        <v>8885</v>
      </c>
      <c r="C8353" s="65" t="s">
        <v>809</v>
      </c>
    </row>
    <row r="8354" spans="1:3" hidden="1">
      <c r="A8354" s="65">
        <v>9011292</v>
      </c>
      <c r="B8354" s="65" t="s">
        <v>8886</v>
      </c>
      <c r="C8354" s="65" t="s">
        <v>809</v>
      </c>
    </row>
    <row r="8355" spans="1:3" hidden="1">
      <c r="A8355" s="65">
        <v>9011293</v>
      </c>
      <c r="B8355" s="65" t="s">
        <v>8887</v>
      </c>
      <c r="C8355" s="65" t="s">
        <v>683</v>
      </c>
    </row>
    <row r="8356" spans="1:3" hidden="1">
      <c r="A8356" s="65">
        <v>9011294</v>
      </c>
      <c r="B8356" s="65" t="s">
        <v>8888</v>
      </c>
      <c r="C8356" s="65" t="s">
        <v>683</v>
      </c>
    </row>
    <row r="8357" spans="1:3" hidden="1">
      <c r="A8357" s="65">
        <v>9011295</v>
      </c>
      <c r="B8357" s="65" t="s">
        <v>8889</v>
      </c>
      <c r="C8357" s="65" t="s">
        <v>683</v>
      </c>
    </row>
    <row r="8358" spans="1:3" hidden="1">
      <c r="A8358" s="65">
        <v>9011296</v>
      </c>
      <c r="B8358" s="65" t="s">
        <v>8890</v>
      </c>
      <c r="C8358" s="65" t="s">
        <v>683</v>
      </c>
    </row>
    <row r="8359" spans="1:3" hidden="1">
      <c r="A8359" s="65">
        <v>9011297</v>
      </c>
      <c r="B8359" s="65" t="s">
        <v>8891</v>
      </c>
      <c r="C8359" s="65" t="s">
        <v>738</v>
      </c>
    </row>
    <row r="8360" spans="1:3" hidden="1">
      <c r="A8360" s="65">
        <v>9011298</v>
      </c>
      <c r="B8360" s="65" t="s">
        <v>8892</v>
      </c>
      <c r="C8360" s="65" t="s">
        <v>942</v>
      </c>
    </row>
    <row r="8361" spans="1:3" hidden="1">
      <c r="A8361" s="65">
        <v>9011299</v>
      </c>
      <c r="B8361" s="65" t="s">
        <v>8893</v>
      </c>
      <c r="C8361" s="65" t="s">
        <v>942</v>
      </c>
    </row>
    <row r="8362" spans="1:3" hidden="1">
      <c r="A8362" s="65">
        <v>9011300</v>
      </c>
      <c r="B8362" s="65" t="s">
        <v>8894</v>
      </c>
      <c r="C8362" s="65" t="s">
        <v>942</v>
      </c>
    </row>
    <row r="8363" spans="1:3" hidden="1">
      <c r="A8363" s="65">
        <v>9011301</v>
      </c>
      <c r="B8363" s="65" t="s">
        <v>8895</v>
      </c>
      <c r="C8363" s="65" t="s">
        <v>942</v>
      </c>
    </row>
    <row r="8364" spans="1:3" hidden="1">
      <c r="A8364" s="65">
        <v>9011302</v>
      </c>
      <c r="B8364" s="65" t="s">
        <v>8896</v>
      </c>
      <c r="C8364" s="65" t="s">
        <v>942</v>
      </c>
    </row>
    <row r="8365" spans="1:3" hidden="1">
      <c r="A8365" s="65">
        <v>9011303</v>
      </c>
      <c r="B8365" s="65" t="s">
        <v>8897</v>
      </c>
      <c r="C8365" s="65" t="s">
        <v>942</v>
      </c>
    </row>
    <row r="8366" spans="1:3" hidden="1">
      <c r="A8366" s="65">
        <v>9011304</v>
      </c>
      <c r="B8366" s="65" t="s">
        <v>8898</v>
      </c>
      <c r="C8366" s="65" t="s">
        <v>942</v>
      </c>
    </row>
    <row r="8367" spans="1:3" hidden="1">
      <c r="A8367" s="65">
        <v>9011305</v>
      </c>
      <c r="B8367" s="65" t="s">
        <v>8899</v>
      </c>
      <c r="C8367" s="65" t="s">
        <v>8900</v>
      </c>
    </row>
    <row r="8368" spans="1:3" hidden="1">
      <c r="A8368" s="65">
        <v>9011306</v>
      </c>
      <c r="B8368" s="65" t="s">
        <v>8901</v>
      </c>
      <c r="C8368" s="65" t="s">
        <v>8900</v>
      </c>
    </row>
    <row r="8369" spans="1:3" hidden="1">
      <c r="A8369" s="65">
        <v>9011307</v>
      </c>
      <c r="B8369" s="65" t="s">
        <v>8902</v>
      </c>
      <c r="C8369" s="65" t="s">
        <v>1181</v>
      </c>
    </row>
    <row r="8370" spans="1:3" hidden="1">
      <c r="A8370" s="65">
        <v>9011308</v>
      </c>
      <c r="B8370" s="65" t="s">
        <v>8903</v>
      </c>
      <c r="C8370" s="65" t="s">
        <v>1181</v>
      </c>
    </row>
    <row r="8371" spans="1:3" hidden="1">
      <c r="A8371" s="65">
        <v>9011309</v>
      </c>
      <c r="B8371" s="65" t="s">
        <v>8904</v>
      </c>
      <c r="C8371" s="65" t="s">
        <v>793</v>
      </c>
    </row>
    <row r="8372" spans="1:3" hidden="1">
      <c r="A8372" s="65">
        <v>9011310</v>
      </c>
      <c r="B8372" s="65" t="s">
        <v>8905</v>
      </c>
      <c r="C8372" s="65" t="s">
        <v>793</v>
      </c>
    </row>
    <row r="8373" spans="1:3" hidden="1">
      <c r="A8373" s="65">
        <v>9011311</v>
      </c>
      <c r="B8373" s="65" t="s">
        <v>8906</v>
      </c>
      <c r="C8373" s="65" t="s">
        <v>1312</v>
      </c>
    </row>
    <row r="8374" spans="1:3" hidden="1">
      <c r="A8374" s="65">
        <v>9011312</v>
      </c>
      <c r="B8374" s="65" t="s">
        <v>8907</v>
      </c>
      <c r="C8374" s="65" t="s">
        <v>942</v>
      </c>
    </row>
    <row r="8375" spans="1:3" hidden="1">
      <c r="A8375" s="65">
        <v>9011313</v>
      </c>
      <c r="B8375" s="65" t="s">
        <v>8908</v>
      </c>
      <c r="C8375" s="65" t="s">
        <v>738</v>
      </c>
    </row>
    <row r="8376" spans="1:3" hidden="1">
      <c r="A8376" s="65">
        <v>9011314</v>
      </c>
      <c r="B8376" s="65" t="s">
        <v>8909</v>
      </c>
      <c r="C8376" s="65" t="s">
        <v>738</v>
      </c>
    </row>
    <row r="8377" spans="1:3" hidden="1">
      <c r="A8377" s="65">
        <v>9011315</v>
      </c>
      <c r="B8377" s="65" t="s">
        <v>8910</v>
      </c>
      <c r="C8377" s="65" t="s">
        <v>809</v>
      </c>
    </row>
    <row r="8378" spans="1:3" hidden="1">
      <c r="A8378" s="65">
        <v>9011316</v>
      </c>
      <c r="B8378" s="65" t="s">
        <v>8911</v>
      </c>
      <c r="C8378" s="65" t="s">
        <v>809</v>
      </c>
    </row>
    <row r="8379" spans="1:3" hidden="1">
      <c r="A8379" s="65">
        <v>9011317</v>
      </c>
      <c r="B8379" s="65" t="s">
        <v>8912</v>
      </c>
      <c r="C8379" s="65" t="s">
        <v>809</v>
      </c>
    </row>
    <row r="8380" spans="1:3" hidden="1">
      <c r="A8380" s="65">
        <v>9011318</v>
      </c>
      <c r="B8380" s="65" t="s">
        <v>8913</v>
      </c>
      <c r="C8380" s="65" t="s">
        <v>809</v>
      </c>
    </row>
    <row r="8381" spans="1:3" hidden="1">
      <c r="A8381" s="65">
        <v>9011319</v>
      </c>
      <c r="B8381" s="65" t="s">
        <v>649</v>
      </c>
      <c r="C8381" s="65" t="s">
        <v>732</v>
      </c>
    </row>
    <row r="8382" spans="1:3" hidden="1">
      <c r="A8382" s="65">
        <v>9011320</v>
      </c>
      <c r="B8382" s="65" t="s">
        <v>938</v>
      </c>
      <c r="C8382" s="65" t="s">
        <v>743</v>
      </c>
    </row>
    <row r="8383" spans="1:3" hidden="1">
      <c r="A8383" s="65">
        <v>9011321</v>
      </c>
      <c r="B8383" s="65" t="s">
        <v>8914</v>
      </c>
      <c r="C8383" s="65" t="s">
        <v>942</v>
      </c>
    </row>
    <row r="8384" spans="1:3" hidden="1">
      <c r="A8384" s="65">
        <v>9011322</v>
      </c>
      <c r="B8384" s="65" t="s">
        <v>8915</v>
      </c>
      <c r="C8384" s="65" t="s">
        <v>942</v>
      </c>
    </row>
    <row r="8385" spans="1:3" hidden="1">
      <c r="A8385" s="65">
        <v>9011323</v>
      </c>
      <c r="B8385" s="65" t="s">
        <v>8916</v>
      </c>
      <c r="C8385" s="65" t="s">
        <v>942</v>
      </c>
    </row>
    <row r="8386" spans="1:3" hidden="1">
      <c r="A8386" s="65">
        <v>9011324</v>
      </c>
      <c r="B8386" s="65" t="s">
        <v>8917</v>
      </c>
      <c r="C8386" s="65" t="s">
        <v>850</v>
      </c>
    </row>
    <row r="8387" spans="1:3" hidden="1">
      <c r="A8387" s="65">
        <v>9011325</v>
      </c>
      <c r="B8387" s="65" t="s">
        <v>8918</v>
      </c>
      <c r="C8387" s="65" t="s">
        <v>5068</v>
      </c>
    </row>
    <row r="8388" spans="1:3" hidden="1">
      <c r="A8388" s="65">
        <v>9011326</v>
      </c>
      <c r="B8388" s="65" t="s">
        <v>8919</v>
      </c>
      <c r="C8388" s="65" t="s">
        <v>738</v>
      </c>
    </row>
    <row r="8389" spans="1:3" hidden="1">
      <c r="A8389" s="65">
        <v>9011327</v>
      </c>
      <c r="B8389" s="65" t="s">
        <v>8920</v>
      </c>
      <c r="C8389" s="65" t="s">
        <v>807</v>
      </c>
    </row>
    <row r="8390" spans="1:3" hidden="1">
      <c r="A8390" s="65">
        <v>9011328</v>
      </c>
      <c r="B8390" s="65" t="s">
        <v>8921</v>
      </c>
      <c r="C8390" s="65" t="s">
        <v>942</v>
      </c>
    </row>
    <row r="8391" spans="1:3" hidden="1">
      <c r="A8391" s="65">
        <v>9011329</v>
      </c>
      <c r="B8391" s="65" t="s">
        <v>8922</v>
      </c>
      <c r="C8391" s="65" t="s">
        <v>721</v>
      </c>
    </row>
    <row r="8392" spans="1:3" hidden="1">
      <c r="A8392" s="65">
        <v>9011330</v>
      </c>
      <c r="B8392" s="65" t="s">
        <v>8923</v>
      </c>
      <c r="C8392" s="65" t="s">
        <v>738</v>
      </c>
    </row>
    <row r="8393" spans="1:3" hidden="1">
      <c r="A8393" s="65">
        <v>9011331</v>
      </c>
      <c r="B8393" s="65" t="s">
        <v>8924</v>
      </c>
      <c r="C8393" s="65" t="s">
        <v>738</v>
      </c>
    </row>
    <row r="8394" spans="1:3" hidden="1">
      <c r="A8394" s="65">
        <v>9011332</v>
      </c>
      <c r="B8394" s="65" t="s">
        <v>8925</v>
      </c>
      <c r="C8394" s="65" t="s">
        <v>738</v>
      </c>
    </row>
    <row r="8395" spans="1:3" hidden="1">
      <c r="A8395" s="65">
        <v>9011333</v>
      </c>
      <c r="B8395" s="65" t="s">
        <v>8926</v>
      </c>
      <c r="C8395" s="65" t="s">
        <v>738</v>
      </c>
    </row>
    <row r="8396" spans="1:3" hidden="1">
      <c r="A8396" s="65">
        <v>9011334</v>
      </c>
      <c r="B8396" s="65" t="s">
        <v>8927</v>
      </c>
      <c r="C8396" s="65" t="s">
        <v>738</v>
      </c>
    </row>
    <row r="8397" spans="1:3" hidden="1">
      <c r="A8397" s="65">
        <v>9011335</v>
      </c>
      <c r="B8397" s="65" t="s">
        <v>8928</v>
      </c>
      <c r="C8397" s="65" t="s">
        <v>793</v>
      </c>
    </row>
    <row r="8398" spans="1:3" hidden="1">
      <c r="A8398" s="65">
        <v>9011336</v>
      </c>
      <c r="B8398" s="65" t="s">
        <v>8929</v>
      </c>
      <c r="C8398" s="65" t="s">
        <v>793</v>
      </c>
    </row>
    <row r="8399" spans="1:3" hidden="1">
      <c r="A8399" s="65">
        <v>9011337</v>
      </c>
      <c r="B8399" s="65" t="s">
        <v>8930</v>
      </c>
      <c r="C8399" s="65" t="s">
        <v>793</v>
      </c>
    </row>
    <row r="8400" spans="1:3" hidden="1">
      <c r="A8400" s="65">
        <v>9011338</v>
      </c>
      <c r="B8400" s="65" t="s">
        <v>8931</v>
      </c>
      <c r="C8400" s="65" t="s">
        <v>793</v>
      </c>
    </row>
    <row r="8401" spans="1:3" hidden="1">
      <c r="A8401" s="65">
        <v>9011339</v>
      </c>
      <c r="B8401" s="65" t="s">
        <v>8932</v>
      </c>
      <c r="C8401" s="65" t="s">
        <v>793</v>
      </c>
    </row>
    <row r="8402" spans="1:3" hidden="1">
      <c r="A8402" s="65">
        <v>9011340</v>
      </c>
      <c r="B8402" s="65" t="s">
        <v>8933</v>
      </c>
      <c r="C8402" s="65" t="s">
        <v>793</v>
      </c>
    </row>
    <row r="8403" spans="1:3" hidden="1">
      <c r="A8403" s="65">
        <v>9011341</v>
      </c>
      <c r="B8403" s="65" t="s">
        <v>8934</v>
      </c>
      <c r="C8403" s="65" t="s">
        <v>8791</v>
      </c>
    </row>
    <row r="8404" spans="1:3" hidden="1">
      <c r="A8404" s="65">
        <v>9011349</v>
      </c>
      <c r="B8404" s="65" t="s">
        <v>8935</v>
      </c>
      <c r="C8404" s="65" t="s">
        <v>745</v>
      </c>
    </row>
    <row r="8405" spans="1:3" hidden="1">
      <c r="A8405" s="65">
        <v>9011350</v>
      </c>
      <c r="B8405" s="65" t="s">
        <v>8936</v>
      </c>
      <c r="C8405" s="65" t="s">
        <v>850</v>
      </c>
    </row>
    <row r="8406" spans="1:3" hidden="1">
      <c r="A8406" s="65">
        <v>9011351</v>
      </c>
      <c r="B8406" s="65" t="s">
        <v>8937</v>
      </c>
      <c r="C8406" s="65" t="s">
        <v>850</v>
      </c>
    </row>
    <row r="8407" spans="1:3" hidden="1">
      <c r="A8407" s="65">
        <v>9011352</v>
      </c>
      <c r="B8407" s="65" t="s">
        <v>8938</v>
      </c>
      <c r="C8407" s="65" t="s">
        <v>805</v>
      </c>
    </row>
    <row r="8408" spans="1:3" hidden="1">
      <c r="A8408" s="65">
        <v>9011353</v>
      </c>
      <c r="B8408" s="65" t="s">
        <v>8939</v>
      </c>
      <c r="C8408" s="65" t="s">
        <v>1181</v>
      </c>
    </row>
    <row r="8409" spans="1:3" hidden="1">
      <c r="A8409" s="65">
        <v>9011354</v>
      </c>
      <c r="B8409" s="65" t="s">
        <v>8940</v>
      </c>
      <c r="C8409" s="65" t="s">
        <v>1181</v>
      </c>
    </row>
    <row r="8410" spans="1:3" hidden="1">
      <c r="A8410" s="65">
        <v>9011355</v>
      </c>
      <c r="B8410" s="65" t="s">
        <v>8941</v>
      </c>
      <c r="C8410" s="65" t="s">
        <v>1181</v>
      </c>
    </row>
    <row r="8411" spans="1:3" hidden="1">
      <c r="A8411" s="65">
        <v>9011356</v>
      </c>
      <c r="B8411" s="65" t="s">
        <v>8942</v>
      </c>
      <c r="C8411" s="65" t="s">
        <v>1181</v>
      </c>
    </row>
    <row r="8412" spans="1:3" hidden="1">
      <c r="A8412" s="65">
        <v>9011357</v>
      </c>
      <c r="B8412" s="65" t="s">
        <v>8943</v>
      </c>
      <c r="C8412" s="65" t="s">
        <v>942</v>
      </c>
    </row>
    <row r="8413" spans="1:3" hidden="1">
      <c r="A8413" s="65">
        <v>9011358</v>
      </c>
      <c r="B8413" s="65" t="s">
        <v>8944</v>
      </c>
      <c r="C8413" s="65" t="s">
        <v>942</v>
      </c>
    </row>
    <row r="8414" spans="1:3" hidden="1">
      <c r="A8414" s="65">
        <v>9011359</v>
      </c>
      <c r="B8414" s="65" t="s">
        <v>8945</v>
      </c>
      <c r="C8414" s="65" t="s">
        <v>809</v>
      </c>
    </row>
    <row r="8415" spans="1:3" hidden="1">
      <c r="A8415" s="65">
        <v>9011360</v>
      </c>
      <c r="B8415" s="65" t="s">
        <v>8946</v>
      </c>
      <c r="C8415" s="65" t="s">
        <v>809</v>
      </c>
    </row>
    <row r="8416" spans="1:3" hidden="1">
      <c r="A8416" s="65">
        <v>9011361</v>
      </c>
      <c r="B8416" s="65" t="s">
        <v>8947</v>
      </c>
      <c r="C8416" s="65" t="s">
        <v>809</v>
      </c>
    </row>
    <row r="8417" spans="1:3" hidden="1">
      <c r="A8417" s="65">
        <v>9011362</v>
      </c>
      <c r="B8417" s="65" t="s">
        <v>8948</v>
      </c>
      <c r="C8417" s="65" t="s">
        <v>809</v>
      </c>
    </row>
    <row r="8418" spans="1:3" hidden="1">
      <c r="A8418" s="65">
        <v>9011363</v>
      </c>
      <c r="B8418" s="65" t="s">
        <v>8949</v>
      </c>
      <c r="C8418" s="65" t="s">
        <v>809</v>
      </c>
    </row>
    <row r="8419" spans="1:3" hidden="1">
      <c r="A8419" s="65">
        <v>9011364</v>
      </c>
      <c r="B8419" s="65" t="s">
        <v>8950</v>
      </c>
      <c r="C8419" s="65" t="s">
        <v>809</v>
      </c>
    </row>
    <row r="8420" spans="1:3" hidden="1">
      <c r="A8420" s="65">
        <v>9011365</v>
      </c>
      <c r="B8420" s="65" t="s">
        <v>8951</v>
      </c>
      <c r="C8420" s="65" t="s">
        <v>809</v>
      </c>
    </row>
    <row r="8421" spans="1:3" hidden="1">
      <c r="A8421" s="65">
        <v>9011366</v>
      </c>
      <c r="B8421" s="65" t="s">
        <v>8952</v>
      </c>
      <c r="C8421" s="65" t="s">
        <v>809</v>
      </c>
    </row>
    <row r="8422" spans="1:3" hidden="1">
      <c r="A8422" s="65">
        <v>9011367</v>
      </c>
      <c r="B8422" s="65" t="s">
        <v>8953</v>
      </c>
      <c r="C8422" s="65" t="s">
        <v>809</v>
      </c>
    </row>
    <row r="8423" spans="1:3" hidden="1">
      <c r="A8423" s="65">
        <v>9011368</v>
      </c>
      <c r="B8423" s="65" t="s">
        <v>8954</v>
      </c>
      <c r="C8423" s="65" t="s">
        <v>809</v>
      </c>
    </row>
    <row r="8424" spans="1:3" hidden="1">
      <c r="A8424" s="65">
        <v>9011369</v>
      </c>
      <c r="B8424" s="65" t="s">
        <v>8955</v>
      </c>
      <c r="C8424" s="65" t="s">
        <v>5068</v>
      </c>
    </row>
    <row r="8425" spans="1:3" hidden="1">
      <c r="A8425" s="65">
        <v>9011370</v>
      </c>
      <c r="B8425" s="65" t="s">
        <v>8956</v>
      </c>
      <c r="C8425" s="65" t="s">
        <v>5068</v>
      </c>
    </row>
    <row r="8426" spans="1:3" hidden="1">
      <c r="A8426" s="65">
        <v>9011371</v>
      </c>
      <c r="B8426" s="65" t="s">
        <v>8957</v>
      </c>
      <c r="C8426" s="65" t="s">
        <v>793</v>
      </c>
    </row>
    <row r="8427" spans="1:3" hidden="1">
      <c r="A8427" s="65">
        <v>9011372</v>
      </c>
      <c r="B8427" s="65" t="s">
        <v>8958</v>
      </c>
      <c r="C8427" s="65" t="s">
        <v>805</v>
      </c>
    </row>
    <row r="8428" spans="1:3" hidden="1">
      <c r="A8428" s="65">
        <v>9011379</v>
      </c>
      <c r="B8428" s="65" t="s">
        <v>8959</v>
      </c>
      <c r="C8428" s="65" t="s">
        <v>942</v>
      </c>
    </row>
    <row r="8429" spans="1:3" hidden="1">
      <c r="A8429" s="65">
        <v>9011380</v>
      </c>
      <c r="B8429" s="65" t="s">
        <v>8960</v>
      </c>
      <c r="C8429" s="65" t="s">
        <v>942</v>
      </c>
    </row>
    <row r="8430" spans="1:3" hidden="1">
      <c r="A8430" s="65">
        <v>9011381</v>
      </c>
      <c r="B8430" s="65" t="s">
        <v>8961</v>
      </c>
      <c r="C8430" s="65" t="s">
        <v>805</v>
      </c>
    </row>
    <row r="8431" spans="1:3" hidden="1">
      <c r="A8431" s="65">
        <v>9011382</v>
      </c>
      <c r="B8431" s="65" t="s">
        <v>8962</v>
      </c>
      <c r="C8431" s="65" t="s">
        <v>809</v>
      </c>
    </row>
    <row r="8432" spans="1:3" hidden="1">
      <c r="A8432" s="65">
        <v>9011383</v>
      </c>
      <c r="B8432" s="65" t="s">
        <v>8963</v>
      </c>
      <c r="C8432" s="65" t="s">
        <v>809</v>
      </c>
    </row>
    <row r="8433" spans="1:3" hidden="1">
      <c r="A8433" s="65">
        <v>9011384</v>
      </c>
      <c r="B8433" s="65" t="s">
        <v>8964</v>
      </c>
      <c r="C8433" s="65" t="s">
        <v>809</v>
      </c>
    </row>
    <row r="8434" spans="1:3" hidden="1">
      <c r="A8434" s="65">
        <v>9011385</v>
      </c>
      <c r="B8434" s="65" t="s">
        <v>8965</v>
      </c>
      <c r="C8434" s="65" t="s">
        <v>809</v>
      </c>
    </row>
    <row r="8435" spans="1:3" hidden="1">
      <c r="A8435" s="65">
        <v>9011386</v>
      </c>
      <c r="B8435" s="65" t="s">
        <v>8966</v>
      </c>
      <c r="C8435" s="65" t="s">
        <v>809</v>
      </c>
    </row>
    <row r="8436" spans="1:3" hidden="1">
      <c r="A8436" s="65">
        <v>9011387</v>
      </c>
      <c r="B8436" s="65" t="s">
        <v>8967</v>
      </c>
      <c r="C8436" s="65" t="s">
        <v>5068</v>
      </c>
    </row>
    <row r="8437" spans="1:3" hidden="1">
      <c r="A8437" s="65">
        <v>9011388</v>
      </c>
      <c r="B8437" s="65" t="s">
        <v>8968</v>
      </c>
      <c r="C8437" s="65" t="s">
        <v>5068</v>
      </c>
    </row>
    <row r="8438" spans="1:3" hidden="1">
      <c r="A8438" s="65">
        <v>9011389</v>
      </c>
      <c r="B8438" s="65" t="s">
        <v>8969</v>
      </c>
      <c r="C8438" s="65" t="s">
        <v>5068</v>
      </c>
    </row>
    <row r="8439" spans="1:3" hidden="1">
      <c r="A8439" s="65">
        <v>9011390</v>
      </c>
      <c r="B8439" s="65" t="s">
        <v>8970</v>
      </c>
      <c r="C8439" s="65" t="s">
        <v>942</v>
      </c>
    </row>
    <row r="8440" spans="1:3" hidden="1">
      <c r="A8440" s="65">
        <v>9011391</v>
      </c>
      <c r="B8440" s="65" t="s">
        <v>8971</v>
      </c>
      <c r="C8440" s="65" t="s">
        <v>721</v>
      </c>
    </row>
    <row r="8441" spans="1:3" hidden="1">
      <c r="A8441" s="65">
        <v>9011392</v>
      </c>
      <c r="B8441" s="65" t="s">
        <v>8972</v>
      </c>
      <c r="C8441" s="65" t="s">
        <v>1181</v>
      </c>
    </row>
    <row r="8442" spans="1:3" hidden="1">
      <c r="A8442" s="65">
        <v>9011393</v>
      </c>
      <c r="B8442" s="65" t="s">
        <v>8973</v>
      </c>
      <c r="C8442" s="65" t="s">
        <v>1181</v>
      </c>
    </row>
    <row r="8443" spans="1:3" hidden="1">
      <c r="A8443" s="65">
        <v>9011394</v>
      </c>
      <c r="B8443" s="65" t="s">
        <v>8974</v>
      </c>
      <c r="C8443" s="65" t="s">
        <v>1181</v>
      </c>
    </row>
    <row r="8444" spans="1:3" hidden="1">
      <c r="A8444" s="65">
        <v>9011395</v>
      </c>
      <c r="B8444" s="65" t="s">
        <v>8975</v>
      </c>
      <c r="C8444" s="65" t="s">
        <v>942</v>
      </c>
    </row>
    <row r="8445" spans="1:3" hidden="1">
      <c r="A8445" s="65">
        <v>9011396</v>
      </c>
      <c r="B8445" s="65" t="s">
        <v>8976</v>
      </c>
      <c r="C8445" s="65" t="s">
        <v>850</v>
      </c>
    </row>
    <row r="8446" spans="1:3" hidden="1">
      <c r="A8446" s="65">
        <v>9011397</v>
      </c>
      <c r="B8446" s="65" t="s">
        <v>8977</v>
      </c>
      <c r="C8446" s="65" t="s">
        <v>852</v>
      </c>
    </row>
    <row r="8447" spans="1:3" hidden="1">
      <c r="A8447" s="65">
        <v>9011398</v>
      </c>
      <c r="B8447" s="65" t="s">
        <v>8978</v>
      </c>
      <c r="C8447" s="65" t="s">
        <v>5068</v>
      </c>
    </row>
    <row r="8448" spans="1:3" hidden="1">
      <c r="A8448" s="65">
        <v>9011399</v>
      </c>
      <c r="B8448" s="65" t="s">
        <v>8979</v>
      </c>
      <c r="C8448" s="65" t="s">
        <v>793</v>
      </c>
    </row>
    <row r="8449" spans="1:3" hidden="1">
      <c r="A8449" s="65">
        <v>9011400</v>
      </c>
      <c r="B8449" s="65" t="s">
        <v>8980</v>
      </c>
      <c r="C8449" s="65" t="s">
        <v>738</v>
      </c>
    </row>
    <row r="8450" spans="1:3" hidden="1">
      <c r="A8450" s="65">
        <v>9011401</v>
      </c>
      <c r="B8450" s="65" t="s">
        <v>8981</v>
      </c>
      <c r="C8450" s="65" t="s">
        <v>738</v>
      </c>
    </row>
    <row r="8451" spans="1:3" hidden="1">
      <c r="A8451" s="65">
        <v>9011402</v>
      </c>
      <c r="B8451" s="65" t="s">
        <v>8982</v>
      </c>
      <c r="C8451" s="65" t="s">
        <v>738</v>
      </c>
    </row>
    <row r="8452" spans="1:3" hidden="1">
      <c r="A8452" s="65">
        <v>9011403</v>
      </c>
      <c r="B8452" s="65" t="s">
        <v>8983</v>
      </c>
      <c r="C8452" s="65" t="s">
        <v>738</v>
      </c>
    </row>
    <row r="8453" spans="1:3" hidden="1">
      <c r="A8453" s="65">
        <v>9011404</v>
      </c>
      <c r="B8453" s="65" t="s">
        <v>8984</v>
      </c>
      <c r="C8453" s="65" t="s">
        <v>738</v>
      </c>
    </row>
    <row r="8454" spans="1:3" hidden="1">
      <c r="A8454" s="65">
        <v>9011405</v>
      </c>
      <c r="B8454" s="65" t="s">
        <v>8985</v>
      </c>
      <c r="C8454" s="65" t="s">
        <v>738</v>
      </c>
    </row>
    <row r="8455" spans="1:3" hidden="1">
      <c r="A8455" s="65">
        <v>9011406</v>
      </c>
      <c r="B8455" s="65" t="s">
        <v>8986</v>
      </c>
      <c r="C8455" s="65" t="s">
        <v>738</v>
      </c>
    </row>
    <row r="8456" spans="1:3" hidden="1">
      <c r="A8456" s="65">
        <v>9011407</v>
      </c>
      <c r="B8456" s="65" t="s">
        <v>8987</v>
      </c>
      <c r="C8456" s="65" t="s">
        <v>738</v>
      </c>
    </row>
    <row r="8457" spans="1:3" hidden="1">
      <c r="A8457" s="65">
        <v>9011408</v>
      </c>
      <c r="B8457" s="65" t="s">
        <v>8988</v>
      </c>
      <c r="C8457" s="65" t="s">
        <v>738</v>
      </c>
    </row>
    <row r="8458" spans="1:3" hidden="1">
      <c r="A8458" s="65">
        <v>9011409</v>
      </c>
      <c r="B8458" s="65" t="s">
        <v>8989</v>
      </c>
      <c r="C8458" s="65" t="s">
        <v>738</v>
      </c>
    </row>
    <row r="8459" spans="1:3" hidden="1">
      <c r="A8459" s="65">
        <v>9011410</v>
      </c>
      <c r="B8459" s="65" t="s">
        <v>8990</v>
      </c>
      <c r="C8459" s="65" t="s">
        <v>793</v>
      </c>
    </row>
    <row r="8460" spans="1:3" hidden="1">
      <c r="A8460" s="65">
        <v>9011411</v>
      </c>
      <c r="B8460" s="65" t="s">
        <v>8991</v>
      </c>
      <c r="C8460" s="65" t="s">
        <v>793</v>
      </c>
    </row>
    <row r="8461" spans="1:3" hidden="1">
      <c r="A8461" s="65">
        <v>9011412</v>
      </c>
      <c r="B8461" s="65" t="s">
        <v>8992</v>
      </c>
      <c r="C8461" s="65" t="s">
        <v>793</v>
      </c>
    </row>
    <row r="8462" spans="1:3" hidden="1">
      <c r="A8462" s="65">
        <v>9011413</v>
      </c>
      <c r="B8462" s="65" t="s">
        <v>8993</v>
      </c>
      <c r="C8462" s="65" t="s">
        <v>793</v>
      </c>
    </row>
    <row r="8463" spans="1:3" hidden="1">
      <c r="A8463" s="65">
        <v>9011414</v>
      </c>
      <c r="B8463" s="65" t="s">
        <v>8994</v>
      </c>
      <c r="C8463" s="65" t="s">
        <v>805</v>
      </c>
    </row>
    <row r="8464" spans="1:3" hidden="1">
      <c r="A8464" s="65">
        <v>9011415</v>
      </c>
      <c r="B8464" s="65" t="s">
        <v>8995</v>
      </c>
      <c r="C8464" s="65" t="s">
        <v>805</v>
      </c>
    </row>
    <row r="8465" spans="1:3" hidden="1">
      <c r="A8465" s="65">
        <v>9011416</v>
      </c>
      <c r="B8465" s="65" t="s">
        <v>8996</v>
      </c>
      <c r="C8465" s="65" t="s">
        <v>805</v>
      </c>
    </row>
    <row r="8466" spans="1:3" hidden="1">
      <c r="A8466" s="65">
        <v>9011417</v>
      </c>
      <c r="B8466" s="65" t="s">
        <v>8997</v>
      </c>
      <c r="C8466" s="65" t="s">
        <v>805</v>
      </c>
    </row>
    <row r="8467" spans="1:3" hidden="1">
      <c r="A8467" s="65">
        <v>9011418</v>
      </c>
      <c r="B8467" s="65" t="s">
        <v>8998</v>
      </c>
      <c r="C8467" s="65" t="s">
        <v>805</v>
      </c>
    </row>
    <row r="8468" spans="1:3" hidden="1">
      <c r="A8468" s="65">
        <v>9011419</v>
      </c>
      <c r="B8468" s="65" t="s">
        <v>8999</v>
      </c>
      <c r="C8468" s="65" t="s">
        <v>805</v>
      </c>
    </row>
    <row r="8469" spans="1:3" hidden="1">
      <c r="A8469" s="65">
        <v>9011420</v>
      </c>
      <c r="B8469" s="65" t="s">
        <v>9000</v>
      </c>
      <c r="C8469" s="65" t="s">
        <v>825</v>
      </c>
    </row>
    <row r="8470" spans="1:3" hidden="1">
      <c r="A8470" s="65">
        <v>9011421</v>
      </c>
      <c r="B8470" s="65" t="s">
        <v>9001</v>
      </c>
      <c r="C8470" s="65" t="s">
        <v>807</v>
      </c>
    </row>
    <row r="8471" spans="1:3" hidden="1">
      <c r="A8471" s="65">
        <v>9011422</v>
      </c>
      <c r="B8471" s="65" t="s">
        <v>9002</v>
      </c>
      <c r="C8471" s="65" t="s">
        <v>942</v>
      </c>
    </row>
    <row r="8472" spans="1:3" hidden="1">
      <c r="A8472" s="65">
        <v>9011423</v>
      </c>
      <c r="B8472" s="65" t="s">
        <v>9003</v>
      </c>
      <c r="C8472" s="65" t="s">
        <v>807</v>
      </c>
    </row>
    <row r="8473" spans="1:3" hidden="1">
      <c r="A8473" s="65">
        <v>9011424</v>
      </c>
      <c r="B8473" s="65" t="s">
        <v>9004</v>
      </c>
      <c r="C8473" s="65" t="s">
        <v>1553</v>
      </c>
    </row>
    <row r="8474" spans="1:3" hidden="1">
      <c r="A8474" s="65">
        <v>9011425</v>
      </c>
      <c r="B8474" s="65" t="s">
        <v>9005</v>
      </c>
      <c r="C8474" s="65" t="s">
        <v>732</v>
      </c>
    </row>
    <row r="8475" spans="1:3" hidden="1">
      <c r="A8475" s="65">
        <v>9011426</v>
      </c>
      <c r="B8475" s="65" t="s">
        <v>9006</v>
      </c>
      <c r="C8475" s="65" t="s">
        <v>942</v>
      </c>
    </row>
    <row r="8476" spans="1:3">
      <c r="A8476" s="65">
        <v>9011429</v>
      </c>
      <c r="B8476" s="65" t="s">
        <v>9007</v>
      </c>
      <c r="C8476" s="65" t="s">
        <v>942</v>
      </c>
    </row>
    <row r="8477" spans="1:3" hidden="1">
      <c r="A8477" s="65">
        <v>9011430</v>
      </c>
      <c r="B8477" s="65" t="s">
        <v>9008</v>
      </c>
      <c r="C8477" s="65" t="s">
        <v>942</v>
      </c>
    </row>
    <row r="8478" spans="1:3" hidden="1">
      <c r="A8478" s="65">
        <v>9011431</v>
      </c>
      <c r="B8478" s="65" t="s">
        <v>9009</v>
      </c>
      <c r="C8478" s="65" t="s">
        <v>5615</v>
      </c>
    </row>
    <row r="8479" spans="1:3" hidden="1">
      <c r="A8479" s="65">
        <v>9011432</v>
      </c>
      <c r="B8479" s="65" t="s">
        <v>9010</v>
      </c>
      <c r="C8479" s="65" t="s">
        <v>670</v>
      </c>
    </row>
    <row r="8480" spans="1:3" hidden="1">
      <c r="A8480" s="65">
        <v>9011439</v>
      </c>
      <c r="B8480" s="65" t="s">
        <v>9011</v>
      </c>
      <c r="C8480" s="65" t="s">
        <v>5068</v>
      </c>
    </row>
    <row r="8481" spans="1:3" hidden="1">
      <c r="A8481" s="65">
        <v>9011449</v>
      </c>
      <c r="B8481" s="65" t="s">
        <v>9012</v>
      </c>
      <c r="C8481" s="65" t="s">
        <v>942</v>
      </c>
    </row>
    <row r="8482" spans="1:3" hidden="1">
      <c r="A8482" s="65">
        <v>9011450</v>
      </c>
      <c r="B8482" s="65" t="s">
        <v>9013</v>
      </c>
      <c r="C8482" s="65" t="s">
        <v>942</v>
      </c>
    </row>
    <row r="8483" spans="1:3" hidden="1">
      <c r="A8483" s="65">
        <v>9011459</v>
      </c>
      <c r="B8483" s="65" t="s">
        <v>9014</v>
      </c>
      <c r="C8483" s="65" t="s">
        <v>942</v>
      </c>
    </row>
    <row r="8484" spans="1:3" hidden="1">
      <c r="A8484" s="65">
        <v>9011469</v>
      </c>
      <c r="B8484" s="65" t="s">
        <v>9015</v>
      </c>
      <c r="C8484" s="65" t="s">
        <v>1181</v>
      </c>
    </row>
  </sheetData>
  <autoFilter ref="A7:H8484" xr:uid="{00000000-0009-0000-0000-000009000000}">
    <filterColumn colId="1">
      <filters>
        <filter val="LIC.IBM ENDPOINT MANAGER P/MOBILE-DEVICE"/>
        <filter val="LICENÇA DE INTERFACE GRAFICA IBM"/>
        <filter val="LICENÇA SOFT.IBM-GERENC.REGRAS D0G80LL"/>
        <filter val="LICENÇA SOFT.IBM-GERENC.REGRAS E0AI1LL"/>
        <filter val="Licença SW IBM GerRegras NonProd"/>
        <filter val="SERV. LICENÇA USO SOFTWARE DE ATIV. IBM"/>
        <filter val="SOFTWARE COMPILADOR IBM - XL C/C"/>
        <filter val="SOFTWARE IBM POWER AIX"/>
        <filter val="SOFTWARE MIDDLEWARE IBM-ILOG JTGO"/>
        <filter val="SW-DESENVOLVIMENTO WEB ADOBE IBM ELIXIR"/>
      </filters>
    </filterColumn>
    <filterColumn colId="2">
      <filters>
        <filter val="SERV 01.05"/>
        <filter val="SERV 01.05.01"/>
      </filters>
    </filterColumn>
  </autoFilter>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11"/>
  <dimension ref="B1:F18"/>
  <sheetViews>
    <sheetView topLeftCell="D1" workbookViewId="0">
      <selection activeCell="C3" sqref="C3"/>
    </sheetView>
  </sheetViews>
  <sheetFormatPr defaultRowHeight="14.45"/>
  <cols>
    <col min="1" max="1" width="3.28515625" customWidth="1"/>
    <col min="2" max="2" width="6.28515625" bestFit="1" customWidth="1"/>
    <col min="3" max="3" width="29" customWidth="1"/>
    <col min="4" max="4" width="88" customWidth="1"/>
    <col min="6" max="6" width="41.28515625" customWidth="1"/>
  </cols>
  <sheetData>
    <row r="1" spans="2:6">
      <c r="B1" s="198" t="s">
        <v>9016</v>
      </c>
      <c r="C1" s="198" t="s">
        <v>9017</v>
      </c>
      <c r="D1" s="198" t="s">
        <v>9018</v>
      </c>
      <c r="E1" s="198" t="s">
        <v>9019</v>
      </c>
      <c r="F1" s="198" t="s">
        <v>9020</v>
      </c>
    </row>
    <row r="2" spans="2:6" ht="15.6">
      <c r="B2" s="184">
        <v>8</v>
      </c>
      <c r="C2" s="185" t="s">
        <v>9021</v>
      </c>
      <c r="D2" s="186"/>
      <c r="E2" s="187"/>
      <c r="F2" s="188"/>
    </row>
    <row r="3" spans="2:6">
      <c r="B3" s="189">
        <v>8.1</v>
      </c>
      <c r="C3" s="190" t="s">
        <v>25</v>
      </c>
      <c r="D3" s="191" t="s">
        <v>9022</v>
      </c>
      <c r="E3" s="192"/>
      <c r="F3" s="191"/>
    </row>
    <row r="4" spans="2:6" ht="24">
      <c r="B4" s="189">
        <v>8.1999999999999993</v>
      </c>
      <c r="C4" s="190" t="s">
        <v>38</v>
      </c>
      <c r="D4" s="191" t="s">
        <v>9023</v>
      </c>
      <c r="E4" s="192"/>
      <c r="F4" s="191"/>
    </row>
    <row r="5" spans="2:6" ht="24">
      <c r="B5" s="189">
        <v>8.3000000000000007</v>
      </c>
      <c r="C5" s="190" t="s">
        <v>9024</v>
      </c>
      <c r="D5" s="191" t="s">
        <v>9025</v>
      </c>
      <c r="E5" s="192" t="s">
        <v>9026</v>
      </c>
      <c r="F5" s="191"/>
    </row>
    <row r="6" spans="2:6">
      <c r="B6" s="189">
        <v>8.4</v>
      </c>
      <c r="C6" s="190" t="s">
        <v>64</v>
      </c>
      <c r="D6" s="193" t="s">
        <v>9027</v>
      </c>
      <c r="E6" s="192"/>
      <c r="F6" s="193" t="s">
        <v>9028</v>
      </c>
    </row>
    <row r="7" spans="2:6" ht="24">
      <c r="B7" s="189">
        <v>8.6</v>
      </c>
      <c r="C7" s="190" t="s">
        <v>75</v>
      </c>
      <c r="D7" s="191" t="s">
        <v>9029</v>
      </c>
      <c r="E7" s="194"/>
      <c r="F7" s="191" t="s">
        <v>9030</v>
      </c>
    </row>
    <row r="8" spans="2:6">
      <c r="B8" s="189">
        <v>8.6999999999999993</v>
      </c>
      <c r="C8" s="190" t="s">
        <v>83</v>
      </c>
      <c r="D8" s="191" t="s">
        <v>9031</v>
      </c>
      <c r="E8" s="192"/>
      <c r="F8" s="191"/>
    </row>
    <row r="9" spans="2:6" ht="24">
      <c r="B9" s="189">
        <v>8.8000000000000007</v>
      </c>
      <c r="C9" s="190" t="s">
        <v>90</v>
      </c>
      <c r="D9" s="191" t="s">
        <v>9032</v>
      </c>
      <c r="E9" s="192"/>
      <c r="F9" s="191"/>
    </row>
    <row r="10" spans="2:6">
      <c r="B10" s="189">
        <v>8.9</v>
      </c>
      <c r="C10" s="190" t="s">
        <v>97</v>
      </c>
      <c r="D10" s="193" t="s">
        <v>9033</v>
      </c>
      <c r="E10" s="192"/>
      <c r="F10" s="193" t="s">
        <v>9028</v>
      </c>
    </row>
    <row r="11" spans="2:6">
      <c r="B11" s="195">
        <v>8.1</v>
      </c>
      <c r="C11" s="190" t="s">
        <v>9034</v>
      </c>
      <c r="D11" s="191" t="s">
        <v>9035</v>
      </c>
      <c r="E11" s="194"/>
      <c r="F11" s="191"/>
    </row>
    <row r="12" spans="2:6" ht="24">
      <c r="B12" s="196">
        <v>8.11</v>
      </c>
      <c r="C12" s="197" t="s">
        <v>109</v>
      </c>
      <c r="D12" s="193" t="s">
        <v>9036</v>
      </c>
      <c r="E12" s="192"/>
      <c r="F12" s="193" t="s">
        <v>9037</v>
      </c>
    </row>
    <row r="13" spans="2:6">
      <c r="B13" s="196">
        <v>8.1199999999999992</v>
      </c>
      <c r="C13" s="197" t="s">
        <v>114</v>
      </c>
      <c r="D13" s="193" t="s">
        <v>9038</v>
      </c>
      <c r="E13" s="192"/>
      <c r="F13" s="193" t="s">
        <v>9037</v>
      </c>
    </row>
    <row r="14" spans="2:6" ht="24">
      <c r="B14" s="196">
        <v>8.1300000000000008</v>
      </c>
      <c r="C14" s="197" t="s">
        <v>119</v>
      </c>
      <c r="D14" s="193" t="s">
        <v>9039</v>
      </c>
      <c r="E14" s="192"/>
      <c r="F14" s="193" t="s">
        <v>9037</v>
      </c>
    </row>
    <row r="15" spans="2:6">
      <c r="B15" s="196">
        <v>8.14</v>
      </c>
      <c r="C15" s="197" t="s">
        <v>124</v>
      </c>
      <c r="D15" s="193" t="s">
        <v>9040</v>
      </c>
      <c r="E15" s="192"/>
      <c r="F15" s="193" t="s">
        <v>9037</v>
      </c>
    </row>
    <row r="16" spans="2:6">
      <c r="B16" s="196">
        <v>8.15</v>
      </c>
      <c r="C16" s="197" t="s">
        <v>9041</v>
      </c>
      <c r="D16" s="193" t="s">
        <v>9042</v>
      </c>
      <c r="E16" s="192"/>
      <c r="F16" s="193" t="s">
        <v>9037</v>
      </c>
    </row>
    <row r="17" spans="2:6">
      <c r="B17" s="196">
        <v>8.16</v>
      </c>
      <c r="C17" s="197" t="s">
        <v>134</v>
      </c>
      <c r="D17" s="193" t="s">
        <v>9043</v>
      </c>
      <c r="E17" s="192"/>
      <c r="F17" s="193" t="s">
        <v>9037</v>
      </c>
    </row>
    <row r="18" spans="2:6">
      <c r="B18" s="189">
        <v>8.5</v>
      </c>
      <c r="C18" s="190" t="s">
        <v>139</v>
      </c>
      <c r="D18" s="193" t="s">
        <v>9044</v>
      </c>
      <c r="E18" s="194"/>
      <c r="F18" s="193" t="s">
        <v>9028</v>
      </c>
    </row>
  </sheetData>
  <pageMargins left="0.511811024" right="0.511811024" top="0.78740157499999996" bottom="0.78740157499999996" header="0.31496062000000002" footer="0.31496062000000002"/>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3BD2AB8A059EC34287B62A38A7CF2FAD" ma:contentTypeVersion="20" ma:contentTypeDescription="Crie um novo documento." ma:contentTypeScope="" ma:versionID="266ee48b15752ff6d066e300fbfe61ca">
  <xsd:schema xmlns:xsd="http://www.w3.org/2001/XMLSchema" xmlns:xs="http://www.w3.org/2001/XMLSchema" xmlns:p="http://schemas.microsoft.com/office/2006/metadata/properties" xmlns:ns2="e19d64ae-5a93-4a71-9aa3-9ee12a72bc66" xmlns:ns3="be789a08-c2ad-465e-b9dc-307e85f686d8" targetNamespace="http://schemas.microsoft.com/office/2006/metadata/properties" ma:root="true" ma:fieldsID="ed01774fba82166b4a3b195dc82a87fa" ns2:_="" ns3:_="">
    <xsd:import namespace="e19d64ae-5a93-4a71-9aa3-9ee12a72bc66"/>
    <xsd:import namespace="be789a08-c2ad-465e-b9dc-307e85f686d8"/>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Location" minOccurs="0"/>
                <xsd:element ref="ns2:MediaServiceOCR" minOccurs="0"/>
                <xsd:element ref="ns2:MediaServiceAutoKeyPoints" minOccurs="0"/>
                <xsd:element ref="ns2:MediaServiceKeyPoints" minOccurs="0"/>
                <xsd:element ref="ns3:SharedWithUsers" minOccurs="0"/>
                <xsd:element ref="ns3:SharedWithDetails" minOccurs="0"/>
                <xsd:element ref="ns2:MediaLengthInSeconds" minOccurs="0"/>
                <xsd:element ref="ns2:_Flow_SignoffStatus" minOccurs="0"/>
                <xsd:element ref="ns2:lcf76f155ced4ddcb4097134ff3c332f" minOccurs="0"/>
                <xsd:element ref="ns3:TaxCatchAll"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19d64ae-5a93-4a71-9aa3-9ee12a72bc6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_Flow_SignoffStatus" ma:index="21" nillable="true" ma:displayName="Status de liberação" ma:internalName="Status_x0020_de_x0020_libera_x00e7__x00e3_o">
      <xsd:simpleType>
        <xsd:restriction base="dms:Text"/>
      </xsd:simpleType>
    </xsd:element>
    <xsd:element name="lcf76f155ced4ddcb4097134ff3c332f" ma:index="23" nillable="true" ma:taxonomy="true" ma:internalName="lcf76f155ced4ddcb4097134ff3c332f" ma:taxonomyFieldName="MediaServiceImageTags" ma:displayName="Marcações de imagem" ma:readOnly="false" ma:fieldId="{5cf76f15-5ced-4ddc-b409-7134ff3c332f}" ma:taxonomyMulti="true" ma:sspId="1c8a3b58-1317-4067-bbdf-e53778bd947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e789a08-c2ad-465e-b9dc-307e85f686d8" elementFormDefault="qualified">
    <xsd:import namespace="http://schemas.microsoft.com/office/2006/documentManagement/types"/>
    <xsd:import namespace="http://schemas.microsoft.com/office/infopath/2007/PartnerControls"/>
    <xsd:element name="SharedWithUsers" ma:index="18"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Detalhes de Compartilhado Com" ma:internalName="SharedWithDetails" ma:readOnly="true">
      <xsd:simpleType>
        <xsd:restriction base="dms:Note">
          <xsd:maxLength value="255"/>
        </xsd:restriction>
      </xsd:simpleType>
    </xsd:element>
    <xsd:element name="TaxCatchAll" ma:index="24" nillable="true" ma:displayName="Taxonomy Catch All Column" ma:hidden="true" ma:list="{148419bc-2a04-4aa7-b202-3e47ee67faa4}" ma:internalName="TaxCatchAll" ma:showField="CatchAllData" ma:web="be789a08-c2ad-465e-b9dc-307e85f686d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e19d64ae-5a93-4a71-9aa3-9ee12a72bc66">
      <Terms xmlns="http://schemas.microsoft.com/office/infopath/2007/PartnerControls"/>
    </lcf76f155ced4ddcb4097134ff3c332f>
    <TaxCatchAll xmlns="be789a08-c2ad-465e-b9dc-307e85f686d8" xsi:nil="true"/>
    <_Flow_SignoffStatus xmlns="e19d64ae-5a93-4a71-9aa3-9ee12a72bc66" xsi:nil="true"/>
  </documentManagement>
</p:properties>
</file>

<file path=customXml/itemProps1.xml><?xml version="1.0" encoding="utf-8"?>
<ds:datastoreItem xmlns:ds="http://schemas.openxmlformats.org/officeDocument/2006/customXml" ds:itemID="{DC258226-11C5-4F17-921F-F29EB23A4898}"/>
</file>

<file path=customXml/itemProps2.xml><?xml version="1.0" encoding="utf-8"?>
<ds:datastoreItem xmlns:ds="http://schemas.openxmlformats.org/officeDocument/2006/customXml" ds:itemID="{194C2034-85DF-4D42-840A-53FFB05C769F}"/>
</file>

<file path=customXml/itemProps3.xml><?xml version="1.0" encoding="utf-8"?>
<ds:datastoreItem xmlns:ds="http://schemas.openxmlformats.org/officeDocument/2006/customXml" ds:itemID="{77587F41-41E8-497E-B029-3F05AA11A352}"/>
</file>

<file path=docProps/app.xml><?xml version="1.0" encoding="utf-8"?>
<Properties xmlns="http://schemas.openxmlformats.org/officeDocument/2006/extended-properties" xmlns:vt="http://schemas.openxmlformats.org/officeDocument/2006/docPropsVTypes">
  <Application>Microsoft Excel Online</Application>
  <Manager/>
  <Company>Embratel</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amanoel</dc:creator>
  <cp:keywords/>
  <dc:description/>
  <cp:lastModifiedBy>DANIEL DA ANUNCIACAO FRANCA LEITE</cp:lastModifiedBy>
  <cp:revision/>
  <dcterms:created xsi:type="dcterms:W3CDTF">2012-02-02T14:21:46Z</dcterms:created>
  <dcterms:modified xsi:type="dcterms:W3CDTF">2025-10-16T11:16:54Z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0x0101003BD2AB8A059EC34287B62A38A7CF2FAD</vt:lpwstr>
  </property>
  <property fmtid="{D5CDD505-2E9C-101B-9397-08002B2CF9AE}" pid="3" name="MSIP_Label_e463cba9-5f6c-478d-9329-7b2295e4e8ed_Enabled">
    <vt:lpwstr>true</vt:lpwstr>
  </property>
  <property fmtid="{D5CDD505-2E9C-101B-9397-08002B2CF9AE}" pid="4" name="MSIP_Label_e463cba9-5f6c-478d-9329-7b2295e4e8ed_SetDate">
    <vt:lpwstr>2022-06-03T17:57:34Z</vt:lpwstr>
  </property>
  <property fmtid="{D5CDD505-2E9C-101B-9397-08002B2CF9AE}" pid="5" name="MSIP_Label_e463cba9-5f6c-478d-9329-7b2295e4e8ed_Method">
    <vt:lpwstr>Standard</vt:lpwstr>
  </property>
  <property fmtid="{D5CDD505-2E9C-101B-9397-08002B2CF9AE}" pid="6" name="MSIP_Label_e463cba9-5f6c-478d-9329-7b2295e4e8ed_Name">
    <vt:lpwstr>All Employees_2</vt:lpwstr>
  </property>
  <property fmtid="{D5CDD505-2E9C-101B-9397-08002B2CF9AE}" pid="7" name="MSIP_Label_e463cba9-5f6c-478d-9329-7b2295e4e8ed_SiteId">
    <vt:lpwstr>33440fc6-b7c7-412c-bb73-0e70b0198d5a</vt:lpwstr>
  </property>
  <property fmtid="{D5CDD505-2E9C-101B-9397-08002B2CF9AE}" pid="8" name="MSIP_Label_e463cba9-5f6c-478d-9329-7b2295e4e8ed_ActionId">
    <vt:lpwstr>ecd11ba8-a349-4ba5-a87b-8157cf610deb</vt:lpwstr>
  </property>
  <property fmtid="{D5CDD505-2E9C-101B-9397-08002B2CF9AE}" pid="9" name="MSIP_Label_e463cba9-5f6c-478d-9329-7b2295e4e8ed_ContentBits">
    <vt:lpwstr>0</vt:lpwstr>
  </property>
  <property fmtid="{D5CDD505-2E9C-101B-9397-08002B2CF9AE}" pid="10" name="MediaServiceImageTags">
    <vt:lpwstr/>
  </property>
</Properties>
</file>